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CODING\GitHub\Staph Resources\"/>
    </mc:Choice>
  </mc:AlternateContent>
  <xr:revisionPtr revIDLastSave="0" documentId="13_ncr:1_{6A15D451-3B4C-4519-A714-3B65A78AEBB1}" xr6:coauthVersionLast="36" xr6:coauthVersionMax="47" xr10:uidLastSave="{00000000-0000-0000-0000-000000000000}"/>
  <bookViews>
    <workbookView xWindow="-120" yWindow="330" windowWidth="29040" windowHeight="15990" tabRatio="816" xr2:uid="{00000000-000D-0000-FFFF-FFFF00000000}"/>
  </bookViews>
  <sheets>
    <sheet name="Instructions" sheetId="55" r:id="rId1"/>
    <sheet name="Free Fatty Acids" sheetId="18" r:id="rId2"/>
    <sheet name="MGDG" sheetId="50" r:id="rId3"/>
    <sheet name="DGDG" sheetId="103" r:id="rId4"/>
    <sheet name="PG" sheetId="12" r:id="rId5"/>
    <sheet name="LysylPG" sheetId="102" r:id="rId6"/>
    <sheet name="PA" sheetId="11" r:id="rId7"/>
    <sheet name="CL" sheetId="49" r:id="rId8"/>
    <sheet name="Acyl PG" sheetId="104" r:id="rId9"/>
    <sheet name="Acyl PE" sheetId="105" r:id="rId10"/>
    <sheet name="PE" sheetId="8" r:id="rId11"/>
    <sheet name="LPE" sheetId="9" r:id="rId12"/>
    <sheet name="LPG" sheetId="24" r:id="rId13"/>
    <sheet name="DG" sheetId="5" r:id="rId14"/>
    <sheet name="LPA" sheetId="27" r:id="rId15"/>
    <sheet name="LPI" sheetId="17" r:id="rId16"/>
    <sheet name="PI" sheetId="13" r:id="rId17"/>
    <sheet name="LPS" sheetId="25" r:id="rId18"/>
    <sheet name="PS" sheetId="10" r:id="rId19"/>
    <sheet name="PMeOH" sheetId="107" r:id="rId20"/>
    <sheet name="PE_ether" sheetId="67" r:id="rId21"/>
    <sheet name="PG_ether" sheetId="69" r:id="rId22"/>
  </sheets>
  <definedNames>
    <definedName name="_xlnm._FilterDatabase" localSheetId="3" hidden="1">DGDG!$A$1:$X$37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8" i="50" l="1"/>
  <c r="D38" i="50"/>
  <c r="B38" i="50"/>
  <c r="C38" i="50" s="1"/>
  <c r="E38" i="50" s="1"/>
  <c r="H37" i="50"/>
  <c r="D37" i="50"/>
  <c r="B37" i="50"/>
  <c r="C37" i="50" s="1"/>
  <c r="E37" i="50" s="1"/>
  <c r="H36" i="50"/>
  <c r="D36" i="50"/>
  <c r="B36" i="50"/>
  <c r="C36" i="50" s="1"/>
  <c r="E36" i="50" s="1"/>
  <c r="H35" i="50"/>
  <c r="B35" i="50"/>
  <c r="D35" i="50" s="1"/>
  <c r="H34" i="50"/>
  <c r="D34" i="50"/>
  <c r="B34" i="50"/>
  <c r="C34" i="50" s="1"/>
  <c r="E34" i="50" s="1"/>
  <c r="H33" i="50"/>
  <c r="D33" i="50"/>
  <c r="B33" i="50"/>
  <c r="C33" i="50" s="1"/>
  <c r="E33" i="50" s="1"/>
  <c r="H32" i="50"/>
  <c r="D32" i="50"/>
  <c r="C32" i="50"/>
  <c r="E32" i="50" s="1"/>
  <c r="B32" i="50"/>
  <c r="H31" i="50"/>
  <c r="B31" i="50"/>
  <c r="C31" i="50" s="1"/>
  <c r="E31" i="50" s="1"/>
  <c r="H30" i="50"/>
  <c r="D30" i="50"/>
  <c r="B30" i="50"/>
  <c r="C30" i="50" s="1"/>
  <c r="E30" i="50" s="1"/>
  <c r="H29" i="50"/>
  <c r="D29" i="50"/>
  <c r="B29" i="50"/>
  <c r="C29" i="50" s="1"/>
  <c r="E29" i="50" s="1"/>
  <c r="H28" i="50"/>
  <c r="D28" i="50"/>
  <c r="B28" i="50"/>
  <c r="C28" i="50" s="1"/>
  <c r="E28" i="50" s="1"/>
  <c r="H27" i="50"/>
  <c r="B27" i="50"/>
  <c r="C27" i="50" s="1"/>
  <c r="E27" i="50" s="1"/>
  <c r="H26" i="50"/>
  <c r="D26" i="50"/>
  <c r="B26" i="50"/>
  <c r="C26" i="50" s="1"/>
  <c r="E26" i="50" s="1"/>
  <c r="H25" i="50"/>
  <c r="D25" i="50"/>
  <c r="C25" i="50"/>
  <c r="E25" i="50" s="1"/>
  <c r="B25" i="50"/>
  <c r="H24" i="50"/>
  <c r="D24" i="50"/>
  <c r="B24" i="50"/>
  <c r="C24" i="50" s="1"/>
  <c r="E24" i="50" s="1"/>
  <c r="H23" i="50"/>
  <c r="D23" i="50"/>
  <c r="C23" i="50"/>
  <c r="E23" i="50" s="1"/>
  <c r="B23" i="50"/>
  <c r="H22" i="50"/>
  <c r="D22" i="50"/>
  <c r="B22" i="50"/>
  <c r="C22" i="50" s="1"/>
  <c r="E22" i="50" s="1"/>
  <c r="H21" i="50"/>
  <c r="B21" i="50"/>
  <c r="D21" i="50" s="1"/>
  <c r="H20" i="50"/>
  <c r="D20" i="50"/>
  <c r="C20" i="50"/>
  <c r="E20" i="50" s="1"/>
  <c r="B20" i="50"/>
  <c r="H19" i="50"/>
  <c r="B19" i="50"/>
  <c r="C19" i="50" s="1"/>
  <c r="E19" i="50" s="1"/>
  <c r="H18" i="50"/>
  <c r="D18" i="50"/>
  <c r="B18" i="50"/>
  <c r="C18" i="50" s="1"/>
  <c r="E18" i="50" s="1"/>
  <c r="H17" i="50"/>
  <c r="B17" i="50"/>
  <c r="C17" i="50" s="1"/>
  <c r="E17" i="50" s="1"/>
  <c r="H16" i="50"/>
  <c r="D16" i="50"/>
  <c r="B16" i="50"/>
  <c r="C16" i="50" s="1"/>
  <c r="E16" i="50" s="1"/>
  <c r="H15" i="50"/>
  <c r="B15" i="50"/>
  <c r="C15" i="50" s="1"/>
  <c r="E15" i="50" s="1"/>
  <c r="H14" i="50"/>
  <c r="D14" i="50"/>
  <c r="B14" i="50"/>
  <c r="C14" i="50" s="1"/>
  <c r="E14" i="50" s="1"/>
  <c r="H13" i="50"/>
  <c r="B13" i="50"/>
  <c r="C13" i="50" s="1"/>
  <c r="E13" i="50" s="1"/>
  <c r="H12" i="50"/>
  <c r="D12" i="50"/>
  <c r="B12" i="50"/>
  <c r="C12" i="50" s="1"/>
  <c r="E12" i="50" s="1"/>
  <c r="R21" i="49"/>
  <c r="Q21" i="49"/>
  <c r="P21" i="49"/>
  <c r="R20" i="49"/>
  <c r="J27" i="105"/>
  <c r="E27" i="105"/>
  <c r="B27" i="105"/>
  <c r="D27" i="105" s="1"/>
  <c r="J26" i="105"/>
  <c r="E26" i="105"/>
  <c r="D26" i="105"/>
  <c r="B26" i="105"/>
  <c r="C26" i="105" s="1"/>
  <c r="G26" i="105" s="1"/>
  <c r="J25" i="105"/>
  <c r="E25" i="105"/>
  <c r="D25" i="105"/>
  <c r="C25" i="105"/>
  <c r="G25" i="105" s="1"/>
  <c r="B25" i="105"/>
  <c r="J24" i="105"/>
  <c r="E24" i="105"/>
  <c r="B24" i="105"/>
  <c r="C24" i="105" s="1"/>
  <c r="G24" i="105" s="1"/>
  <c r="J23" i="105"/>
  <c r="G23" i="105"/>
  <c r="E23" i="105"/>
  <c r="D23" i="105"/>
  <c r="C23" i="105"/>
  <c r="B23" i="105"/>
  <c r="J22" i="105"/>
  <c r="E22" i="105"/>
  <c r="B22" i="105"/>
  <c r="D22" i="105" s="1"/>
  <c r="J21" i="105"/>
  <c r="G21" i="105"/>
  <c r="E21" i="105"/>
  <c r="D21" i="105"/>
  <c r="C21" i="105"/>
  <c r="B21" i="105"/>
  <c r="J20" i="105"/>
  <c r="E20" i="105"/>
  <c r="D20" i="105"/>
  <c r="B20" i="105"/>
  <c r="C20" i="105" s="1"/>
  <c r="G20" i="105" s="1"/>
  <c r="J19" i="105"/>
  <c r="E19" i="105"/>
  <c r="B19" i="105"/>
  <c r="D19" i="105" s="1"/>
  <c r="J18" i="105"/>
  <c r="E18" i="105"/>
  <c r="B18" i="105"/>
  <c r="D18" i="105" s="1"/>
  <c r="J17" i="105"/>
  <c r="E17" i="105"/>
  <c r="B17" i="105"/>
  <c r="D17" i="105" s="1"/>
  <c r="J16" i="105"/>
  <c r="E16" i="105"/>
  <c r="B16" i="105"/>
  <c r="D16" i="105" s="1"/>
  <c r="J15" i="105"/>
  <c r="E15" i="105"/>
  <c r="D15" i="105"/>
  <c r="B15" i="105"/>
  <c r="C15" i="105" s="1"/>
  <c r="G15" i="105" s="1"/>
  <c r="J14" i="105"/>
  <c r="G14" i="105"/>
  <c r="E14" i="105"/>
  <c r="D14" i="105"/>
  <c r="C14" i="105"/>
  <c r="B14" i="105"/>
  <c r="J13" i="105"/>
  <c r="E13" i="105"/>
  <c r="B13" i="105"/>
  <c r="D13" i="105" s="1"/>
  <c r="J12" i="105"/>
  <c r="E12" i="105"/>
  <c r="B12" i="105"/>
  <c r="D12" i="105" s="1"/>
  <c r="J11" i="105"/>
  <c r="E11" i="105"/>
  <c r="D11" i="105"/>
  <c r="B11" i="105"/>
  <c r="C11" i="105" s="1"/>
  <c r="G11" i="105" s="1"/>
  <c r="J10" i="105"/>
  <c r="E10" i="105"/>
  <c r="D10" i="105"/>
  <c r="C10" i="105"/>
  <c r="G10" i="105" s="1"/>
  <c r="B10" i="105"/>
  <c r="J9" i="105"/>
  <c r="E9" i="105"/>
  <c r="B9" i="105"/>
  <c r="D9" i="105" s="1"/>
  <c r="J8" i="105"/>
  <c r="E8" i="105"/>
  <c r="D8" i="105"/>
  <c r="B8" i="105"/>
  <c r="C8" i="105" s="1"/>
  <c r="G8" i="105" s="1"/>
  <c r="J7" i="105"/>
  <c r="E7" i="105"/>
  <c r="D7" i="105"/>
  <c r="C7" i="105"/>
  <c r="G7" i="105" s="1"/>
  <c r="B7" i="105"/>
  <c r="J6" i="105"/>
  <c r="G6" i="105"/>
  <c r="E6" i="105"/>
  <c r="D6" i="105"/>
  <c r="C6" i="105"/>
  <c r="B6" i="105"/>
  <c r="J5" i="105"/>
  <c r="E5" i="105"/>
  <c r="B5" i="105"/>
  <c r="C5" i="105" s="1"/>
  <c r="G5" i="105" s="1"/>
  <c r="J4" i="105"/>
  <c r="E4" i="105"/>
  <c r="B4" i="105"/>
  <c r="D4" i="105" s="1"/>
  <c r="I27" i="104"/>
  <c r="B27" i="104"/>
  <c r="D27" i="104" s="1"/>
  <c r="I26" i="104"/>
  <c r="B26" i="104"/>
  <c r="C26" i="104" s="1"/>
  <c r="G26" i="104" s="1"/>
  <c r="I25" i="104"/>
  <c r="B25" i="104"/>
  <c r="D25" i="104" s="1"/>
  <c r="I24" i="104"/>
  <c r="B24" i="104"/>
  <c r="D24" i="104" s="1"/>
  <c r="I23" i="104"/>
  <c r="B23" i="104"/>
  <c r="D23" i="104" s="1"/>
  <c r="I22" i="104"/>
  <c r="B22" i="104"/>
  <c r="D22" i="104" s="1"/>
  <c r="I21" i="104"/>
  <c r="B21" i="104"/>
  <c r="D21" i="104" s="1"/>
  <c r="H4" i="5"/>
  <c r="B4" i="5"/>
  <c r="D4" i="5" s="1"/>
  <c r="H3" i="5"/>
  <c r="B3" i="5"/>
  <c r="D3" i="5" s="1"/>
  <c r="F38" i="50" l="1"/>
  <c r="M38" i="50" s="1"/>
  <c r="F37" i="50"/>
  <c r="M37" i="50" s="1"/>
  <c r="F36" i="50"/>
  <c r="M36" i="50" s="1"/>
  <c r="C35" i="50"/>
  <c r="E35" i="50" s="1"/>
  <c r="F34" i="50"/>
  <c r="M34" i="50" s="1"/>
  <c r="F33" i="50"/>
  <c r="M33" i="50" s="1"/>
  <c r="L32" i="50"/>
  <c r="M32" i="50"/>
  <c r="F32" i="50"/>
  <c r="D31" i="50"/>
  <c r="F31" i="50" s="1"/>
  <c r="F30" i="50"/>
  <c r="M30" i="50" s="1"/>
  <c r="L30" i="50"/>
  <c r="F29" i="50"/>
  <c r="M29" i="50" s="1"/>
  <c r="F28" i="50"/>
  <c r="M28" i="50" s="1"/>
  <c r="F27" i="50"/>
  <c r="L27" i="50" s="1"/>
  <c r="D27" i="50"/>
  <c r="F26" i="50"/>
  <c r="M26" i="50" s="1"/>
  <c r="M25" i="50"/>
  <c r="L25" i="50"/>
  <c r="F25" i="50"/>
  <c r="F24" i="50"/>
  <c r="M24" i="50" s="1"/>
  <c r="L24" i="50"/>
  <c r="F23" i="50"/>
  <c r="M23" i="50" s="1"/>
  <c r="F22" i="50"/>
  <c r="M22" i="50" s="1"/>
  <c r="C21" i="50"/>
  <c r="E21" i="50" s="1"/>
  <c r="F20" i="50"/>
  <c r="M20" i="50" s="1"/>
  <c r="D19" i="50"/>
  <c r="F19" i="50" s="1"/>
  <c r="F18" i="50"/>
  <c r="M18" i="50" s="1"/>
  <c r="F17" i="50"/>
  <c r="L17" i="50" s="1"/>
  <c r="D17" i="50"/>
  <c r="F16" i="50"/>
  <c r="M16" i="50" s="1"/>
  <c r="D15" i="50"/>
  <c r="F15" i="50" s="1"/>
  <c r="F14" i="50"/>
  <c r="M14" i="50" s="1"/>
  <c r="D13" i="50"/>
  <c r="F13" i="50" s="1"/>
  <c r="F12" i="50"/>
  <c r="M12" i="50" s="1"/>
  <c r="C27" i="105"/>
  <c r="G27" i="105" s="1"/>
  <c r="M26" i="105"/>
  <c r="L26" i="105"/>
  <c r="H26" i="105"/>
  <c r="H25" i="105"/>
  <c r="L25" i="105" s="1"/>
  <c r="D24" i="105"/>
  <c r="H24" i="105" s="1"/>
  <c r="M23" i="105"/>
  <c r="H23" i="105"/>
  <c r="L23" i="105"/>
  <c r="C22" i="105"/>
  <c r="G22" i="105" s="1"/>
  <c r="M21" i="105"/>
  <c r="H21" i="105"/>
  <c r="L21" i="105"/>
  <c r="H20" i="105"/>
  <c r="L20" i="105" s="1"/>
  <c r="C19" i="105"/>
  <c r="G19" i="105" s="1"/>
  <c r="C18" i="105"/>
  <c r="G18" i="105" s="1"/>
  <c r="C17" i="105"/>
  <c r="G17" i="105" s="1"/>
  <c r="C16" i="105"/>
  <c r="G16" i="105" s="1"/>
  <c r="H15" i="105"/>
  <c r="L15" i="105" s="1"/>
  <c r="H14" i="105"/>
  <c r="M14" i="105" s="1"/>
  <c r="C13" i="105"/>
  <c r="G13" i="105" s="1"/>
  <c r="C12" i="105"/>
  <c r="G12" i="105" s="1"/>
  <c r="H11" i="105"/>
  <c r="M11" i="105" s="1"/>
  <c r="H10" i="105"/>
  <c r="M10" i="105" s="1"/>
  <c r="C9" i="105"/>
  <c r="G9" i="105" s="1"/>
  <c r="H8" i="105"/>
  <c r="M8" i="105" s="1"/>
  <c r="H7" i="105"/>
  <c r="M7" i="105" s="1"/>
  <c r="H6" i="105"/>
  <c r="M6" i="105" s="1"/>
  <c r="D5" i="105"/>
  <c r="H5" i="105" s="1"/>
  <c r="C4" i="105"/>
  <c r="G4" i="105" s="1"/>
  <c r="D26" i="104"/>
  <c r="C21" i="104"/>
  <c r="G21" i="104" s="1"/>
  <c r="C23" i="104"/>
  <c r="G23" i="104" s="1"/>
  <c r="C25" i="104"/>
  <c r="G25" i="104" s="1"/>
  <c r="H25" i="104" s="1"/>
  <c r="M25" i="104" s="1"/>
  <c r="C27" i="104"/>
  <c r="G27" i="104" s="1"/>
  <c r="H27" i="104" s="1"/>
  <c r="M27" i="104" s="1"/>
  <c r="H26" i="104"/>
  <c r="M26" i="104" s="1"/>
  <c r="C24" i="104"/>
  <c r="G24" i="104" s="1"/>
  <c r="H23" i="104"/>
  <c r="M23" i="104" s="1"/>
  <c r="C22" i="104"/>
  <c r="G22" i="104" s="1"/>
  <c r="H21" i="104"/>
  <c r="M21" i="104" s="1"/>
  <c r="C4" i="5"/>
  <c r="F4" i="5" s="1"/>
  <c r="G4" i="5"/>
  <c r="L4" i="5" s="1"/>
  <c r="C3" i="5"/>
  <c r="F3" i="5" s="1"/>
  <c r="W38" i="50" l="1"/>
  <c r="V38" i="50"/>
  <c r="N38" i="50"/>
  <c r="O38" i="50" s="1"/>
  <c r="U38" i="50"/>
  <c r="T38" i="50"/>
  <c r="S38" i="50"/>
  <c r="R38" i="50"/>
  <c r="Q38" i="50"/>
  <c r="P38" i="50"/>
  <c r="L38" i="50"/>
  <c r="W37" i="50"/>
  <c r="V37" i="50"/>
  <c r="N37" i="50"/>
  <c r="O37" i="50" s="1"/>
  <c r="P37" i="50"/>
  <c r="U37" i="50"/>
  <c r="T37" i="50"/>
  <c r="S37" i="50"/>
  <c r="Q37" i="50"/>
  <c r="R37" i="50"/>
  <c r="L37" i="50"/>
  <c r="W36" i="50"/>
  <c r="U36" i="50"/>
  <c r="T36" i="50"/>
  <c r="V36" i="50"/>
  <c r="N36" i="50"/>
  <c r="O36" i="50" s="1"/>
  <c r="S36" i="50"/>
  <c r="R36" i="50"/>
  <c r="Q36" i="50"/>
  <c r="P36" i="50"/>
  <c r="L36" i="50"/>
  <c r="M35" i="50"/>
  <c r="L35" i="50"/>
  <c r="F35" i="50"/>
  <c r="W34" i="50"/>
  <c r="P34" i="50"/>
  <c r="V34" i="50"/>
  <c r="N34" i="50"/>
  <c r="O34" i="50" s="1"/>
  <c r="U34" i="50"/>
  <c r="T34" i="50"/>
  <c r="S34" i="50"/>
  <c r="R34" i="50"/>
  <c r="Q34" i="50"/>
  <c r="L34" i="50"/>
  <c r="W33" i="50"/>
  <c r="V33" i="50"/>
  <c r="N33" i="50"/>
  <c r="O33" i="50" s="1"/>
  <c r="U33" i="50"/>
  <c r="T33" i="50"/>
  <c r="S33" i="50"/>
  <c r="R33" i="50"/>
  <c r="Q33" i="50"/>
  <c r="P33" i="50"/>
  <c r="L33" i="50"/>
  <c r="V32" i="50"/>
  <c r="N32" i="50"/>
  <c r="O32" i="50" s="1"/>
  <c r="S32" i="50"/>
  <c r="U32" i="50"/>
  <c r="T32" i="50"/>
  <c r="R32" i="50"/>
  <c r="P32" i="50"/>
  <c r="W32" i="50"/>
  <c r="Q32" i="50"/>
  <c r="M31" i="50"/>
  <c r="L31" i="50"/>
  <c r="W30" i="50"/>
  <c r="R30" i="50"/>
  <c r="V30" i="50"/>
  <c r="N30" i="50"/>
  <c r="O30" i="50" s="1"/>
  <c r="U30" i="50"/>
  <c r="T30" i="50"/>
  <c r="S30" i="50"/>
  <c r="Q30" i="50"/>
  <c r="P30" i="50"/>
  <c r="W29" i="50"/>
  <c r="R29" i="50"/>
  <c r="V29" i="50"/>
  <c r="N29" i="50"/>
  <c r="O29" i="50" s="1"/>
  <c r="U29" i="50"/>
  <c r="T29" i="50"/>
  <c r="S29" i="50"/>
  <c r="Q29" i="50"/>
  <c r="P29" i="50"/>
  <c r="L29" i="50"/>
  <c r="W28" i="50"/>
  <c r="P28" i="50"/>
  <c r="V28" i="50"/>
  <c r="N28" i="50"/>
  <c r="O28" i="50" s="1"/>
  <c r="U28" i="50"/>
  <c r="T28" i="50"/>
  <c r="S28" i="50"/>
  <c r="Q28" i="50"/>
  <c r="R28" i="50"/>
  <c r="L28" i="50"/>
  <c r="M27" i="50"/>
  <c r="W26" i="50"/>
  <c r="V26" i="50"/>
  <c r="N26" i="50"/>
  <c r="O26" i="50" s="1"/>
  <c r="Q26" i="50"/>
  <c r="U26" i="50"/>
  <c r="T26" i="50"/>
  <c r="P26" i="50"/>
  <c r="S26" i="50"/>
  <c r="R26" i="50"/>
  <c r="L26" i="50"/>
  <c r="V25" i="50"/>
  <c r="N25" i="50"/>
  <c r="O25" i="50" s="1"/>
  <c r="T25" i="50"/>
  <c r="U25" i="50"/>
  <c r="P25" i="50"/>
  <c r="W25" i="50"/>
  <c r="S25" i="50"/>
  <c r="R25" i="50"/>
  <c r="Q25" i="50"/>
  <c r="W24" i="50"/>
  <c r="V24" i="50"/>
  <c r="N24" i="50"/>
  <c r="O24" i="50" s="1"/>
  <c r="U24" i="50"/>
  <c r="R24" i="50"/>
  <c r="T24" i="50"/>
  <c r="S24" i="50"/>
  <c r="Q24" i="50"/>
  <c r="P24" i="50"/>
  <c r="W23" i="50"/>
  <c r="V23" i="50"/>
  <c r="N23" i="50"/>
  <c r="O23" i="50" s="1"/>
  <c r="U23" i="50"/>
  <c r="T23" i="50"/>
  <c r="S23" i="50"/>
  <c r="Q23" i="50"/>
  <c r="P23" i="50"/>
  <c r="R23" i="50"/>
  <c r="L23" i="50"/>
  <c r="W22" i="50"/>
  <c r="T22" i="50"/>
  <c r="S22" i="50"/>
  <c r="V22" i="50"/>
  <c r="N22" i="50"/>
  <c r="O22" i="50" s="1"/>
  <c r="U22" i="50"/>
  <c r="R22" i="50"/>
  <c r="Q22" i="50"/>
  <c r="P22" i="50"/>
  <c r="L22" i="50"/>
  <c r="M21" i="50"/>
  <c r="L21" i="50"/>
  <c r="F21" i="50"/>
  <c r="V20" i="50"/>
  <c r="N20" i="50"/>
  <c r="O20" i="50" s="1"/>
  <c r="U20" i="50"/>
  <c r="T20" i="50"/>
  <c r="S20" i="50"/>
  <c r="R20" i="50"/>
  <c r="W20" i="50"/>
  <c r="Q20" i="50"/>
  <c r="P20" i="50"/>
  <c r="L20" i="50"/>
  <c r="M19" i="50"/>
  <c r="L19" i="50"/>
  <c r="W18" i="50"/>
  <c r="V18" i="50"/>
  <c r="N18" i="50"/>
  <c r="O18" i="50" s="1"/>
  <c r="U18" i="50"/>
  <c r="R18" i="50"/>
  <c r="T18" i="50"/>
  <c r="S18" i="50"/>
  <c r="Q18" i="50"/>
  <c r="P18" i="50"/>
  <c r="L18" i="50"/>
  <c r="M17" i="50"/>
  <c r="W16" i="50"/>
  <c r="U16" i="50"/>
  <c r="T16" i="50"/>
  <c r="V16" i="50"/>
  <c r="N16" i="50"/>
  <c r="O16" i="50" s="1"/>
  <c r="R16" i="50"/>
  <c r="Q16" i="50"/>
  <c r="P16" i="50"/>
  <c r="S16" i="50"/>
  <c r="L16" i="50"/>
  <c r="M15" i="50"/>
  <c r="L15" i="50"/>
  <c r="W14" i="50"/>
  <c r="P14" i="50"/>
  <c r="V14" i="50"/>
  <c r="N14" i="50"/>
  <c r="O14" i="50" s="1"/>
  <c r="U14" i="50"/>
  <c r="T14" i="50"/>
  <c r="S14" i="50"/>
  <c r="R14" i="50"/>
  <c r="Q14" i="50"/>
  <c r="L14" i="50"/>
  <c r="M13" i="50"/>
  <c r="L13" i="50"/>
  <c r="W12" i="50"/>
  <c r="S12" i="50"/>
  <c r="R12" i="50"/>
  <c r="Q12" i="50"/>
  <c r="P12" i="50"/>
  <c r="V12" i="50"/>
  <c r="N12" i="50"/>
  <c r="O12" i="50" s="1"/>
  <c r="U12" i="50"/>
  <c r="T12" i="50"/>
  <c r="L12" i="50"/>
  <c r="H27" i="105"/>
  <c r="M27" i="105" s="1"/>
  <c r="V26" i="105"/>
  <c r="N26" i="105"/>
  <c r="O26" i="105" s="1"/>
  <c r="U26" i="105"/>
  <c r="T26" i="105"/>
  <c r="S26" i="105"/>
  <c r="P26" i="105"/>
  <c r="R26" i="105"/>
  <c r="Q26" i="105"/>
  <c r="M25" i="105"/>
  <c r="M24" i="105"/>
  <c r="L24" i="105"/>
  <c r="U23" i="105"/>
  <c r="T23" i="105"/>
  <c r="S23" i="105"/>
  <c r="R23" i="105"/>
  <c r="P23" i="105"/>
  <c r="V23" i="105"/>
  <c r="N23" i="105"/>
  <c r="O23" i="105" s="1"/>
  <c r="Q23" i="105"/>
  <c r="M22" i="105"/>
  <c r="L22" i="105"/>
  <c r="H22" i="105"/>
  <c r="U21" i="105"/>
  <c r="T21" i="105"/>
  <c r="S21" i="105"/>
  <c r="R21" i="105"/>
  <c r="P21" i="105"/>
  <c r="V21" i="105"/>
  <c r="N21" i="105"/>
  <c r="O21" i="105" s="1"/>
  <c r="Q21" i="105"/>
  <c r="M20" i="105"/>
  <c r="H19" i="105"/>
  <c r="L19" i="105" s="1"/>
  <c r="H18" i="105"/>
  <c r="M18" i="105" s="1"/>
  <c r="H17" i="105"/>
  <c r="M17" i="105" s="1"/>
  <c r="L17" i="105"/>
  <c r="H16" i="105"/>
  <c r="M16" i="105" s="1"/>
  <c r="M15" i="105"/>
  <c r="Q14" i="105"/>
  <c r="U14" i="105"/>
  <c r="T14" i="105"/>
  <c r="S14" i="105"/>
  <c r="R14" i="105"/>
  <c r="P14" i="105"/>
  <c r="V14" i="105"/>
  <c r="N14" i="105"/>
  <c r="O14" i="105" s="1"/>
  <c r="L14" i="105"/>
  <c r="H13" i="105"/>
  <c r="M13" i="105" s="1"/>
  <c r="M12" i="105"/>
  <c r="L12" i="105"/>
  <c r="H12" i="105"/>
  <c r="V11" i="105"/>
  <c r="N11" i="105"/>
  <c r="O11" i="105" s="1"/>
  <c r="U11" i="105"/>
  <c r="S11" i="105"/>
  <c r="T11" i="105"/>
  <c r="R11" i="105"/>
  <c r="Q11" i="105"/>
  <c r="P11" i="105"/>
  <c r="L11" i="105"/>
  <c r="V10" i="105"/>
  <c r="U10" i="105"/>
  <c r="T10" i="105"/>
  <c r="S10" i="105"/>
  <c r="R10" i="105"/>
  <c r="Q10" i="105"/>
  <c r="P10" i="105"/>
  <c r="N10" i="105"/>
  <c r="O10" i="105" s="1"/>
  <c r="L10" i="105"/>
  <c r="H9" i="105"/>
  <c r="M9" i="105"/>
  <c r="L9" i="105"/>
  <c r="V8" i="105"/>
  <c r="N8" i="105"/>
  <c r="O8" i="105" s="1"/>
  <c r="U8" i="105"/>
  <c r="T8" i="105"/>
  <c r="S8" i="105"/>
  <c r="R8" i="105"/>
  <c r="Q8" i="105"/>
  <c r="P8" i="105"/>
  <c r="L8" i="105"/>
  <c r="V7" i="105"/>
  <c r="N7" i="105"/>
  <c r="O7" i="105" s="1"/>
  <c r="U7" i="105"/>
  <c r="T7" i="105"/>
  <c r="S7" i="105"/>
  <c r="R7" i="105"/>
  <c r="Q7" i="105"/>
  <c r="P7" i="105"/>
  <c r="L7" i="105"/>
  <c r="U6" i="105"/>
  <c r="T6" i="105"/>
  <c r="S6" i="105"/>
  <c r="R6" i="105"/>
  <c r="P6" i="105"/>
  <c r="V6" i="105"/>
  <c r="N6" i="105"/>
  <c r="O6" i="105" s="1"/>
  <c r="Q6" i="105"/>
  <c r="L6" i="105"/>
  <c r="L5" i="105"/>
  <c r="M5" i="105"/>
  <c r="H4" i="105"/>
  <c r="L4" i="105" s="1"/>
  <c r="L26" i="104"/>
  <c r="V27" i="104"/>
  <c r="N27" i="104"/>
  <c r="O27" i="104" s="1"/>
  <c r="U27" i="104"/>
  <c r="T27" i="104"/>
  <c r="S27" i="104"/>
  <c r="R27" i="104"/>
  <c r="Q27" i="104"/>
  <c r="P27" i="104"/>
  <c r="L27" i="104"/>
  <c r="V26" i="104"/>
  <c r="N26" i="104"/>
  <c r="O26" i="104" s="1"/>
  <c r="U26" i="104"/>
  <c r="T26" i="104"/>
  <c r="S26" i="104"/>
  <c r="R26" i="104"/>
  <c r="Q26" i="104"/>
  <c r="P26" i="104"/>
  <c r="V25" i="104"/>
  <c r="N25" i="104"/>
  <c r="O25" i="104" s="1"/>
  <c r="U25" i="104"/>
  <c r="T25" i="104"/>
  <c r="S25" i="104"/>
  <c r="R25" i="104"/>
  <c r="Q25" i="104"/>
  <c r="P25" i="104"/>
  <c r="L25" i="104"/>
  <c r="H24" i="104"/>
  <c r="M24" i="104" s="1"/>
  <c r="V23" i="104"/>
  <c r="N23" i="104"/>
  <c r="O23" i="104" s="1"/>
  <c r="U23" i="104"/>
  <c r="T23" i="104"/>
  <c r="S23" i="104"/>
  <c r="R23" i="104"/>
  <c r="Q23" i="104"/>
  <c r="P23" i="104"/>
  <c r="L23" i="104"/>
  <c r="H22" i="104"/>
  <c r="M22" i="104" s="1"/>
  <c r="V21" i="104"/>
  <c r="N21" i="104"/>
  <c r="O21" i="104" s="1"/>
  <c r="U21" i="104"/>
  <c r="T21" i="104"/>
  <c r="S21" i="104"/>
  <c r="R21" i="104"/>
  <c r="Q21" i="104"/>
  <c r="P21" i="104"/>
  <c r="L21" i="104"/>
  <c r="M4" i="5"/>
  <c r="G3" i="5"/>
  <c r="L3" i="5" s="1"/>
  <c r="U35" i="50" l="1"/>
  <c r="T35" i="50"/>
  <c r="W35" i="50"/>
  <c r="S35" i="50"/>
  <c r="R35" i="50"/>
  <c r="Q35" i="50"/>
  <c r="P35" i="50"/>
  <c r="V35" i="50"/>
  <c r="N35" i="50"/>
  <c r="O35" i="50" s="1"/>
  <c r="W31" i="50"/>
  <c r="V31" i="50"/>
  <c r="N31" i="50"/>
  <c r="O31" i="50" s="1"/>
  <c r="S31" i="50"/>
  <c r="R31" i="50"/>
  <c r="Q31" i="50"/>
  <c r="P31" i="50"/>
  <c r="U31" i="50"/>
  <c r="T31" i="50"/>
  <c r="W27" i="50"/>
  <c r="V27" i="50"/>
  <c r="N27" i="50"/>
  <c r="O27" i="50" s="1"/>
  <c r="T27" i="50"/>
  <c r="S27" i="50"/>
  <c r="Q27" i="50"/>
  <c r="P27" i="50"/>
  <c r="U27" i="50"/>
  <c r="R27" i="50"/>
  <c r="U21" i="50"/>
  <c r="T21" i="50"/>
  <c r="S21" i="50"/>
  <c r="R21" i="50"/>
  <c r="Q21" i="50"/>
  <c r="P21" i="50"/>
  <c r="W21" i="50"/>
  <c r="V21" i="50"/>
  <c r="N21" i="50"/>
  <c r="O21" i="50" s="1"/>
  <c r="W19" i="50"/>
  <c r="V19" i="50"/>
  <c r="N19" i="50"/>
  <c r="O19" i="50" s="1"/>
  <c r="U19" i="50"/>
  <c r="T19" i="50"/>
  <c r="S19" i="50"/>
  <c r="R19" i="50"/>
  <c r="Q19" i="50"/>
  <c r="P19" i="50"/>
  <c r="T17" i="50"/>
  <c r="N17" i="50"/>
  <c r="O17" i="50" s="1"/>
  <c r="U17" i="50"/>
  <c r="S17" i="50"/>
  <c r="R17" i="50"/>
  <c r="Q17" i="50"/>
  <c r="P17" i="50"/>
  <c r="W17" i="50"/>
  <c r="V17" i="50"/>
  <c r="W15" i="50"/>
  <c r="V15" i="50"/>
  <c r="N15" i="50"/>
  <c r="O15" i="50" s="1"/>
  <c r="S15" i="50"/>
  <c r="U15" i="50"/>
  <c r="R15" i="50"/>
  <c r="T15" i="50"/>
  <c r="Q15" i="50"/>
  <c r="P15" i="50"/>
  <c r="W13" i="50"/>
  <c r="V13" i="50"/>
  <c r="N13" i="50"/>
  <c r="O13" i="50" s="1"/>
  <c r="R13" i="50"/>
  <c r="Q13" i="50"/>
  <c r="P13" i="50"/>
  <c r="U13" i="50"/>
  <c r="T13" i="50"/>
  <c r="S13" i="50"/>
  <c r="T27" i="105"/>
  <c r="S27" i="105"/>
  <c r="R27" i="105"/>
  <c r="Q27" i="105"/>
  <c r="N27" i="105"/>
  <c r="O27" i="105" s="1"/>
  <c r="P27" i="105"/>
  <c r="V27" i="105"/>
  <c r="U27" i="105"/>
  <c r="L27" i="105"/>
  <c r="V25" i="105"/>
  <c r="N25" i="105"/>
  <c r="O25" i="105" s="1"/>
  <c r="U25" i="105"/>
  <c r="T25" i="105"/>
  <c r="S25" i="105"/>
  <c r="R25" i="105"/>
  <c r="Q25" i="105"/>
  <c r="P25" i="105"/>
  <c r="V24" i="105"/>
  <c r="N24" i="105"/>
  <c r="O24" i="105" s="1"/>
  <c r="U24" i="105"/>
  <c r="P24" i="105"/>
  <c r="T24" i="105"/>
  <c r="S24" i="105"/>
  <c r="R24" i="105"/>
  <c r="Q24" i="105"/>
  <c r="T22" i="105"/>
  <c r="R22" i="105"/>
  <c r="Q22" i="105"/>
  <c r="P22" i="105"/>
  <c r="V22" i="105"/>
  <c r="N22" i="105"/>
  <c r="O22" i="105" s="1"/>
  <c r="U22" i="105"/>
  <c r="S22" i="105"/>
  <c r="V20" i="105"/>
  <c r="N20" i="105"/>
  <c r="O20" i="105" s="1"/>
  <c r="T20" i="105"/>
  <c r="U20" i="105"/>
  <c r="S20" i="105"/>
  <c r="R20" i="105"/>
  <c r="Q20" i="105"/>
  <c r="P20" i="105"/>
  <c r="M19" i="105"/>
  <c r="P18" i="105"/>
  <c r="V18" i="105"/>
  <c r="N18" i="105"/>
  <c r="O18" i="105" s="1"/>
  <c r="U18" i="105"/>
  <c r="T18" i="105"/>
  <c r="S18" i="105"/>
  <c r="R18" i="105"/>
  <c r="Q18" i="105"/>
  <c r="L18" i="105"/>
  <c r="T17" i="105"/>
  <c r="R17" i="105"/>
  <c r="Q17" i="105"/>
  <c r="P17" i="105"/>
  <c r="V17" i="105"/>
  <c r="N17" i="105"/>
  <c r="O17" i="105" s="1"/>
  <c r="U17" i="105"/>
  <c r="S17" i="105"/>
  <c r="P16" i="105"/>
  <c r="V16" i="105"/>
  <c r="N16" i="105"/>
  <c r="O16" i="105" s="1"/>
  <c r="U16" i="105"/>
  <c r="T16" i="105"/>
  <c r="S16" i="105"/>
  <c r="R16" i="105"/>
  <c r="Q16" i="105"/>
  <c r="L16" i="105"/>
  <c r="V15" i="105"/>
  <c r="N15" i="105"/>
  <c r="O15" i="105" s="1"/>
  <c r="U15" i="105"/>
  <c r="T15" i="105"/>
  <c r="S15" i="105"/>
  <c r="R15" i="105"/>
  <c r="Q15" i="105"/>
  <c r="P15" i="105"/>
  <c r="V13" i="105"/>
  <c r="P13" i="105"/>
  <c r="N13" i="105"/>
  <c r="O13" i="105" s="1"/>
  <c r="U13" i="105"/>
  <c r="T13" i="105"/>
  <c r="S13" i="105"/>
  <c r="R13" i="105"/>
  <c r="Q13" i="105"/>
  <c r="L13" i="105"/>
  <c r="P12" i="105"/>
  <c r="V12" i="105"/>
  <c r="N12" i="105"/>
  <c r="O12" i="105" s="1"/>
  <c r="U12" i="105"/>
  <c r="T12" i="105"/>
  <c r="S12" i="105"/>
  <c r="R12" i="105"/>
  <c r="Q12" i="105"/>
  <c r="T9" i="105"/>
  <c r="R9" i="105"/>
  <c r="Q9" i="105"/>
  <c r="P9" i="105"/>
  <c r="V9" i="105"/>
  <c r="N9" i="105"/>
  <c r="O9" i="105" s="1"/>
  <c r="U9" i="105"/>
  <c r="S9" i="105"/>
  <c r="V5" i="105"/>
  <c r="N5" i="105"/>
  <c r="O5" i="105" s="1"/>
  <c r="T5" i="105"/>
  <c r="S5" i="105"/>
  <c r="R5" i="105"/>
  <c r="Q5" i="105"/>
  <c r="P5" i="105"/>
  <c r="U5" i="105"/>
  <c r="M4" i="105"/>
  <c r="V24" i="104"/>
  <c r="N24" i="104"/>
  <c r="O24" i="104" s="1"/>
  <c r="U24" i="104"/>
  <c r="T24" i="104"/>
  <c r="S24" i="104"/>
  <c r="R24" i="104"/>
  <c r="Q24" i="104"/>
  <c r="P24" i="104"/>
  <c r="L24" i="104"/>
  <c r="U22" i="104"/>
  <c r="T22" i="104"/>
  <c r="S22" i="104"/>
  <c r="N22" i="104"/>
  <c r="O22" i="104" s="1"/>
  <c r="R22" i="104"/>
  <c r="Q22" i="104"/>
  <c r="P22" i="104"/>
  <c r="V22" i="104"/>
  <c r="L22" i="104"/>
  <c r="V4" i="5"/>
  <c r="N4" i="5"/>
  <c r="O4" i="5" s="1"/>
  <c r="U4" i="5"/>
  <c r="T4" i="5"/>
  <c r="S4" i="5"/>
  <c r="Q4" i="5"/>
  <c r="R4" i="5"/>
  <c r="P4" i="5"/>
  <c r="M3" i="5"/>
  <c r="R19" i="105" l="1"/>
  <c r="Q19" i="105"/>
  <c r="P19" i="105"/>
  <c r="V19" i="105"/>
  <c r="N19" i="105"/>
  <c r="O19" i="105" s="1"/>
  <c r="U19" i="105"/>
  <c r="T19" i="105"/>
  <c r="S19" i="105"/>
  <c r="T4" i="105"/>
  <c r="S4" i="105"/>
  <c r="R4" i="105"/>
  <c r="Q4" i="105"/>
  <c r="U4" i="105"/>
  <c r="P4" i="105"/>
  <c r="V4" i="105"/>
  <c r="N4" i="105"/>
  <c r="O4" i="105" s="1"/>
  <c r="R3" i="5"/>
  <c r="V3" i="5"/>
  <c r="Q3" i="5"/>
  <c r="P3" i="5"/>
  <c r="N3" i="5"/>
  <c r="O3" i="5" s="1"/>
  <c r="U3" i="5"/>
  <c r="T3" i="5"/>
  <c r="S3" i="5"/>
  <c r="H4" i="107" l="1"/>
  <c r="B4" i="107"/>
  <c r="D4" i="107" s="1"/>
  <c r="H3" i="107"/>
  <c r="B3" i="107"/>
  <c r="D3" i="107" s="1"/>
  <c r="H2" i="107"/>
  <c r="B2" i="107"/>
  <c r="D2" i="107" s="1"/>
  <c r="C2" i="107" l="1"/>
  <c r="E2" i="107" s="1"/>
  <c r="C3" i="107"/>
  <c r="E3" i="107" s="1"/>
  <c r="C4" i="107"/>
  <c r="E4" i="107" s="1"/>
  <c r="F2" i="107" l="1"/>
  <c r="L2" i="107" s="1"/>
  <c r="F3" i="107"/>
  <c r="L3" i="107" s="1"/>
  <c r="M3" i="107"/>
  <c r="F4" i="107"/>
  <c r="M4" i="107"/>
  <c r="L4" i="107"/>
  <c r="T3" i="107" l="1"/>
  <c r="S3" i="107"/>
  <c r="R3" i="107"/>
  <c r="Q3" i="107"/>
  <c r="P3" i="107"/>
  <c r="V3" i="107"/>
  <c r="N3" i="107"/>
  <c r="O3" i="107" s="1"/>
  <c r="U3" i="107"/>
  <c r="M2" i="107"/>
  <c r="T4" i="107"/>
  <c r="S4" i="107"/>
  <c r="R4" i="107"/>
  <c r="Q4" i="107"/>
  <c r="P4" i="107"/>
  <c r="V4" i="107"/>
  <c r="N4" i="107"/>
  <c r="O4" i="107" s="1"/>
  <c r="U4" i="107"/>
  <c r="N2" i="107" l="1"/>
  <c r="O2" i="107" s="1"/>
  <c r="U2" i="107"/>
  <c r="S2" i="107"/>
  <c r="T2" i="107"/>
  <c r="R2" i="107"/>
  <c r="Q2" i="107"/>
  <c r="P2" i="107"/>
  <c r="V2" i="107"/>
  <c r="G17" i="13" l="1"/>
  <c r="B17" i="13"/>
  <c r="D17" i="13" s="1"/>
  <c r="G16" i="13"/>
  <c r="B16" i="13"/>
  <c r="D16" i="13" s="1"/>
  <c r="G15" i="13"/>
  <c r="B15" i="13"/>
  <c r="D15" i="13" s="1"/>
  <c r="G12" i="13"/>
  <c r="B12" i="13"/>
  <c r="D12" i="13" s="1"/>
  <c r="G13" i="13"/>
  <c r="B13" i="13"/>
  <c r="C13" i="13" s="1"/>
  <c r="E13" i="13" s="1"/>
  <c r="G14" i="13"/>
  <c r="B14" i="13"/>
  <c r="D14" i="13" s="1"/>
  <c r="I44" i="18"/>
  <c r="B44" i="18"/>
  <c r="D44" i="18" s="1"/>
  <c r="I43" i="18"/>
  <c r="B43" i="18"/>
  <c r="D43" i="18" s="1"/>
  <c r="J8" i="102"/>
  <c r="D8" i="102"/>
  <c r="B8" i="102"/>
  <c r="C8" i="102" s="1"/>
  <c r="G8" i="102" s="1"/>
  <c r="I7" i="12"/>
  <c r="B7" i="12"/>
  <c r="C7" i="12" s="1"/>
  <c r="G7" i="12" s="1"/>
  <c r="C17" i="13" l="1"/>
  <c r="E17" i="13" s="1"/>
  <c r="C16" i="13"/>
  <c r="E16" i="13" s="1"/>
  <c r="C15" i="13"/>
  <c r="E15" i="13" s="1"/>
  <c r="C12" i="13"/>
  <c r="E12" i="13" s="1"/>
  <c r="D13" i="13"/>
  <c r="F13" i="13" s="1"/>
  <c r="C14" i="13"/>
  <c r="E14" i="13" s="1"/>
  <c r="C44" i="18"/>
  <c r="G44" i="18" s="1"/>
  <c r="C43" i="18"/>
  <c r="G43" i="18" s="1"/>
  <c r="H8" i="102"/>
  <c r="M8" i="102" s="1"/>
  <c r="D7" i="12"/>
  <c r="H7" i="12" s="1"/>
  <c r="F17" i="13" l="1"/>
  <c r="M17" i="13" s="1"/>
  <c r="F16" i="13"/>
  <c r="M16" i="13" s="1"/>
  <c r="F15" i="13"/>
  <c r="M15" i="13" s="1"/>
  <c r="F12" i="13"/>
  <c r="M12" i="13" s="1"/>
  <c r="L13" i="13"/>
  <c r="M13" i="13"/>
  <c r="F14" i="13"/>
  <c r="M14" i="13" s="1"/>
  <c r="L14" i="13"/>
  <c r="H44" i="18"/>
  <c r="M44" i="18" s="1"/>
  <c r="H43" i="18"/>
  <c r="M43" i="18" s="1"/>
  <c r="W8" i="102"/>
  <c r="V8" i="102"/>
  <c r="U8" i="102"/>
  <c r="T8" i="102"/>
  <c r="S8" i="102"/>
  <c r="R8" i="102"/>
  <c r="Q8" i="102"/>
  <c r="P8" i="102"/>
  <c r="N8" i="102"/>
  <c r="O8" i="102" s="1"/>
  <c r="L8" i="102"/>
  <c r="M7" i="12"/>
  <c r="L7" i="12"/>
  <c r="T17" i="13" l="1"/>
  <c r="V17" i="13"/>
  <c r="S17" i="13"/>
  <c r="R17" i="13"/>
  <c r="N17" i="13"/>
  <c r="O17" i="13" s="1"/>
  <c r="U17" i="13"/>
  <c r="Q17" i="13"/>
  <c r="P17" i="13"/>
  <c r="L17" i="13"/>
  <c r="V16" i="13"/>
  <c r="N16" i="13"/>
  <c r="O16" i="13" s="1"/>
  <c r="U16" i="13"/>
  <c r="S16" i="13"/>
  <c r="R16" i="13"/>
  <c r="Q16" i="13"/>
  <c r="P16" i="13"/>
  <c r="T16" i="13"/>
  <c r="L16" i="13"/>
  <c r="V15" i="13"/>
  <c r="N15" i="13"/>
  <c r="O15" i="13" s="1"/>
  <c r="U15" i="13"/>
  <c r="R15" i="13"/>
  <c r="Q15" i="13"/>
  <c r="P15" i="13"/>
  <c r="T15" i="13"/>
  <c r="S15" i="13"/>
  <c r="L15" i="13"/>
  <c r="V12" i="13"/>
  <c r="N12" i="13"/>
  <c r="O12" i="13" s="1"/>
  <c r="U12" i="13"/>
  <c r="T12" i="13"/>
  <c r="S12" i="13"/>
  <c r="P12" i="13"/>
  <c r="R12" i="13"/>
  <c r="Q12" i="13"/>
  <c r="L12" i="13"/>
  <c r="T13" i="13"/>
  <c r="Q13" i="13"/>
  <c r="P13" i="13"/>
  <c r="N13" i="13"/>
  <c r="O13" i="13" s="1"/>
  <c r="U13" i="13"/>
  <c r="S13" i="13"/>
  <c r="R13" i="13"/>
  <c r="V13" i="13"/>
  <c r="V14" i="13"/>
  <c r="N14" i="13"/>
  <c r="O14" i="13" s="1"/>
  <c r="R14" i="13"/>
  <c r="Q14" i="13"/>
  <c r="P14" i="13"/>
  <c r="U14" i="13"/>
  <c r="T14" i="13"/>
  <c r="S14" i="13"/>
  <c r="P44" i="18"/>
  <c r="V44" i="18"/>
  <c r="N44" i="18"/>
  <c r="U44" i="18"/>
  <c r="T44" i="18"/>
  <c r="S44" i="18"/>
  <c r="R44" i="18"/>
  <c r="Q44" i="18"/>
  <c r="L44" i="18"/>
  <c r="V43" i="18"/>
  <c r="N43" i="18"/>
  <c r="U43" i="18"/>
  <c r="T43" i="18"/>
  <c r="S43" i="18"/>
  <c r="R43" i="18"/>
  <c r="Q43" i="18"/>
  <c r="P43" i="18"/>
  <c r="L43" i="18"/>
  <c r="T7" i="12"/>
  <c r="R7" i="12"/>
  <c r="Q7" i="12"/>
  <c r="P7" i="12"/>
  <c r="W7" i="12"/>
  <c r="N7" i="12"/>
  <c r="O7" i="12" s="1"/>
  <c r="S7" i="12"/>
  <c r="V7" i="12"/>
  <c r="O44" i="18" l="1"/>
  <c r="O43" i="18"/>
  <c r="H7" i="10" l="1"/>
  <c r="B7" i="10"/>
  <c r="D7" i="10" s="1"/>
  <c r="I22" i="24"/>
  <c r="B22" i="24"/>
  <c r="D22" i="24" s="1"/>
  <c r="I21" i="24"/>
  <c r="B21" i="24"/>
  <c r="D21" i="24" s="1"/>
  <c r="I20" i="24"/>
  <c r="B20" i="24"/>
  <c r="D20" i="24" s="1"/>
  <c r="I42" i="18"/>
  <c r="B42" i="18"/>
  <c r="D42" i="18" s="1"/>
  <c r="C7" i="10" l="1"/>
  <c r="E7" i="10" s="1"/>
  <c r="C22" i="24"/>
  <c r="G22" i="24" s="1"/>
  <c r="C21" i="24"/>
  <c r="G21" i="24" s="1"/>
  <c r="C20" i="24"/>
  <c r="G20" i="24" s="1"/>
  <c r="C42" i="18"/>
  <c r="G42" i="18" s="1"/>
  <c r="I21" i="18"/>
  <c r="B21" i="18"/>
  <c r="C21" i="18" s="1"/>
  <c r="G21" i="18" s="1"/>
  <c r="I35" i="11"/>
  <c r="B35" i="11"/>
  <c r="D35" i="11" s="1"/>
  <c r="D21" i="18" l="1"/>
  <c r="H21" i="18" s="1"/>
  <c r="M21" i="18" s="1"/>
  <c r="F7" i="10"/>
  <c r="M7" i="10" s="1"/>
  <c r="H22" i="24"/>
  <c r="M22" i="24"/>
  <c r="L22" i="24"/>
  <c r="H21" i="24"/>
  <c r="L21" i="24" s="1"/>
  <c r="H20" i="24"/>
  <c r="M20" i="24" s="1"/>
  <c r="H42" i="18"/>
  <c r="L42" i="18" s="1"/>
  <c r="C35" i="11"/>
  <c r="G35" i="11" s="1"/>
  <c r="V7" i="10" l="1"/>
  <c r="U7" i="10"/>
  <c r="S7" i="10"/>
  <c r="R7" i="10"/>
  <c r="Q7" i="10"/>
  <c r="P7" i="10"/>
  <c r="T7" i="10"/>
  <c r="N7" i="10"/>
  <c r="O7" i="10" s="1"/>
  <c r="L7" i="10"/>
  <c r="V22" i="24"/>
  <c r="N22" i="24"/>
  <c r="O22" i="24" s="1"/>
  <c r="R22" i="24"/>
  <c r="Q22" i="24"/>
  <c r="P22" i="24"/>
  <c r="U22" i="24"/>
  <c r="T22" i="24"/>
  <c r="S22" i="24"/>
  <c r="M21" i="24"/>
  <c r="V20" i="24"/>
  <c r="N20" i="24"/>
  <c r="O20" i="24" s="1"/>
  <c r="U20" i="24"/>
  <c r="T20" i="24"/>
  <c r="S20" i="24"/>
  <c r="R20" i="24"/>
  <c r="Q20" i="24"/>
  <c r="P20" i="24"/>
  <c r="L20" i="24"/>
  <c r="M42" i="18"/>
  <c r="V21" i="18"/>
  <c r="N21" i="18"/>
  <c r="P21" i="18"/>
  <c r="U21" i="18"/>
  <c r="T21" i="18"/>
  <c r="S21" i="18"/>
  <c r="R21" i="18"/>
  <c r="Q21" i="18"/>
  <c r="L21" i="18"/>
  <c r="H35" i="11"/>
  <c r="L35" i="11" s="1"/>
  <c r="O21" i="18" l="1"/>
  <c r="V21" i="24"/>
  <c r="N21" i="24"/>
  <c r="O21" i="24" s="1"/>
  <c r="T21" i="24"/>
  <c r="S21" i="24"/>
  <c r="P21" i="24"/>
  <c r="U21" i="24"/>
  <c r="R21" i="24"/>
  <c r="Q21" i="24"/>
  <c r="U42" i="18"/>
  <c r="T42" i="18"/>
  <c r="S42" i="18"/>
  <c r="Q42" i="18"/>
  <c r="P42" i="18"/>
  <c r="V42" i="18"/>
  <c r="N42" i="18"/>
  <c r="R42" i="18"/>
  <c r="M35" i="11"/>
  <c r="I3" i="18"/>
  <c r="B3" i="18"/>
  <c r="D3" i="18" s="1"/>
  <c r="O42" i="18" l="1"/>
  <c r="T35" i="11"/>
  <c r="Q35" i="11"/>
  <c r="N35" i="11"/>
  <c r="S35" i="11"/>
  <c r="R35" i="11"/>
  <c r="P35" i="11"/>
  <c r="V35" i="11"/>
  <c r="U35" i="11"/>
  <c r="C3" i="18"/>
  <c r="G3" i="18" s="1"/>
  <c r="O35" i="11" l="1"/>
  <c r="H3" i="18"/>
  <c r="M3" i="18" s="1"/>
  <c r="J44" i="102"/>
  <c r="B44" i="102"/>
  <c r="D44" i="102" s="1"/>
  <c r="J41" i="102"/>
  <c r="B41" i="102"/>
  <c r="D41" i="102" s="1"/>
  <c r="P3" i="18" l="1"/>
  <c r="V3" i="18"/>
  <c r="N3" i="18"/>
  <c r="U3" i="18"/>
  <c r="T3" i="18"/>
  <c r="S3" i="18"/>
  <c r="R3" i="18"/>
  <c r="Q3" i="18"/>
  <c r="L3" i="18"/>
  <c r="C44" i="102"/>
  <c r="G44" i="102" s="1"/>
  <c r="C41" i="102"/>
  <c r="G41" i="102" s="1"/>
  <c r="O3" i="18" l="1"/>
  <c r="H44" i="102"/>
  <c r="L44" i="102" s="1"/>
  <c r="H41" i="102"/>
  <c r="L41" i="102" s="1"/>
  <c r="H8" i="25"/>
  <c r="B8" i="25"/>
  <c r="D8" i="25" s="1"/>
  <c r="J35" i="8"/>
  <c r="E35" i="8"/>
  <c r="B35" i="8"/>
  <c r="C35" i="8" s="1"/>
  <c r="G35" i="8" s="1"/>
  <c r="J10" i="67"/>
  <c r="E10" i="67"/>
  <c r="B10" i="67"/>
  <c r="C10" i="67" s="1"/>
  <c r="G10" i="67" s="1"/>
  <c r="J9" i="67"/>
  <c r="E9" i="67"/>
  <c r="B9" i="67"/>
  <c r="D9" i="67" s="1"/>
  <c r="M44" i="102" l="1"/>
  <c r="T44" i="102" s="1"/>
  <c r="S44" i="102"/>
  <c r="R44" i="102"/>
  <c r="Q44" i="102"/>
  <c r="P44" i="102"/>
  <c r="W44" i="102"/>
  <c r="V44" i="102"/>
  <c r="N44" i="102"/>
  <c r="O44" i="102" s="1"/>
  <c r="U44" i="102"/>
  <c r="M41" i="102"/>
  <c r="C8" i="25"/>
  <c r="E8" i="25" s="1"/>
  <c r="D35" i="8"/>
  <c r="H35" i="8" s="1"/>
  <c r="D10" i="67"/>
  <c r="H10" i="67" s="1"/>
  <c r="C9" i="67"/>
  <c r="G9" i="67" s="1"/>
  <c r="R41" i="102" l="1"/>
  <c r="N41" i="102"/>
  <c r="O41" i="102" s="1"/>
  <c r="U41" i="102"/>
  <c r="T41" i="102"/>
  <c r="S41" i="102"/>
  <c r="Q41" i="102"/>
  <c r="P41" i="102"/>
  <c r="W41" i="102"/>
  <c r="V41" i="102"/>
  <c r="F8" i="25"/>
  <c r="M8" i="25" s="1"/>
  <c r="M35" i="8"/>
  <c r="L35" i="8"/>
  <c r="L10" i="67"/>
  <c r="M10" i="67"/>
  <c r="H9" i="67"/>
  <c r="M9" i="67" s="1"/>
  <c r="V8" i="25" l="1"/>
  <c r="N8" i="25"/>
  <c r="O8" i="25" s="1"/>
  <c r="U8" i="25"/>
  <c r="T8" i="25"/>
  <c r="R8" i="25"/>
  <c r="Q8" i="25"/>
  <c r="P8" i="25"/>
  <c r="S8" i="25"/>
  <c r="L8" i="25"/>
  <c r="V35" i="8"/>
  <c r="N35" i="8"/>
  <c r="O35" i="8" s="1"/>
  <c r="U35" i="8"/>
  <c r="T35" i="8"/>
  <c r="S35" i="8"/>
  <c r="R35" i="8"/>
  <c r="Q35" i="8"/>
  <c r="P35" i="8"/>
  <c r="U10" i="67"/>
  <c r="S10" i="67"/>
  <c r="R10" i="67"/>
  <c r="N10" i="67"/>
  <c r="O10" i="67" s="1"/>
  <c r="Q10" i="67"/>
  <c r="V10" i="67"/>
  <c r="T10" i="67"/>
  <c r="P10" i="67"/>
  <c r="S9" i="67"/>
  <c r="R9" i="67"/>
  <c r="P9" i="67"/>
  <c r="Q9" i="67"/>
  <c r="V9" i="67"/>
  <c r="N9" i="67"/>
  <c r="O9" i="67" s="1"/>
  <c r="U9" i="67"/>
  <c r="T9" i="67"/>
  <c r="L9" i="67"/>
  <c r="I37" i="18" l="1"/>
  <c r="B37" i="18"/>
  <c r="D37" i="18" s="1"/>
  <c r="C37" i="18" l="1"/>
  <c r="G37" i="18" s="1"/>
  <c r="H37" i="18" l="1"/>
  <c r="M37" i="18" s="1"/>
  <c r="U37" i="18" l="1"/>
  <c r="T37" i="18"/>
  <c r="S37" i="18"/>
  <c r="R37" i="18"/>
  <c r="Q37" i="18"/>
  <c r="P37" i="18"/>
  <c r="V37" i="18"/>
  <c r="N37" i="18"/>
  <c r="L37" i="18"/>
  <c r="O37" i="18" l="1"/>
  <c r="G9" i="13"/>
  <c r="B9" i="13"/>
  <c r="D9" i="13" s="1"/>
  <c r="G7" i="13"/>
  <c r="B7" i="13"/>
  <c r="D7" i="13" s="1"/>
  <c r="G6" i="13"/>
  <c r="B6" i="13"/>
  <c r="D6" i="13" s="1"/>
  <c r="C7" i="13" l="1"/>
  <c r="E7" i="13" s="1"/>
  <c r="F7" i="13" s="1"/>
  <c r="M7" i="13" s="1"/>
  <c r="C9" i="13"/>
  <c r="E9" i="13" s="1"/>
  <c r="C6" i="13"/>
  <c r="E6" i="13" s="1"/>
  <c r="H92" i="49"/>
  <c r="B92" i="49"/>
  <c r="D92" i="49" s="1"/>
  <c r="F9" i="13" l="1"/>
  <c r="M9" i="13" s="1"/>
  <c r="V7" i="13"/>
  <c r="N7" i="13"/>
  <c r="O7" i="13" s="1"/>
  <c r="T7" i="13"/>
  <c r="Q7" i="13"/>
  <c r="P7" i="13"/>
  <c r="U7" i="13"/>
  <c r="S7" i="13"/>
  <c r="R7" i="13"/>
  <c r="L7" i="13"/>
  <c r="F6" i="13"/>
  <c r="M6" i="13" s="1"/>
  <c r="C92" i="49"/>
  <c r="E92" i="49" s="1"/>
  <c r="V9" i="13" l="1"/>
  <c r="N9" i="13"/>
  <c r="O9" i="13" s="1"/>
  <c r="U9" i="13"/>
  <c r="T9" i="13"/>
  <c r="S9" i="13"/>
  <c r="R9" i="13"/>
  <c r="Q9" i="13"/>
  <c r="P9" i="13"/>
  <c r="L9" i="13"/>
  <c r="U6" i="13"/>
  <c r="T6" i="13"/>
  <c r="S6" i="13"/>
  <c r="R6" i="13"/>
  <c r="Q6" i="13"/>
  <c r="P6" i="13"/>
  <c r="V6" i="13"/>
  <c r="N6" i="13"/>
  <c r="O6" i="13" s="1"/>
  <c r="L6" i="13"/>
  <c r="F92" i="49"/>
  <c r="M92" i="49" s="1"/>
  <c r="AC92" i="49" l="1"/>
  <c r="AB92" i="49"/>
  <c r="AA92" i="49"/>
  <c r="Z92" i="49"/>
  <c r="Y92" i="49"/>
  <c r="P92" i="49"/>
  <c r="V92" i="49"/>
  <c r="N92" i="49"/>
  <c r="O92" i="49" s="1"/>
  <c r="R92" i="49"/>
  <c r="Q92" i="49"/>
  <c r="U92" i="49"/>
  <c r="T92" i="49"/>
  <c r="W92" i="49" s="1"/>
  <c r="S92" i="49"/>
  <c r="L92" i="49"/>
  <c r="J6" i="9" l="1"/>
  <c r="B6" i="9"/>
  <c r="D6" i="9" s="1"/>
  <c r="C6" i="9" l="1"/>
  <c r="G6" i="9" s="1"/>
  <c r="J40" i="8"/>
  <c r="E40" i="8"/>
  <c r="B40" i="8"/>
  <c r="C40" i="8" s="1"/>
  <c r="G40" i="8" s="1"/>
  <c r="J36" i="8"/>
  <c r="E36" i="8"/>
  <c r="B36" i="8"/>
  <c r="C36" i="8" s="1"/>
  <c r="G36" i="8" s="1"/>
  <c r="J22" i="8"/>
  <c r="E22" i="8"/>
  <c r="B22" i="8"/>
  <c r="C22" i="8" s="1"/>
  <c r="G22" i="8" s="1"/>
  <c r="D36" i="8" l="1"/>
  <c r="H36" i="8" s="1"/>
  <c r="M36" i="8" s="1"/>
  <c r="D22" i="8"/>
  <c r="H22" i="8" s="1"/>
  <c r="L22" i="8" s="1"/>
  <c r="D40" i="8"/>
  <c r="H40" i="8" s="1"/>
  <c r="H6" i="9"/>
  <c r="M6" i="9" s="1"/>
  <c r="M40" i="8" l="1"/>
  <c r="V40" i="8" s="1"/>
  <c r="L40" i="8"/>
  <c r="Q6" i="9"/>
  <c r="R6" i="9"/>
  <c r="P6" i="9"/>
  <c r="S6" i="9"/>
  <c r="T6" i="9"/>
  <c r="U6" i="9"/>
  <c r="N6" i="9"/>
  <c r="O6" i="9" s="1"/>
  <c r="V6" i="9"/>
  <c r="L6" i="9"/>
  <c r="N40" i="8"/>
  <c r="O40" i="8" s="1"/>
  <c r="U40" i="8"/>
  <c r="R40" i="8"/>
  <c r="T40" i="8"/>
  <c r="S40" i="8"/>
  <c r="Q40" i="8"/>
  <c r="P40" i="8"/>
  <c r="V36" i="8"/>
  <c r="N36" i="8"/>
  <c r="O36" i="8" s="1"/>
  <c r="U36" i="8"/>
  <c r="Q36" i="8"/>
  <c r="R36" i="8"/>
  <c r="T36" i="8"/>
  <c r="S36" i="8"/>
  <c r="P36" i="8"/>
  <c r="L36" i="8"/>
  <c r="M22" i="8"/>
  <c r="V22" i="8" l="1"/>
  <c r="N22" i="8"/>
  <c r="O22" i="8" s="1"/>
  <c r="T22" i="8"/>
  <c r="S22" i="8"/>
  <c r="U22" i="8"/>
  <c r="R22" i="8"/>
  <c r="Q22" i="8"/>
  <c r="P22" i="8"/>
  <c r="J2" i="105" l="1"/>
  <c r="E2" i="105"/>
  <c r="B2" i="105"/>
  <c r="D2" i="105" s="1"/>
  <c r="I16" i="104"/>
  <c r="B16" i="104"/>
  <c r="D16" i="104" s="1"/>
  <c r="I18" i="104"/>
  <c r="B18" i="104"/>
  <c r="D18" i="104" s="1"/>
  <c r="I13" i="104"/>
  <c r="B13" i="104"/>
  <c r="D13" i="104" s="1"/>
  <c r="I11" i="104"/>
  <c r="B11" i="104"/>
  <c r="D11" i="104" s="1"/>
  <c r="I10" i="104"/>
  <c r="B10" i="104"/>
  <c r="D10" i="104" s="1"/>
  <c r="I9" i="104"/>
  <c r="B9" i="104"/>
  <c r="D9" i="104" s="1"/>
  <c r="I7" i="104"/>
  <c r="B7" i="104"/>
  <c r="D7" i="104" s="1"/>
  <c r="C2" i="105" l="1"/>
  <c r="G2" i="105" s="1"/>
  <c r="H2" i="105" s="1"/>
  <c r="C16" i="104"/>
  <c r="G16" i="104" s="1"/>
  <c r="C18" i="104"/>
  <c r="G18" i="104" s="1"/>
  <c r="C13" i="104"/>
  <c r="G13" i="104" s="1"/>
  <c r="H13" i="104" s="1"/>
  <c r="L13" i="104" s="1"/>
  <c r="C11" i="104"/>
  <c r="G11" i="104" s="1"/>
  <c r="H11" i="104" s="1"/>
  <c r="M11" i="104" s="1"/>
  <c r="C9" i="104"/>
  <c r="G9" i="104" s="1"/>
  <c r="C10" i="104"/>
  <c r="G10" i="104" s="1"/>
  <c r="C7" i="104"/>
  <c r="G7" i="104" s="1"/>
  <c r="M2" i="105" l="1"/>
  <c r="H16" i="104"/>
  <c r="L16" i="104" s="1"/>
  <c r="H18" i="104"/>
  <c r="M18" i="104" s="1"/>
  <c r="H9" i="104"/>
  <c r="L9" i="104" s="1"/>
  <c r="M13" i="104"/>
  <c r="V11" i="104"/>
  <c r="N11" i="104"/>
  <c r="R11" i="104"/>
  <c r="Q11" i="104"/>
  <c r="P11" i="104"/>
  <c r="U11" i="104"/>
  <c r="T11" i="104"/>
  <c r="S11" i="104"/>
  <c r="L11" i="104"/>
  <c r="H10" i="104"/>
  <c r="M10" i="104" s="1"/>
  <c r="H7" i="104"/>
  <c r="L7" i="104" s="1"/>
  <c r="I31" i="18"/>
  <c r="B31" i="18"/>
  <c r="D31" i="18" s="1"/>
  <c r="O11" i="104" l="1"/>
  <c r="M16" i="104"/>
  <c r="L2" i="105"/>
  <c r="T2" i="105"/>
  <c r="S2" i="105"/>
  <c r="R2" i="105"/>
  <c r="V2" i="105"/>
  <c r="Q2" i="105"/>
  <c r="P2" i="105"/>
  <c r="N2" i="105"/>
  <c r="O2" i="105" s="1"/>
  <c r="U2" i="105"/>
  <c r="V18" i="104"/>
  <c r="N18" i="104"/>
  <c r="R18" i="104"/>
  <c r="Q18" i="104"/>
  <c r="P18" i="104"/>
  <c r="U18" i="104"/>
  <c r="T18" i="104"/>
  <c r="S18" i="104"/>
  <c r="L18" i="104"/>
  <c r="M9" i="104"/>
  <c r="V13" i="104"/>
  <c r="N13" i="104"/>
  <c r="U13" i="104"/>
  <c r="R13" i="104"/>
  <c r="Q13" i="104"/>
  <c r="P13" i="104"/>
  <c r="T13" i="104"/>
  <c r="S13" i="104"/>
  <c r="V10" i="104"/>
  <c r="N10" i="104"/>
  <c r="R10" i="104"/>
  <c r="Q10" i="104"/>
  <c r="P10" i="104"/>
  <c r="U10" i="104"/>
  <c r="T10" i="104"/>
  <c r="S10" i="104"/>
  <c r="L10" i="104"/>
  <c r="M7" i="104"/>
  <c r="C31" i="18"/>
  <c r="G31" i="18" s="1"/>
  <c r="I19" i="104"/>
  <c r="B19" i="104"/>
  <c r="D19" i="104" s="1"/>
  <c r="I20" i="104"/>
  <c r="B20" i="104"/>
  <c r="D20" i="104" s="1"/>
  <c r="I17" i="104"/>
  <c r="B17" i="104"/>
  <c r="D17" i="104" s="1"/>
  <c r="I5" i="104"/>
  <c r="B5" i="104"/>
  <c r="D5" i="104" s="1"/>
  <c r="I4" i="104"/>
  <c r="B4" i="104"/>
  <c r="D4" i="104" s="1"/>
  <c r="I6" i="104"/>
  <c r="B6" i="104"/>
  <c r="D6" i="104" s="1"/>
  <c r="I8" i="104"/>
  <c r="B8" i="104"/>
  <c r="D8" i="104" s="1"/>
  <c r="I12" i="104"/>
  <c r="B12" i="104"/>
  <c r="C12" i="104" s="1"/>
  <c r="G12" i="104" s="1"/>
  <c r="I15" i="104"/>
  <c r="B15" i="104"/>
  <c r="D15" i="104" s="1"/>
  <c r="I14" i="104"/>
  <c r="B14" i="104"/>
  <c r="C14" i="104" s="1"/>
  <c r="G14" i="104" s="1"/>
  <c r="I2" i="104"/>
  <c r="B2" i="104"/>
  <c r="C2" i="104" s="1"/>
  <c r="G2" i="104" s="1"/>
  <c r="O13" i="104" l="1"/>
  <c r="O18" i="104"/>
  <c r="O10" i="104"/>
  <c r="S16" i="104"/>
  <c r="T16" i="104"/>
  <c r="U16" i="104"/>
  <c r="Q16" i="104"/>
  <c r="P16" i="104"/>
  <c r="R16" i="104"/>
  <c r="N16" i="104"/>
  <c r="V16" i="104"/>
  <c r="V9" i="104"/>
  <c r="N9" i="104"/>
  <c r="U9" i="104"/>
  <c r="T9" i="104"/>
  <c r="S9" i="104"/>
  <c r="R9" i="104"/>
  <c r="Q9" i="104"/>
  <c r="P9" i="104"/>
  <c r="D12" i="104"/>
  <c r="D14" i="104"/>
  <c r="H14" i="104" s="1"/>
  <c r="M14" i="104" s="1"/>
  <c r="C5" i="104"/>
  <c r="G5" i="104" s="1"/>
  <c r="H5" i="104" s="1"/>
  <c r="M5" i="104" s="1"/>
  <c r="V7" i="104"/>
  <c r="R7" i="104"/>
  <c r="N7" i="104"/>
  <c r="U7" i="104"/>
  <c r="T7" i="104"/>
  <c r="S7" i="104"/>
  <c r="Q7" i="104"/>
  <c r="P7" i="104"/>
  <c r="H31" i="18"/>
  <c r="M31" i="18" s="1"/>
  <c r="C19" i="104"/>
  <c r="G19" i="104" s="1"/>
  <c r="C20" i="104"/>
  <c r="G20" i="104" s="1"/>
  <c r="C17" i="104"/>
  <c r="G17" i="104" s="1"/>
  <c r="C4" i="104"/>
  <c r="G4" i="104" s="1"/>
  <c r="C6" i="104"/>
  <c r="G6" i="104" s="1"/>
  <c r="C8" i="104"/>
  <c r="G8" i="104" s="1"/>
  <c r="H12" i="104"/>
  <c r="M12" i="104" s="1"/>
  <c r="C15" i="104"/>
  <c r="G15" i="104" s="1"/>
  <c r="D2" i="104"/>
  <c r="H2" i="104" s="1"/>
  <c r="M2" i="104" s="1"/>
  <c r="H25" i="5"/>
  <c r="B25" i="5"/>
  <c r="D25" i="5" s="1"/>
  <c r="H24" i="5"/>
  <c r="B24" i="5"/>
  <c r="D24" i="5" s="1"/>
  <c r="H23" i="5"/>
  <c r="B23" i="5"/>
  <c r="C23" i="5" s="1"/>
  <c r="F23" i="5" s="1"/>
  <c r="H22" i="5"/>
  <c r="B22" i="5"/>
  <c r="D22" i="5" s="1"/>
  <c r="H21" i="5"/>
  <c r="B21" i="5"/>
  <c r="D21" i="5" s="1"/>
  <c r="H20" i="5"/>
  <c r="B20" i="5"/>
  <c r="D20" i="5" s="1"/>
  <c r="H19" i="5"/>
  <c r="B19" i="5"/>
  <c r="C19" i="5" s="1"/>
  <c r="F19" i="5" s="1"/>
  <c r="H18" i="5"/>
  <c r="B18" i="5"/>
  <c r="D18" i="5" s="1"/>
  <c r="H17" i="5"/>
  <c r="B17" i="5"/>
  <c r="D17" i="5" s="1"/>
  <c r="H16" i="5"/>
  <c r="B16" i="5"/>
  <c r="D16" i="5" s="1"/>
  <c r="H15" i="5"/>
  <c r="B15" i="5"/>
  <c r="D15" i="5" s="1"/>
  <c r="H14" i="5"/>
  <c r="B14" i="5"/>
  <c r="D14" i="5" s="1"/>
  <c r="H13" i="5"/>
  <c r="B13" i="5"/>
  <c r="D13" i="5" s="1"/>
  <c r="H12" i="5"/>
  <c r="B12" i="5"/>
  <c r="D12" i="5" s="1"/>
  <c r="H11" i="5"/>
  <c r="B11" i="5"/>
  <c r="C11" i="5" s="1"/>
  <c r="F11" i="5" s="1"/>
  <c r="H10" i="5"/>
  <c r="B10" i="5"/>
  <c r="D10" i="5" s="1"/>
  <c r="H9" i="5"/>
  <c r="B9" i="5"/>
  <c r="D9" i="5" s="1"/>
  <c r="H8" i="5"/>
  <c r="B8" i="5"/>
  <c r="D8" i="5" s="1"/>
  <c r="H7" i="5"/>
  <c r="B7" i="5"/>
  <c r="D7" i="5" s="1"/>
  <c r="H6" i="5"/>
  <c r="B6" i="5"/>
  <c r="C6" i="5" s="1"/>
  <c r="F6" i="5" s="1"/>
  <c r="H5" i="5"/>
  <c r="B5" i="5"/>
  <c r="C5" i="5" s="1"/>
  <c r="F5" i="5" s="1"/>
  <c r="O16" i="104" l="1"/>
  <c r="O9" i="104"/>
  <c r="O7" i="104"/>
  <c r="C12" i="5"/>
  <c r="F12" i="5" s="1"/>
  <c r="C24" i="5"/>
  <c r="F24" i="5" s="1"/>
  <c r="C7" i="5"/>
  <c r="F7" i="5" s="1"/>
  <c r="L5" i="104"/>
  <c r="L14" i="104"/>
  <c r="V31" i="18"/>
  <c r="U31" i="18"/>
  <c r="T31" i="18"/>
  <c r="S31" i="18"/>
  <c r="R31" i="18"/>
  <c r="Q31" i="18"/>
  <c r="P31" i="18"/>
  <c r="N31" i="18"/>
  <c r="L31" i="18"/>
  <c r="H19" i="104"/>
  <c r="M19" i="104" s="1"/>
  <c r="H20" i="104"/>
  <c r="M20" i="104" s="1"/>
  <c r="H17" i="104"/>
  <c r="M17" i="104" s="1"/>
  <c r="V5" i="104"/>
  <c r="N5" i="104"/>
  <c r="U5" i="104"/>
  <c r="R5" i="104"/>
  <c r="Q5" i="104"/>
  <c r="P5" i="104"/>
  <c r="T5" i="104"/>
  <c r="S5" i="104"/>
  <c r="H4" i="104"/>
  <c r="L4" i="104" s="1"/>
  <c r="H6" i="104"/>
  <c r="L6" i="104" s="1"/>
  <c r="H8" i="104"/>
  <c r="M8" i="104" s="1"/>
  <c r="V12" i="104"/>
  <c r="N12" i="104"/>
  <c r="U12" i="104"/>
  <c r="T12" i="104"/>
  <c r="S12" i="104"/>
  <c r="R12" i="104"/>
  <c r="Q12" i="104"/>
  <c r="P12" i="104"/>
  <c r="L12" i="104"/>
  <c r="H15" i="104"/>
  <c r="L15" i="104" s="1"/>
  <c r="V14" i="104"/>
  <c r="N14" i="104"/>
  <c r="U14" i="104"/>
  <c r="T14" i="104"/>
  <c r="S14" i="104"/>
  <c r="R14" i="104"/>
  <c r="Q14" i="104"/>
  <c r="P14" i="104"/>
  <c r="V2" i="104"/>
  <c r="N2" i="104"/>
  <c r="O2" i="104" s="1"/>
  <c r="U2" i="104"/>
  <c r="R2" i="104"/>
  <c r="Q2" i="104"/>
  <c r="P2" i="104"/>
  <c r="T2" i="104"/>
  <c r="S2" i="104"/>
  <c r="L2" i="104"/>
  <c r="D5" i="5"/>
  <c r="G5" i="5" s="1"/>
  <c r="M5" i="5" s="1"/>
  <c r="C8" i="5"/>
  <c r="F8" i="5" s="1"/>
  <c r="D11" i="5"/>
  <c r="D23" i="5"/>
  <c r="G23" i="5" s="1"/>
  <c r="M23" i="5" s="1"/>
  <c r="D6" i="5"/>
  <c r="G6" i="5" s="1"/>
  <c r="L6" i="5" s="1"/>
  <c r="C14" i="5"/>
  <c r="F14" i="5" s="1"/>
  <c r="G14" i="5" s="1"/>
  <c r="M14" i="5" s="1"/>
  <c r="D19" i="5"/>
  <c r="G19" i="5" s="1"/>
  <c r="M19" i="5" s="1"/>
  <c r="C25" i="5"/>
  <c r="F25" i="5" s="1"/>
  <c r="G24" i="5"/>
  <c r="M24" i="5" s="1"/>
  <c r="C22" i="5"/>
  <c r="F22" i="5" s="1"/>
  <c r="C21" i="5"/>
  <c r="F21" i="5" s="1"/>
  <c r="C20" i="5"/>
  <c r="F20" i="5" s="1"/>
  <c r="C18" i="5"/>
  <c r="F18" i="5" s="1"/>
  <c r="C17" i="5"/>
  <c r="F17" i="5" s="1"/>
  <c r="C16" i="5"/>
  <c r="F16" i="5" s="1"/>
  <c r="C15" i="5"/>
  <c r="F15" i="5" s="1"/>
  <c r="C13" i="5"/>
  <c r="F13" i="5" s="1"/>
  <c r="G12" i="5"/>
  <c r="M12" i="5" s="1"/>
  <c r="G11" i="5"/>
  <c r="M11" i="5" s="1"/>
  <c r="C10" i="5"/>
  <c r="F10" i="5" s="1"/>
  <c r="C9" i="5"/>
  <c r="F9" i="5" s="1"/>
  <c r="G8" i="5"/>
  <c r="L8" i="5" s="1"/>
  <c r="G7" i="5"/>
  <c r="M7" i="5" s="1"/>
  <c r="I15" i="24"/>
  <c r="B15" i="24"/>
  <c r="D15" i="24" s="1"/>
  <c r="O5" i="104" l="1"/>
  <c r="O14" i="104"/>
  <c r="O12" i="104"/>
  <c r="O31" i="18"/>
  <c r="L5" i="5"/>
  <c r="M8" i="5"/>
  <c r="L8" i="104"/>
  <c r="M15" i="104"/>
  <c r="M4" i="104"/>
  <c r="V4" i="104" s="1"/>
  <c r="L19" i="104"/>
  <c r="M6" i="104"/>
  <c r="V19" i="104"/>
  <c r="N19" i="104"/>
  <c r="U19" i="104"/>
  <c r="T19" i="104"/>
  <c r="S19" i="104"/>
  <c r="R19" i="104"/>
  <c r="Q19" i="104"/>
  <c r="P19" i="104"/>
  <c r="V20" i="104"/>
  <c r="N20" i="104"/>
  <c r="U20" i="104"/>
  <c r="T20" i="104"/>
  <c r="S20" i="104"/>
  <c r="R20" i="104"/>
  <c r="Q20" i="104"/>
  <c r="P20" i="104"/>
  <c r="L20" i="104"/>
  <c r="V17" i="104"/>
  <c r="N17" i="104"/>
  <c r="U17" i="104"/>
  <c r="S17" i="104"/>
  <c r="T17" i="104"/>
  <c r="R17" i="104"/>
  <c r="Q17" i="104"/>
  <c r="P17" i="104"/>
  <c r="L17" i="104"/>
  <c r="T4" i="104"/>
  <c r="V8" i="104"/>
  <c r="R8" i="104"/>
  <c r="Q8" i="104"/>
  <c r="P8" i="104"/>
  <c r="N8" i="104"/>
  <c r="U8" i="104"/>
  <c r="T8" i="104"/>
  <c r="S8" i="104"/>
  <c r="C15" i="24"/>
  <c r="G15" i="24" s="1"/>
  <c r="L7" i="5"/>
  <c r="G25" i="5"/>
  <c r="M25" i="5" s="1"/>
  <c r="V24" i="5"/>
  <c r="N24" i="5"/>
  <c r="U24" i="5"/>
  <c r="T24" i="5"/>
  <c r="S24" i="5"/>
  <c r="R24" i="5"/>
  <c r="Q24" i="5"/>
  <c r="P24" i="5"/>
  <c r="L24" i="5"/>
  <c r="V23" i="5"/>
  <c r="N23" i="5"/>
  <c r="Q23" i="5"/>
  <c r="U23" i="5"/>
  <c r="T23" i="5"/>
  <c r="S23" i="5"/>
  <c r="R23" i="5"/>
  <c r="P23" i="5"/>
  <c r="L23" i="5"/>
  <c r="G22" i="5"/>
  <c r="M22" i="5" s="1"/>
  <c r="G21" i="5"/>
  <c r="M21" i="5" s="1"/>
  <c r="G20" i="5"/>
  <c r="L20" i="5" s="1"/>
  <c r="V19" i="5"/>
  <c r="N19" i="5"/>
  <c r="R19" i="5"/>
  <c r="U19" i="5"/>
  <c r="T19" i="5"/>
  <c r="S19" i="5"/>
  <c r="Q19" i="5"/>
  <c r="P19" i="5"/>
  <c r="L19" i="5"/>
  <c r="G18" i="5"/>
  <c r="M18" i="5" s="1"/>
  <c r="G17" i="5"/>
  <c r="L17" i="5" s="1"/>
  <c r="G16" i="5"/>
  <c r="M16" i="5" s="1"/>
  <c r="G15" i="5"/>
  <c r="M15" i="5" s="1"/>
  <c r="V14" i="5"/>
  <c r="N14" i="5"/>
  <c r="U14" i="5"/>
  <c r="T14" i="5"/>
  <c r="S14" i="5"/>
  <c r="R14" i="5"/>
  <c r="Q14" i="5"/>
  <c r="P14" i="5"/>
  <c r="L14" i="5"/>
  <c r="G13" i="5"/>
  <c r="M13" i="5" s="1"/>
  <c r="V12" i="5"/>
  <c r="N12" i="5"/>
  <c r="U12" i="5"/>
  <c r="R12" i="5"/>
  <c r="Q12" i="5"/>
  <c r="P12" i="5"/>
  <c r="T12" i="5"/>
  <c r="S12" i="5"/>
  <c r="L12" i="5"/>
  <c r="V11" i="5"/>
  <c r="N11" i="5"/>
  <c r="T11" i="5"/>
  <c r="S11" i="5"/>
  <c r="R11" i="5"/>
  <c r="Q11" i="5"/>
  <c r="P11" i="5"/>
  <c r="U11" i="5"/>
  <c r="L11" i="5"/>
  <c r="G10" i="5"/>
  <c r="M10" i="5" s="1"/>
  <c r="G9" i="5"/>
  <c r="M9" i="5" s="1"/>
  <c r="Q8" i="5"/>
  <c r="V7" i="5"/>
  <c r="N7" i="5"/>
  <c r="Q7" i="5"/>
  <c r="U7" i="5"/>
  <c r="T7" i="5"/>
  <c r="S7" i="5"/>
  <c r="R7" i="5"/>
  <c r="P7" i="5"/>
  <c r="M6" i="5"/>
  <c r="T5" i="5"/>
  <c r="S5" i="5"/>
  <c r="V5" i="5"/>
  <c r="N5" i="5"/>
  <c r="U5" i="5"/>
  <c r="R5" i="5"/>
  <c r="Q5" i="5"/>
  <c r="P5" i="5"/>
  <c r="H15" i="24"/>
  <c r="M15" i="24" s="1"/>
  <c r="V6" i="104" l="1"/>
  <c r="O8" i="104"/>
  <c r="O17" i="104"/>
  <c r="U4" i="104"/>
  <c r="O20" i="104"/>
  <c r="O19" i="104"/>
  <c r="P15" i="104"/>
  <c r="S8" i="5"/>
  <c r="T8" i="5"/>
  <c r="U8" i="5"/>
  <c r="O19" i="5"/>
  <c r="R8" i="5"/>
  <c r="O12" i="5"/>
  <c r="O11" i="5"/>
  <c r="O5" i="5"/>
  <c r="P8" i="5"/>
  <c r="O23" i="5"/>
  <c r="N8" i="5"/>
  <c r="O24" i="5"/>
  <c r="O14" i="5"/>
  <c r="O7" i="5"/>
  <c r="V8" i="5"/>
  <c r="L22" i="5"/>
  <c r="L10" i="5"/>
  <c r="Q15" i="104"/>
  <c r="N4" i="104"/>
  <c r="P4" i="104"/>
  <c r="S15" i="104"/>
  <c r="T15" i="104"/>
  <c r="U15" i="104"/>
  <c r="R15" i="104"/>
  <c r="N15" i="104"/>
  <c r="V15" i="104"/>
  <c r="Q4" i="104"/>
  <c r="R4" i="104"/>
  <c r="P6" i="104"/>
  <c r="N6" i="104"/>
  <c r="Q6" i="104"/>
  <c r="R6" i="104"/>
  <c r="S6" i="104"/>
  <c r="S4" i="104"/>
  <c r="T6" i="104"/>
  <c r="U6" i="104"/>
  <c r="M17" i="5"/>
  <c r="V25" i="5"/>
  <c r="N25" i="5"/>
  <c r="U25" i="5"/>
  <c r="T25" i="5"/>
  <c r="S25" i="5"/>
  <c r="R25" i="5"/>
  <c r="Q25" i="5"/>
  <c r="P25" i="5"/>
  <c r="L25" i="5"/>
  <c r="V22" i="5"/>
  <c r="N22" i="5"/>
  <c r="U22" i="5"/>
  <c r="T22" i="5"/>
  <c r="S22" i="5"/>
  <c r="P22" i="5"/>
  <c r="R22" i="5"/>
  <c r="Q22" i="5"/>
  <c r="V21" i="5"/>
  <c r="N21" i="5"/>
  <c r="U21" i="5"/>
  <c r="S21" i="5"/>
  <c r="R21" i="5"/>
  <c r="Q21" i="5"/>
  <c r="P21" i="5"/>
  <c r="T21" i="5"/>
  <c r="L21" i="5"/>
  <c r="M20" i="5"/>
  <c r="V18" i="5"/>
  <c r="N18" i="5"/>
  <c r="U18" i="5"/>
  <c r="S18" i="5"/>
  <c r="T18" i="5"/>
  <c r="R18" i="5"/>
  <c r="Q18" i="5"/>
  <c r="P18" i="5"/>
  <c r="L18" i="5"/>
  <c r="V16" i="5"/>
  <c r="N16" i="5"/>
  <c r="U16" i="5"/>
  <c r="R16" i="5"/>
  <c r="Q16" i="5"/>
  <c r="P16" i="5"/>
  <c r="T16" i="5"/>
  <c r="S16" i="5"/>
  <c r="L16" i="5"/>
  <c r="U15" i="5"/>
  <c r="T15" i="5"/>
  <c r="S15" i="5"/>
  <c r="R15" i="5"/>
  <c r="Q15" i="5"/>
  <c r="P15" i="5"/>
  <c r="V15" i="5"/>
  <c r="N15" i="5"/>
  <c r="L15" i="5"/>
  <c r="U13" i="5"/>
  <c r="S13" i="5"/>
  <c r="R13" i="5"/>
  <c r="Q13" i="5"/>
  <c r="P13" i="5"/>
  <c r="T13" i="5"/>
  <c r="V13" i="5"/>
  <c r="N13" i="5"/>
  <c r="L13" i="5"/>
  <c r="V10" i="5"/>
  <c r="N10" i="5"/>
  <c r="U10" i="5"/>
  <c r="R10" i="5"/>
  <c r="Q10" i="5"/>
  <c r="P10" i="5"/>
  <c r="T10" i="5"/>
  <c r="S10" i="5"/>
  <c r="V9" i="5"/>
  <c r="N9" i="5"/>
  <c r="U9" i="5"/>
  <c r="T9" i="5"/>
  <c r="S9" i="5"/>
  <c r="R9" i="5"/>
  <c r="Q9" i="5"/>
  <c r="P9" i="5"/>
  <c r="L9" i="5"/>
  <c r="V6" i="5"/>
  <c r="N6" i="5"/>
  <c r="R6" i="5"/>
  <c r="Q6" i="5"/>
  <c r="P6" i="5"/>
  <c r="U6" i="5"/>
  <c r="T6" i="5"/>
  <c r="S6" i="5"/>
  <c r="V15" i="24"/>
  <c r="N15" i="24"/>
  <c r="O15" i="24" s="1"/>
  <c r="U15" i="24"/>
  <c r="T15" i="24"/>
  <c r="S15" i="24"/>
  <c r="R15" i="24"/>
  <c r="Q15" i="24"/>
  <c r="P15" i="24"/>
  <c r="L15" i="24"/>
  <c r="O4" i="104" l="1"/>
  <c r="O15" i="104"/>
  <c r="O6" i="104"/>
  <c r="O13" i="5"/>
  <c r="O15" i="5"/>
  <c r="O18" i="5"/>
  <c r="O21" i="5"/>
  <c r="O22" i="5"/>
  <c r="O8" i="5"/>
  <c r="O25" i="5"/>
  <c r="O9" i="5"/>
  <c r="O10" i="5"/>
  <c r="N17" i="5"/>
  <c r="O16" i="5"/>
  <c r="O6" i="5"/>
  <c r="Q17" i="5"/>
  <c r="R17" i="5"/>
  <c r="V17" i="5"/>
  <c r="P17" i="5"/>
  <c r="T17" i="5"/>
  <c r="U17" i="5"/>
  <c r="S17" i="5"/>
  <c r="V20" i="5"/>
  <c r="N20" i="5"/>
  <c r="U20" i="5"/>
  <c r="T20" i="5"/>
  <c r="S20" i="5"/>
  <c r="R20" i="5"/>
  <c r="Q20" i="5"/>
  <c r="P20" i="5"/>
  <c r="I19" i="24"/>
  <c r="B19" i="24"/>
  <c r="C19" i="24" s="1"/>
  <c r="G19" i="24" s="1"/>
  <c r="I18" i="24"/>
  <c r="B18" i="24"/>
  <c r="C18" i="24" s="1"/>
  <c r="G18" i="24" s="1"/>
  <c r="I17" i="24"/>
  <c r="B17" i="24"/>
  <c r="D17" i="24" s="1"/>
  <c r="I16" i="24"/>
  <c r="B16" i="24"/>
  <c r="D16" i="24" s="1"/>
  <c r="O20" i="5" l="1"/>
  <c r="O17" i="5"/>
  <c r="D19" i="24"/>
  <c r="H19" i="24" s="1"/>
  <c r="L19" i="24" s="1"/>
  <c r="D18" i="24"/>
  <c r="H18" i="24" s="1"/>
  <c r="M18" i="24" s="1"/>
  <c r="C17" i="24"/>
  <c r="G17" i="24" s="1"/>
  <c r="C16" i="24"/>
  <c r="G16" i="24" s="1"/>
  <c r="M19" i="24" l="1"/>
  <c r="V18" i="24"/>
  <c r="N18" i="24"/>
  <c r="O18" i="24" s="1"/>
  <c r="U18" i="24"/>
  <c r="T18" i="24"/>
  <c r="S18" i="24"/>
  <c r="R18" i="24"/>
  <c r="Q18" i="24"/>
  <c r="P18" i="24"/>
  <c r="L18" i="24"/>
  <c r="H17" i="24"/>
  <c r="M17" i="24" s="1"/>
  <c r="H16" i="24"/>
  <c r="M16" i="24" s="1"/>
  <c r="I30" i="18"/>
  <c r="B30" i="18"/>
  <c r="D30" i="18" s="1"/>
  <c r="I32" i="18"/>
  <c r="B32" i="18"/>
  <c r="D32" i="18" s="1"/>
  <c r="I27" i="18"/>
  <c r="B27" i="18"/>
  <c r="D27" i="18" s="1"/>
  <c r="I24" i="18"/>
  <c r="B24" i="18"/>
  <c r="C24" i="18" s="1"/>
  <c r="G24" i="18" s="1"/>
  <c r="I18" i="18"/>
  <c r="B18" i="18"/>
  <c r="D18" i="18" s="1"/>
  <c r="I15" i="18"/>
  <c r="B15" i="18"/>
  <c r="D15" i="18" s="1"/>
  <c r="I12" i="18"/>
  <c r="B12" i="18"/>
  <c r="D12" i="18" s="1"/>
  <c r="L16" i="24" l="1"/>
  <c r="C15" i="18"/>
  <c r="G15" i="18" s="1"/>
  <c r="H15" i="18" s="1"/>
  <c r="L15" i="18" s="1"/>
  <c r="L17" i="24"/>
  <c r="D24" i="18"/>
  <c r="H24" i="18" s="1"/>
  <c r="M24" i="18" s="1"/>
  <c r="C18" i="18"/>
  <c r="G18" i="18" s="1"/>
  <c r="H18" i="18" s="1"/>
  <c r="M18" i="18" s="1"/>
  <c r="C32" i="18"/>
  <c r="G32" i="18" s="1"/>
  <c r="H32" i="18" s="1"/>
  <c r="M32" i="18" s="1"/>
  <c r="V19" i="24"/>
  <c r="N19" i="24"/>
  <c r="O19" i="24" s="1"/>
  <c r="R19" i="24"/>
  <c r="Q19" i="24"/>
  <c r="U19" i="24"/>
  <c r="T19" i="24"/>
  <c r="S19" i="24"/>
  <c r="P19" i="24"/>
  <c r="V17" i="24"/>
  <c r="N17" i="24"/>
  <c r="O17" i="24" s="1"/>
  <c r="R17" i="24"/>
  <c r="Q17" i="24"/>
  <c r="P17" i="24"/>
  <c r="U17" i="24"/>
  <c r="T17" i="24"/>
  <c r="S17" i="24"/>
  <c r="V16" i="24"/>
  <c r="N16" i="24"/>
  <c r="O16" i="24" s="1"/>
  <c r="U16" i="24"/>
  <c r="S16" i="24"/>
  <c r="R16" i="24"/>
  <c r="Q16" i="24"/>
  <c r="P16" i="24"/>
  <c r="T16" i="24"/>
  <c r="C30" i="18"/>
  <c r="G30" i="18" s="1"/>
  <c r="C27" i="18"/>
  <c r="G27" i="18" s="1"/>
  <c r="C12" i="18"/>
  <c r="G12" i="18" s="1"/>
  <c r="J38" i="102"/>
  <c r="B38" i="102"/>
  <c r="C38" i="102" s="1"/>
  <c r="G38" i="102" s="1"/>
  <c r="J35" i="102"/>
  <c r="B35" i="102"/>
  <c r="C35" i="102" s="1"/>
  <c r="G35" i="102" s="1"/>
  <c r="J32" i="102"/>
  <c r="B32" i="102"/>
  <c r="C32" i="102" s="1"/>
  <c r="G32" i="102" s="1"/>
  <c r="J29" i="102"/>
  <c r="B29" i="102"/>
  <c r="C29" i="102" s="1"/>
  <c r="G29" i="102" s="1"/>
  <c r="J16" i="102"/>
  <c r="B16" i="102"/>
  <c r="C16" i="102" s="1"/>
  <c r="G16" i="102" s="1"/>
  <c r="J13" i="102"/>
  <c r="B13" i="102"/>
  <c r="C13" i="102" s="1"/>
  <c r="G13" i="102" s="1"/>
  <c r="J10" i="102"/>
  <c r="B10" i="102"/>
  <c r="C10" i="102" s="1"/>
  <c r="G10" i="102" s="1"/>
  <c r="J45" i="102"/>
  <c r="B45" i="102"/>
  <c r="C45" i="102" s="1"/>
  <c r="G45" i="102" s="1"/>
  <c r="J42" i="102"/>
  <c r="B42" i="102"/>
  <c r="C42" i="102" s="1"/>
  <c r="G42" i="102" s="1"/>
  <c r="J39" i="102"/>
  <c r="B39" i="102"/>
  <c r="C39" i="102" s="1"/>
  <c r="G39" i="102" s="1"/>
  <c r="J36" i="102"/>
  <c r="B36" i="102"/>
  <c r="C36" i="102" s="1"/>
  <c r="G36" i="102" s="1"/>
  <c r="J33" i="102"/>
  <c r="B33" i="102"/>
  <c r="C33" i="102" s="1"/>
  <c r="G33" i="102" s="1"/>
  <c r="J30" i="102"/>
  <c r="B30" i="102"/>
  <c r="C30" i="102" s="1"/>
  <c r="G30" i="102" s="1"/>
  <c r="J17" i="102"/>
  <c r="B17" i="102"/>
  <c r="C17" i="102" s="1"/>
  <c r="G17" i="102" s="1"/>
  <c r="J14" i="102"/>
  <c r="B14" i="102"/>
  <c r="C14" i="102" s="1"/>
  <c r="G14" i="102" s="1"/>
  <c r="J11" i="102"/>
  <c r="B11" i="102"/>
  <c r="D11" i="102" s="1"/>
  <c r="D29" i="102" l="1"/>
  <c r="H29" i="102" s="1"/>
  <c r="L29" i="102" s="1"/>
  <c r="D13" i="102"/>
  <c r="H13" i="102" s="1"/>
  <c r="L13" i="102" s="1"/>
  <c r="D32" i="102"/>
  <c r="H32" i="102" s="1"/>
  <c r="M32" i="102" s="1"/>
  <c r="D38" i="102"/>
  <c r="H38" i="102" s="1"/>
  <c r="M38" i="102" s="1"/>
  <c r="D35" i="102"/>
  <c r="H35" i="102" s="1"/>
  <c r="M35" i="102" s="1"/>
  <c r="L24" i="18"/>
  <c r="M15" i="18"/>
  <c r="H30" i="18"/>
  <c r="M30" i="18" s="1"/>
  <c r="V32" i="18"/>
  <c r="N32" i="18"/>
  <c r="U32" i="18"/>
  <c r="T32" i="18"/>
  <c r="S32" i="18"/>
  <c r="R32" i="18"/>
  <c r="Q32" i="18"/>
  <c r="P32" i="18"/>
  <c r="L32" i="18"/>
  <c r="H27" i="18"/>
  <c r="L27" i="18" s="1"/>
  <c r="V24" i="18"/>
  <c r="N24" i="18"/>
  <c r="U24" i="18"/>
  <c r="T24" i="18"/>
  <c r="S24" i="18"/>
  <c r="R24" i="18"/>
  <c r="Q24" i="18"/>
  <c r="P24" i="18"/>
  <c r="V18" i="18"/>
  <c r="N18" i="18"/>
  <c r="R18" i="18"/>
  <c r="P18" i="18"/>
  <c r="U18" i="18"/>
  <c r="T18" i="18"/>
  <c r="S18" i="18"/>
  <c r="Q18" i="18"/>
  <c r="L18" i="18"/>
  <c r="H12" i="18"/>
  <c r="M12" i="18" s="1"/>
  <c r="D16" i="102"/>
  <c r="H16" i="102" s="1"/>
  <c r="D10" i="102"/>
  <c r="H10" i="102" s="1"/>
  <c r="D45" i="102"/>
  <c r="H45" i="102" s="1"/>
  <c r="D42" i="102"/>
  <c r="H42" i="102" s="1"/>
  <c r="D39" i="102"/>
  <c r="H39" i="102" s="1"/>
  <c r="D36" i="102"/>
  <c r="H36" i="102" s="1"/>
  <c r="D33" i="102"/>
  <c r="H33" i="102" s="1"/>
  <c r="D30" i="102"/>
  <c r="H30" i="102" s="1"/>
  <c r="D17" i="102"/>
  <c r="H17" i="102" s="1"/>
  <c r="D14" i="102"/>
  <c r="H14" i="102" s="1"/>
  <c r="C11" i="102"/>
  <c r="G11" i="102" s="1"/>
  <c r="S15" i="18" l="1"/>
  <c r="O18" i="18"/>
  <c r="O24" i="18"/>
  <c r="O32" i="18"/>
  <c r="N15" i="18"/>
  <c r="R15" i="18"/>
  <c r="T15" i="18"/>
  <c r="U15" i="18"/>
  <c r="V15" i="18"/>
  <c r="P15" i="18"/>
  <c r="M27" i="18"/>
  <c r="Q15" i="18"/>
  <c r="V30" i="18"/>
  <c r="N30" i="18"/>
  <c r="R30" i="18"/>
  <c r="Q30" i="18"/>
  <c r="P30" i="18"/>
  <c r="U30" i="18"/>
  <c r="T30" i="18"/>
  <c r="S30" i="18"/>
  <c r="L30" i="18"/>
  <c r="Q12" i="18"/>
  <c r="P12" i="18"/>
  <c r="U12" i="18"/>
  <c r="T12" i="18"/>
  <c r="S12" i="18"/>
  <c r="R12" i="18"/>
  <c r="V12" i="18"/>
  <c r="N12" i="18"/>
  <c r="L12" i="18"/>
  <c r="W38" i="102"/>
  <c r="V38" i="102"/>
  <c r="N38" i="102"/>
  <c r="O38" i="102" s="1"/>
  <c r="R38" i="102"/>
  <c r="Q38" i="102"/>
  <c r="P38" i="102"/>
  <c r="U38" i="102"/>
  <c r="T38" i="102"/>
  <c r="S38" i="102"/>
  <c r="L38" i="102"/>
  <c r="W35" i="102"/>
  <c r="V35" i="102"/>
  <c r="N35" i="102"/>
  <c r="O35" i="102" s="1"/>
  <c r="Q35" i="102"/>
  <c r="R35" i="102"/>
  <c r="U35" i="102"/>
  <c r="T35" i="102"/>
  <c r="S35" i="102"/>
  <c r="P35" i="102"/>
  <c r="L35" i="102"/>
  <c r="W32" i="102"/>
  <c r="V32" i="102"/>
  <c r="N32" i="102"/>
  <c r="O32" i="102" s="1"/>
  <c r="Q32" i="102"/>
  <c r="R32" i="102"/>
  <c r="P32" i="102"/>
  <c r="U32" i="102"/>
  <c r="T32" i="102"/>
  <c r="S32" i="102"/>
  <c r="L32" i="102"/>
  <c r="M29" i="102"/>
  <c r="M16" i="102"/>
  <c r="L16" i="102"/>
  <c r="M13" i="102"/>
  <c r="M10" i="102"/>
  <c r="L10" i="102"/>
  <c r="M45" i="102"/>
  <c r="L45" i="102"/>
  <c r="L42" i="102"/>
  <c r="M42" i="102"/>
  <c r="L39" i="102"/>
  <c r="M39" i="102"/>
  <c r="M36" i="102"/>
  <c r="L36" i="102"/>
  <c r="M33" i="102"/>
  <c r="L33" i="102"/>
  <c r="L30" i="102"/>
  <c r="M30" i="102"/>
  <c r="M17" i="102"/>
  <c r="L17" i="102"/>
  <c r="M14" i="102"/>
  <c r="L14" i="102"/>
  <c r="H11" i="102"/>
  <c r="L11" i="102" s="1"/>
  <c r="J3" i="102"/>
  <c r="B3" i="102"/>
  <c r="C3" i="102" s="1"/>
  <c r="G3" i="102" s="1"/>
  <c r="J4" i="102"/>
  <c r="B4" i="102"/>
  <c r="C4" i="102" s="1"/>
  <c r="G4" i="102" s="1"/>
  <c r="J5" i="102"/>
  <c r="B5" i="102"/>
  <c r="C5" i="102" s="1"/>
  <c r="G5" i="102" s="1"/>
  <c r="J6" i="102"/>
  <c r="B6" i="102"/>
  <c r="D6" i="102" s="1"/>
  <c r="U27" i="18" l="1"/>
  <c r="O30" i="18"/>
  <c r="O12" i="18"/>
  <c r="O15" i="18"/>
  <c r="P27" i="18"/>
  <c r="Q27" i="18"/>
  <c r="R27" i="18"/>
  <c r="N27" i="18"/>
  <c r="V27" i="18"/>
  <c r="T27" i="18"/>
  <c r="S27" i="18"/>
  <c r="W29" i="102"/>
  <c r="U29" i="102"/>
  <c r="T29" i="102"/>
  <c r="R29" i="102"/>
  <c r="Q29" i="102"/>
  <c r="P29" i="102"/>
  <c r="V29" i="102"/>
  <c r="N29" i="102"/>
  <c r="O29" i="102" s="1"/>
  <c r="S29" i="102"/>
  <c r="W16" i="102"/>
  <c r="R16" i="102"/>
  <c r="Q16" i="102"/>
  <c r="P16" i="102"/>
  <c r="V16" i="102"/>
  <c r="N16" i="102"/>
  <c r="O16" i="102" s="1"/>
  <c r="U16" i="102"/>
  <c r="T16" i="102"/>
  <c r="S16" i="102"/>
  <c r="W13" i="102"/>
  <c r="V13" i="102"/>
  <c r="N13" i="102"/>
  <c r="O13" i="102" s="1"/>
  <c r="P13" i="102"/>
  <c r="R13" i="102"/>
  <c r="U13" i="102"/>
  <c r="T13" i="102"/>
  <c r="S13" i="102"/>
  <c r="Q13" i="102"/>
  <c r="W10" i="102"/>
  <c r="R10" i="102"/>
  <c r="Q10" i="102"/>
  <c r="P10" i="102"/>
  <c r="V10" i="102"/>
  <c r="N10" i="102"/>
  <c r="O10" i="102" s="1"/>
  <c r="U10" i="102"/>
  <c r="T10" i="102"/>
  <c r="S10" i="102"/>
  <c r="W45" i="102"/>
  <c r="V45" i="102"/>
  <c r="N45" i="102"/>
  <c r="O45" i="102" s="1"/>
  <c r="U45" i="102"/>
  <c r="T45" i="102"/>
  <c r="R45" i="102"/>
  <c r="Q45" i="102"/>
  <c r="P45" i="102"/>
  <c r="S45" i="102"/>
  <c r="W42" i="102"/>
  <c r="V42" i="102"/>
  <c r="N42" i="102"/>
  <c r="O42" i="102" s="1"/>
  <c r="U42" i="102"/>
  <c r="T42" i="102"/>
  <c r="R42" i="102"/>
  <c r="Q42" i="102"/>
  <c r="P42" i="102"/>
  <c r="S42" i="102"/>
  <c r="W39" i="102"/>
  <c r="U39" i="102"/>
  <c r="R39" i="102"/>
  <c r="Q39" i="102"/>
  <c r="P39" i="102"/>
  <c r="V39" i="102"/>
  <c r="N39" i="102"/>
  <c r="O39" i="102" s="1"/>
  <c r="T39" i="102"/>
  <c r="S39" i="102"/>
  <c r="W36" i="102"/>
  <c r="R36" i="102"/>
  <c r="Q36" i="102"/>
  <c r="P36" i="102"/>
  <c r="V36" i="102"/>
  <c r="N36" i="102"/>
  <c r="O36" i="102" s="1"/>
  <c r="U36" i="102"/>
  <c r="T36" i="102"/>
  <c r="S36" i="102"/>
  <c r="W33" i="102"/>
  <c r="V33" i="102"/>
  <c r="N33" i="102"/>
  <c r="O33" i="102" s="1"/>
  <c r="U33" i="102"/>
  <c r="T33" i="102"/>
  <c r="S33" i="102"/>
  <c r="R33" i="102"/>
  <c r="Q33" i="102"/>
  <c r="P33" i="102"/>
  <c r="W30" i="102"/>
  <c r="V30" i="102"/>
  <c r="N30" i="102"/>
  <c r="O30" i="102" s="1"/>
  <c r="T30" i="102"/>
  <c r="R30" i="102"/>
  <c r="Q30" i="102"/>
  <c r="P30" i="102"/>
  <c r="U30" i="102"/>
  <c r="S30" i="102"/>
  <c r="W17" i="102"/>
  <c r="V17" i="102"/>
  <c r="N17" i="102"/>
  <c r="O17" i="102" s="1"/>
  <c r="U17" i="102"/>
  <c r="T17" i="102"/>
  <c r="S17" i="102"/>
  <c r="R17" i="102"/>
  <c r="Q17" i="102"/>
  <c r="P17" i="102"/>
  <c r="W14" i="102"/>
  <c r="U14" i="102"/>
  <c r="T14" i="102"/>
  <c r="R14" i="102"/>
  <c r="Q14" i="102"/>
  <c r="P14" i="102"/>
  <c r="V14" i="102"/>
  <c r="N14" i="102"/>
  <c r="O14" i="102" s="1"/>
  <c r="S14" i="102"/>
  <c r="M11" i="102"/>
  <c r="D5" i="102"/>
  <c r="H5" i="102" s="1"/>
  <c r="M5" i="102" s="1"/>
  <c r="D4" i="102"/>
  <c r="H4" i="102" s="1"/>
  <c r="M4" i="102" s="1"/>
  <c r="D3" i="102"/>
  <c r="H3" i="102" s="1"/>
  <c r="M3" i="102" s="1"/>
  <c r="C6" i="102"/>
  <c r="G6" i="102" s="1"/>
  <c r="I10" i="24"/>
  <c r="B10" i="24"/>
  <c r="C10" i="24" s="1"/>
  <c r="G10" i="24" s="1"/>
  <c r="I9" i="24"/>
  <c r="B9" i="24"/>
  <c r="D9" i="24" s="1"/>
  <c r="I5" i="24"/>
  <c r="B5" i="24"/>
  <c r="D5" i="24" s="1"/>
  <c r="I14" i="24"/>
  <c r="B14" i="24"/>
  <c r="D14" i="24" s="1"/>
  <c r="I13" i="24"/>
  <c r="B13" i="24"/>
  <c r="D13" i="24" s="1"/>
  <c r="O27" i="18" l="1"/>
  <c r="T11" i="102"/>
  <c r="S11" i="102"/>
  <c r="P11" i="102"/>
  <c r="W11" i="102"/>
  <c r="V11" i="102"/>
  <c r="N11" i="102"/>
  <c r="O11" i="102" s="1"/>
  <c r="U11" i="102"/>
  <c r="R11" i="102"/>
  <c r="Q11" i="102"/>
  <c r="W3" i="102"/>
  <c r="V3" i="102"/>
  <c r="N3" i="102"/>
  <c r="O3" i="102" s="1"/>
  <c r="R3" i="102"/>
  <c r="Q3" i="102"/>
  <c r="P3" i="102"/>
  <c r="U3" i="102"/>
  <c r="T3" i="102"/>
  <c r="S3" i="102"/>
  <c r="L3" i="102"/>
  <c r="W4" i="102"/>
  <c r="V4" i="102"/>
  <c r="N4" i="102"/>
  <c r="O4" i="102" s="1"/>
  <c r="U4" i="102"/>
  <c r="R4" i="102"/>
  <c r="Q4" i="102"/>
  <c r="P4" i="102"/>
  <c r="T4" i="102"/>
  <c r="S4" i="102"/>
  <c r="L4" i="102"/>
  <c r="W5" i="102"/>
  <c r="V5" i="102"/>
  <c r="N5" i="102"/>
  <c r="O5" i="102" s="1"/>
  <c r="T5" i="102"/>
  <c r="U5" i="102"/>
  <c r="S5" i="102"/>
  <c r="R5" i="102"/>
  <c r="Q5" i="102"/>
  <c r="P5" i="102"/>
  <c r="L5" i="102"/>
  <c r="H6" i="102"/>
  <c r="M6" i="102" s="1"/>
  <c r="C5" i="24"/>
  <c r="G5" i="24" s="1"/>
  <c r="H5" i="24" s="1"/>
  <c r="M5" i="24" s="1"/>
  <c r="D10" i="24"/>
  <c r="H10" i="24" s="1"/>
  <c r="C9" i="24"/>
  <c r="G9" i="24" s="1"/>
  <c r="C14" i="24"/>
  <c r="G14" i="24" s="1"/>
  <c r="C13" i="24"/>
  <c r="G13" i="24" s="1"/>
  <c r="I7" i="24"/>
  <c r="B7" i="24"/>
  <c r="D7" i="24" s="1"/>
  <c r="S6" i="102" l="1"/>
  <c r="P6" i="102"/>
  <c r="W6" i="102"/>
  <c r="V6" i="102"/>
  <c r="N6" i="102"/>
  <c r="O6" i="102" s="1"/>
  <c r="U6" i="102"/>
  <c r="T6" i="102"/>
  <c r="R6" i="102"/>
  <c r="Q6" i="102"/>
  <c r="L6" i="102"/>
  <c r="C7" i="24"/>
  <c r="G7" i="24" s="1"/>
  <c r="H7" i="24" s="1"/>
  <c r="L7" i="24" s="1"/>
  <c r="M10" i="24"/>
  <c r="L10" i="24"/>
  <c r="H9" i="24"/>
  <c r="M9" i="24" s="1"/>
  <c r="V5" i="24"/>
  <c r="N5" i="24"/>
  <c r="O5" i="24" s="1"/>
  <c r="U5" i="24"/>
  <c r="R5" i="24"/>
  <c r="Q5" i="24"/>
  <c r="P5" i="24"/>
  <c r="T5" i="24"/>
  <c r="S5" i="24"/>
  <c r="L5" i="24"/>
  <c r="H14" i="24"/>
  <c r="M14" i="24" s="1"/>
  <c r="H13" i="24"/>
  <c r="L13" i="24" s="1"/>
  <c r="V10" i="24" l="1"/>
  <c r="N10" i="24"/>
  <c r="O10" i="24" s="1"/>
  <c r="U10" i="24"/>
  <c r="T10" i="24"/>
  <c r="S10" i="24"/>
  <c r="P10" i="24"/>
  <c r="R10" i="24"/>
  <c r="Q10" i="24"/>
  <c r="V9" i="24"/>
  <c r="N9" i="24"/>
  <c r="O9" i="24" s="1"/>
  <c r="U9" i="24"/>
  <c r="T9" i="24"/>
  <c r="R9" i="24"/>
  <c r="Q9" i="24"/>
  <c r="P9" i="24"/>
  <c r="S9" i="24"/>
  <c r="L9" i="24"/>
  <c r="V14" i="24"/>
  <c r="N14" i="24"/>
  <c r="O14" i="24" s="1"/>
  <c r="U14" i="24"/>
  <c r="R14" i="24"/>
  <c r="Q14" i="24"/>
  <c r="P14" i="24"/>
  <c r="T14" i="24"/>
  <c r="S14" i="24"/>
  <c r="L14" i="24"/>
  <c r="M13" i="24"/>
  <c r="M7" i="24"/>
  <c r="I12" i="24"/>
  <c r="B12" i="24"/>
  <c r="D12" i="24" s="1"/>
  <c r="I11" i="24"/>
  <c r="B11" i="24"/>
  <c r="D11" i="24" s="1"/>
  <c r="I8" i="24"/>
  <c r="B8" i="24"/>
  <c r="D8" i="24" s="1"/>
  <c r="C8" i="24" l="1"/>
  <c r="G8" i="24" s="1"/>
  <c r="H8" i="24" s="1"/>
  <c r="M8" i="24" s="1"/>
  <c r="C11" i="24"/>
  <c r="G11" i="24" s="1"/>
  <c r="H11" i="24" s="1"/>
  <c r="L11" i="24" s="1"/>
  <c r="V13" i="24"/>
  <c r="N13" i="24"/>
  <c r="O13" i="24" s="1"/>
  <c r="U13" i="24"/>
  <c r="T13" i="24"/>
  <c r="S13" i="24"/>
  <c r="R13" i="24"/>
  <c r="Q13" i="24"/>
  <c r="P13" i="24"/>
  <c r="V7" i="24"/>
  <c r="N7" i="24"/>
  <c r="O7" i="24" s="1"/>
  <c r="U7" i="24"/>
  <c r="T7" i="24"/>
  <c r="S7" i="24"/>
  <c r="R7" i="24"/>
  <c r="Q7" i="24"/>
  <c r="P7" i="24"/>
  <c r="C12" i="24"/>
  <c r="G12" i="24" s="1"/>
  <c r="M11" i="24" l="1"/>
  <c r="V11" i="24" s="1"/>
  <c r="H12" i="24"/>
  <c r="M12" i="24" s="1"/>
  <c r="V8" i="24"/>
  <c r="N8" i="24"/>
  <c r="O8" i="24" s="1"/>
  <c r="U8" i="24"/>
  <c r="T8" i="24"/>
  <c r="S8" i="24"/>
  <c r="R8" i="24"/>
  <c r="Q8" i="24"/>
  <c r="P8" i="24"/>
  <c r="L8" i="24"/>
  <c r="P11" i="24" l="1"/>
  <c r="Q11" i="24"/>
  <c r="S11" i="24"/>
  <c r="R11" i="24"/>
  <c r="T11" i="24"/>
  <c r="N11" i="24"/>
  <c r="O11" i="24" s="1"/>
  <c r="U11" i="24"/>
  <c r="U12" i="24"/>
  <c r="T12" i="24"/>
  <c r="S12" i="24"/>
  <c r="R12" i="24"/>
  <c r="Q12" i="24"/>
  <c r="P12" i="24"/>
  <c r="V12" i="24"/>
  <c r="N12" i="24"/>
  <c r="O12" i="24" s="1"/>
  <c r="L12" i="24"/>
  <c r="I19" i="11" l="1"/>
  <c r="B19" i="11"/>
  <c r="D19" i="11" s="1"/>
  <c r="I32" i="11"/>
  <c r="B32" i="11"/>
  <c r="D32" i="11" s="1"/>
  <c r="I29" i="11"/>
  <c r="B29" i="11"/>
  <c r="D29" i="11" s="1"/>
  <c r="I26" i="11"/>
  <c r="B26" i="11"/>
  <c r="D26" i="11" s="1"/>
  <c r="I23" i="11"/>
  <c r="B23" i="11"/>
  <c r="D23" i="11" s="1"/>
  <c r="I20" i="11"/>
  <c r="B20" i="11"/>
  <c r="C20" i="11" s="1"/>
  <c r="G20" i="11" s="1"/>
  <c r="I16" i="11"/>
  <c r="B16" i="11"/>
  <c r="D16" i="11" s="1"/>
  <c r="I13" i="11"/>
  <c r="B13" i="11"/>
  <c r="C13" i="11" s="1"/>
  <c r="G13" i="11" s="1"/>
  <c r="I33" i="11"/>
  <c r="B33" i="11"/>
  <c r="D33" i="11" s="1"/>
  <c r="I30" i="11"/>
  <c r="B30" i="11"/>
  <c r="D30" i="11" s="1"/>
  <c r="I27" i="11"/>
  <c r="B27" i="11"/>
  <c r="D27" i="11" s="1"/>
  <c r="I24" i="11"/>
  <c r="B24" i="11"/>
  <c r="D24" i="11" s="1"/>
  <c r="I21" i="11"/>
  <c r="B21" i="11"/>
  <c r="D21" i="11" s="1"/>
  <c r="I17" i="11"/>
  <c r="B17" i="11"/>
  <c r="D17" i="11" s="1"/>
  <c r="I14" i="11"/>
  <c r="B14" i="11"/>
  <c r="D14" i="11" s="1"/>
  <c r="I34" i="11"/>
  <c r="B34" i="11"/>
  <c r="C34" i="11" s="1"/>
  <c r="G34" i="11" s="1"/>
  <c r="I31" i="11"/>
  <c r="B31" i="11"/>
  <c r="D31" i="11" s="1"/>
  <c r="I28" i="11"/>
  <c r="B28" i="11"/>
  <c r="C28" i="11" s="1"/>
  <c r="G28" i="11" s="1"/>
  <c r="I25" i="11"/>
  <c r="B25" i="11"/>
  <c r="D25" i="11" s="1"/>
  <c r="I22" i="11"/>
  <c r="B22" i="11"/>
  <c r="D22" i="11" s="1"/>
  <c r="I18" i="11"/>
  <c r="B18" i="11"/>
  <c r="D18" i="11" s="1"/>
  <c r="I15" i="11"/>
  <c r="B15" i="11"/>
  <c r="D15" i="11" s="1"/>
  <c r="I12" i="11"/>
  <c r="B12" i="11"/>
  <c r="D12" i="11" s="1"/>
  <c r="I11" i="11"/>
  <c r="B11" i="11"/>
  <c r="C11" i="11" s="1"/>
  <c r="G11" i="11" s="1"/>
  <c r="I10" i="11"/>
  <c r="B10" i="11"/>
  <c r="C10" i="11" s="1"/>
  <c r="G10" i="11" s="1"/>
  <c r="I9" i="11"/>
  <c r="B9" i="11"/>
  <c r="C9" i="11" s="1"/>
  <c r="G9" i="11" s="1"/>
  <c r="I8" i="11"/>
  <c r="B8" i="11"/>
  <c r="C8" i="11" s="1"/>
  <c r="G8" i="11" s="1"/>
  <c r="I7" i="11"/>
  <c r="B7" i="11"/>
  <c r="C7" i="11" s="1"/>
  <c r="G7" i="11" s="1"/>
  <c r="I6" i="11"/>
  <c r="B6" i="11"/>
  <c r="C6" i="11" s="1"/>
  <c r="G6" i="11" s="1"/>
  <c r="I5" i="11"/>
  <c r="B5" i="11"/>
  <c r="D5" i="11" s="1"/>
  <c r="I4" i="11"/>
  <c r="B4" i="11"/>
  <c r="C4" i="11" s="1"/>
  <c r="G4" i="11" s="1"/>
  <c r="I3" i="11"/>
  <c r="B3" i="11"/>
  <c r="C3" i="11" s="1"/>
  <c r="G3" i="11" s="1"/>
  <c r="J45" i="8"/>
  <c r="E45" i="8"/>
  <c r="B45" i="8"/>
  <c r="C45" i="8" s="1"/>
  <c r="G45" i="8" s="1"/>
  <c r="J44" i="8"/>
  <c r="E44" i="8"/>
  <c r="B44" i="8"/>
  <c r="C44" i="8" s="1"/>
  <c r="G44" i="8" s="1"/>
  <c r="J42" i="8"/>
  <c r="E42" i="8"/>
  <c r="B42" i="8"/>
  <c r="C42" i="8" s="1"/>
  <c r="G42" i="8" s="1"/>
  <c r="J41" i="8"/>
  <c r="E41" i="8"/>
  <c r="B41" i="8"/>
  <c r="C41" i="8" s="1"/>
  <c r="G41" i="8" s="1"/>
  <c r="J38" i="8"/>
  <c r="E38" i="8"/>
  <c r="B38" i="8"/>
  <c r="C38" i="8" s="1"/>
  <c r="G38" i="8" s="1"/>
  <c r="J37" i="8"/>
  <c r="E37" i="8"/>
  <c r="B37" i="8"/>
  <c r="C37" i="8" s="1"/>
  <c r="G37" i="8" s="1"/>
  <c r="J32" i="8"/>
  <c r="E32" i="8"/>
  <c r="B32" i="8"/>
  <c r="C32" i="8" s="1"/>
  <c r="G32" i="8" s="1"/>
  <c r="J30" i="8"/>
  <c r="E30" i="8"/>
  <c r="B30" i="8"/>
  <c r="C30" i="8" s="1"/>
  <c r="G30" i="8" s="1"/>
  <c r="J29" i="8"/>
  <c r="E29" i="8"/>
  <c r="B29" i="8"/>
  <c r="C29" i="8" s="1"/>
  <c r="G29" i="8" s="1"/>
  <c r="J27" i="8"/>
  <c r="E27" i="8"/>
  <c r="B27" i="8"/>
  <c r="C27" i="8" s="1"/>
  <c r="G27" i="8" s="1"/>
  <c r="J26" i="8"/>
  <c r="E26" i="8"/>
  <c r="B26" i="8"/>
  <c r="C26" i="8" s="1"/>
  <c r="G26" i="8" s="1"/>
  <c r="J24" i="8"/>
  <c r="E24" i="8"/>
  <c r="B24" i="8"/>
  <c r="C24" i="8" s="1"/>
  <c r="G24" i="8" s="1"/>
  <c r="J23" i="8"/>
  <c r="E23" i="8"/>
  <c r="B23" i="8"/>
  <c r="C23" i="8" s="1"/>
  <c r="G23" i="8" s="1"/>
  <c r="J20" i="8"/>
  <c r="E20" i="8"/>
  <c r="B20" i="8"/>
  <c r="C20" i="8" s="1"/>
  <c r="G20" i="8" s="1"/>
  <c r="J19" i="8"/>
  <c r="E19" i="8"/>
  <c r="B19" i="8"/>
  <c r="C19" i="8" s="1"/>
  <c r="G19" i="8" s="1"/>
  <c r="J17" i="8"/>
  <c r="E17" i="8"/>
  <c r="B17" i="8"/>
  <c r="C17" i="8" s="1"/>
  <c r="G17" i="8" s="1"/>
  <c r="J16" i="8"/>
  <c r="E16" i="8"/>
  <c r="B16" i="8"/>
  <c r="C16" i="8" s="1"/>
  <c r="G16" i="8" s="1"/>
  <c r="J14" i="8"/>
  <c r="E14" i="8"/>
  <c r="B14" i="8"/>
  <c r="C14" i="8" s="1"/>
  <c r="G14" i="8" s="1"/>
  <c r="J13" i="8"/>
  <c r="E13" i="8"/>
  <c r="B13" i="8"/>
  <c r="C13" i="8" s="1"/>
  <c r="G13" i="8" s="1"/>
  <c r="J11" i="8"/>
  <c r="E11" i="8"/>
  <c r="B11" i="8"/>
  <c r="C11" i="8" s="1"/>
  <c r="G11" i="8" s="1"/>
  <c r="J10" i="8"/>
  <c r="E10" i="8"/>
  <c r="B10" i="8"/>
  <c r="C10" i="8" s="1"/>
  <c r="G10" i="8" s="1"/>
  <c r="D4" i="11" l="1"/>
  <c r="D6" i="11"/>
  <c r="D8" i="11"/>
  <c r="D10" i="11"/>
  <c r="H10" i="11" s="1"/>
  <c r="L10" i="11" s="1"/>
  <c r="D11" i="8"/>
  <c r="H11" i="8" s="1"/>
  <c r="M11" i="8" s="1"/>
  <c r="D38" i="8"/>
  <c r="H38" i="8" s="1"/>
  <c r="M38" i="8" s="1"/>
  <c r="D42" i="8"/>
  <c r="H42" i="8" s="1"/>
  <c r="L42" i="8" s="1"/>
  <c r="C17" i="11"/>
  <c r="G17" i="11" s="1"/>
  <c r="H17" i="11" s="1"/>
  <c r="M17" i="11" s="1"/>
  <c r="C5" i="11"/>
  <c r="G5" i="11" s="1"/>
  <c r="C15" i="11"/>
  <c r="G15" i="11" s="1"/>
  <c r="H15" i="11" s="1"/>
  <c r="M15" i="11" s="1"/>
  <c r="D34" i="11"/>
  <c r="H34" i="11" s="1"/>
  <c r="M34" i="11" s="1"/>
  <c r="D20" i="11"/>
  <c r="H20" i="11" s="1"/>
  <c r="L20" i="11" s="1"/>
  <c r="D3" i="11"/>
  <c r="H3" i="11" s="1"/>
  <c r="M3" i="11" s="1"/>
  <c r="D7" i="11"/>
  <c r="H7" i="11" s="1"/>
  <c r="M7" i="11" s="1"/>
  <c r="D9" i="11"/>
  <c r="H9" i="11" s="1"/>
  <c r="M9" i="11" s="1"/>
  <c r="D11" i="11"/>
  <c r="D16" i="8"/>
  <c r="H16" i="8" s="1"/>
  <c r="L16" i="8" s="1"/>
  <c r="D23" i="8"/>
  <c r="H23" i="8" s="1"/>
  <c r="L23" i="8" s="1"/>
  <c r="D26" i="8"/>
  <c r="H26" i="8" s="1"/>
  <c r="L26" i="8" s="1"/>
  <c r="D29" i="8"/>
  <c r="H29" i="8" s="1"/>
  <c r="M29" i="8" s="1"/>
  <c r="D37" i="8"/>
  <c r="H37" i="8" s="1"/>
  <c r="L37" i="8" s="1"/>
  <c r="D41" i="8"/>
  <c r="H41" i="8" s="1"/>
  <c r="M41" i="8" s="1"/>
  <c r="C18" i="11"/>
  <c r="G18" i="11" s="1"/>
  <c r="H18" i="11" s="1"/>
  <c r="M18" i="11" s="1"/>
  <c r="C25" i="11"/>
  <c r="G25" i="11" s="1"/>
  <c r="C31" i="11"/>
  <c r="G31" i="11" s="1"/>
  <c r="H31" i="11" s="1"/>
  <c r="C14" i="11"/>
  <c r="G14" i="11" s="1"/>
  <c r="H14" i="11" s="1"/>
  <c r="L14" i="11" s="1"/>
  <c r="C21" i="11"/>
  <c r="G21" i="11" s="1"/>
  <c r="H21" i="11" s="1"/>
  <c r="C27" i="11"/>
  <c r="G27" i="11" s="1"/>
  <c r="H27" i="11" s="1"/>
  <c r="M27" i="11" s="1"/>
  <c r="C33" i="11"/>
  <c r="G33" i="11" s="1"/>
  <c r="H33" i="11" s="1"/>
  <c r="M33" i="11" s="1"/>
  <c r="C16" i="11"/>
  <c r="G16" i="11" s="1"/>
  <c r="H16" i="11" s="1"/>
  <c r="M16" i="11" s="1"/>
  <c r="C23" i="11"/>
  <c r="G23" i="11" s="1"/>
  <c r="C29" i="11"/>
  <c r="G29" i="11" s="1"/>
  <c r="C19" i="11"/>
  <c r="G19" i="11" s="1"/>
  <c r="C24" i="11"/>
  <c r="G24" i="11" s="1"/>
  <c r="H24" i="11" s="1"/>
  <c r="M24" i="11" s="1"/>
  <c r="D28" i="11"/>
  <c r="H28" i="11" s="1"/>
  <c r="L28" i="11" s="1"/>
  <c r="D13" i="11"/>
  <c r="H13" i="11" s="1"/>
  <c r="M13" i="11" s="1"/>
  <c r="D14" i="8"/>
  <c r="H14" i="8" s="1"/>
  <c r="M14" i="8" s="1"/>
  <c r="D17" i="8"/>
  <c r="H17" i="8" s="1"/>
  <c r="L17" i="8" s="1"/>
  <c r="D20" i="8"/>
  <c r="H20" i="8" s="1"/>
  <c r="M20" i="8" s="1"/>
  <c r="D24" i="8"/>
  <c r="D27" i="8"/>
  <c r="H27" i="8" s="1"/>
  <c r="M27" i="8" s="1"/>
  <c r="D30" i="8"/>
  <c r="H30" i="8" s="1"/>
  <c r="M30" i="8" s="1"/>
  <c r="C12" i="11"/>
  <c r="G12" i="11" s="1"/>
  <c r="H12" i="11" s="1"/>
  <c r="M12" i="11" s="1"/>
  <c r="C22" i="11"/>
  <c r="G22" i="11" s="1"/>
  <c r="H22" i="11" s="1"/>
  <c r="M22" i="11" s="1"/>
  <c r="C30" i="11"/>
  <c r="G30" i="11" s="1"/>
  <c r="C26" i="11"/>
  <c r="G26" i="11" s="1"/>
  <c r="H26" i="11" s="1"/>
  <c r="L26" i="11" s="1"/>
  <c r="C32" i="11"/>
  <c r="G32" i="11" s="1"/>
  <c r="D19" i="8"/>
  <c r="H19" i="8" s="1"/>
  <c r="L19" i="8" s="1"/>
  <c r="H19" i="11"/>
  <c r="L19" i="11" s="1"/>
  <c r="H32" i="11"/>
  <c r="L32" i="11" s="1"/>
  <c r="H29" i="11"/>
  <c r="M29" i="11" s="1"/>
  <c r="H23" i="11"/>
  <c r="M23" i="11" s="1"/>
  <c r="H25" i="11"/>
  <c r="M25" i="11" s="1"/>
  <c r="H11" i="11"/>
  <c r="L11" i="11" s="1"/>
  <c r="H8" i="11"/>
  <c r="L8" i="11" s="1"/>
  <c r="H6" i="11"/>
  <c r="L6" i="11" s="1"/>
  <c r="H5" i="11"/>
  <c r="L5" i="11" s="1"/>
  <c r="H4" i="11"/>
  <c r="M4" i="11" s="1"/>
  <c r="D45" i="8"/>
  <c r="H45" i="8" s="1"/>
  <c r="D44" i="8"/>
  <c r="H44" i="8" s="1"/>
  <c r="D32" i="8"/>
  <c r="H32" i="8" s="1"/>
  <c r="H24" i="8"/>
  <c r="M24" i="8" s="1"/>
  <c r="D13" i="8"/>
  <c r="H13" i="8" s="1"/>
  <c r="D10" i="8"/>
  <c r="H10" i="8" s="1"/>
  <c r="I44" i="12"/>
  <c r="B44" i="12"/>
  <c r="D44" i="12" s="1"/>
  <c r="I40" i="12"/>
  <c r="B40" i="12"/>
  <c r="D40" i="12" s="1"/>
  <c r="I36" i="12"/>
  <c r="B36" i="12"/>
  <c r="D36" i="12" s="1"/>
  <c r="I32" i="12"/>
  <c r="B32" i="12"/>
  <c r="D32" i="12" s="1"/>
  <c r="I28" i="12"/>
  <c r="B28" i="12"/>
  <c r="D28" i="12" s="1"/>
  <c r="I24" i="12"/>
  <c r="B24" i="12"/>
  <c r="D24" i="12" s="1"/>
  <c r="I21" i="12"/>
  <c r="B21" i="12"/>
  <c r="D21" i="12" s="1"/>
  <c r="I17" i="12"/>
  <c r="B17" i="12"/>
  <c r="D17" i="12" s="1"/>
  <c r="I13" i="12"/>
  <c r="B13" i="12"/>
  <c r="D13" i="12" s="1"/>
  <c r="I9" i="12"/>
  <c r="B9" i="12"/>
  <c r="D9" i="12" s="1"/>
  <c r="I45" i="12"/>
  <c r="B45" i="12"/>
  <c r="D45" i="12" s="1"/>
  <c r="I41" i="12"/>
  <c r="B41" i="12"/>
  <c r="D41" i="12" s="1"/>
  <c r="I46" i="12"/>
  <c r="B46" i="12"/>
  <c r="D46" i="12" s="1"/>
  <c r="I42" i="12"/>
  <c r="B42" i="12"/>
  <c r="C42" i="12" s="1"/>
  <c r="G42" i="12" s="1"/>
  <c r="I37" i="12"/>
  <c r="B37" i="12"/>
  <c r="D37" i="12" s="1"/>
  <c r="I33" i="12"/>
  <c r="B33" i="12"/>
  <c r="C33" i="12" s="1"/>
  <c r="G33" i="12" s="1"/>
  <c r="I29" i="12"/>
  <c r="B29" i="12"/>
  <c r="C29" i="12" s="1"/>
  <c r="G29" i="12" s="1"/>
  <c r="I25" i="12"/>
  <c r="B25" i="12"/>
  <c r="C25" i="12" s="1"/>
  <c r="G25" i="12" s="1"/>
  <c r="I18" i="12"/>
  <c r="B18" i="12"/>
  <c r="D18" i="12" s="1"/>
  <c r="I14" i="12"/>
  <c r="B14" i="12"/>
  <c r="C14" i="12" s="1"/>
  <c r="G14" i="12" s="1"/>
  <c r="I10" i="12"/>
  <c r="B10" i="12"/>
  <c r="C10" i="12" s="1"/>
  <c r="G10" i="12" s="1"/>
  <c r="I38" i="12"/>
  <c r="B38" i="12"/>
  <c r="C38" i="12" s="1"/>
  <c r="G38" i="12" s="1"/>
  <c r="I34" i="12"/>
  <c r="B34" i="12"/>
  <c r="D34" i="12" s="1"/>
  <c r="I30" i="12"/>
  <c r="B30" i="12"/>
  <c r="D30" i="12" s="1"/>
  <c r="I26" i="12"/>
  <c r="B26" i="12"/>
  <c r="D26" i="12" s="1"/>
  <c r="I22" i="12"/>
  <c r="B22" i="12"/>
  <c r="C22" i="12" s="1"/>
  <c r="G22" i="12" s="1"/>
  <c r="I19" i="12"/>
  <c r="B19" i="12"/>
  <c r="D19" i="12" s="1"/>
  <c r="I15" i="12"/>
  <c r="B15" i="12"/>
  <c r="D15" i="12" s="1"/>
  <c r="I11" i="12"/>
  <c r="B11" i="12"/>
  <c r="C11" i="12" s="1"/>
  <c r="G11" i="12" s="1"/>
  <c r="J8" i="9"/>
  <c r="B8" i="9"/>
  <c r="D8" i="9" s="1"/>
  <c r="M19" i="11" l="1"/>
  <c r="C36" i="12"/>
  <c r="G36" i="12" s="1"/>
  <c r="D14" i="12"/>
  <c r="D42" i="12"/>
  <c r="H42" i="12" s="1"/>
  <c r="M42" i="12" s="1"/>
  <c r="D38" i="12"/>
  <c r="H38" i="12" s="1"/>
  <c r="M38" i="12" s="1"/>
  <c r="C9" i="12"/>
  <c r="G9" i="12" s="1"/>
  <c r="C21" i="12"/>
  <c r="G21" i="12" s="1"/>
  <c r="H21" i="12" s="1"/>
  <c r="M21" i="12" s="1"/>
  <c r="L33" i="11"/>
  <c r="D33" i="12"/>
  <c r="H33" i="12" s="1"/>
  <c r="M33" i="12" s="1"/>
  <c r="H30" i="11"/>
  <c r="M30" i="11" s="1"/>
  <c r="C41" i="12"/>
  <c r="G41" i="12" s="1"/>
  <c r="C44" i="12"/>
  <c r="G44" i="12" s="1"/>
  <c r="C28" i="12"/>
  <c r="G28" i="12" s="1"/>
  <c r="H28" i="12" s="1"/>
  <c r="M28" i="12" s="1"/>
  <c r="D25" i="12"/>
  <c r="H25" i="12" s="1"/>
  <c r="M25" i="12" s="1"/>
  <c r="L4" i="11"/>
  <c r="L21" i="11"/>
  <c r="M21" i="11"/>
  <c r="L31" i="11"/>
  <c r="M31" i="11"/>
  <c r="D10" i="12"/>
  <c r="H10" i="12" s="1"/>
  <c r="L10" i="12" s="1"/>
  <c r="C37" i="12"/>
  <c r="G37" i="12" s="1"/>
  <c r="H37" i="12" s="1"/>
  <c r="M37" i="12" s="1"/>
  <c r="D11" i="12"/>
  <c r="H11" i="12" s="1"/>
  <c r="M11" i="12" s="1"/>
  <c r="D22" i="12"/>
  <c r="H22" i="12" s="1"/>
  <c r="D29" i="12"/>
  <c r="H29" i="12" s="1"/>
  <c r="L29" i="12" s="1"/>
  <c r="C17" i="12"/>
  <c r="G17" i="12" s="1"/>
  <c r="H17" i="12" s="1"/>
  <c r="M17" i="12" s="1"/>
  <c r="C24" i="12"/>
  <c r="G24" i="12" s="1"/>
  <c r="H24" i="12" s="1"/>
  <c r="C32" i="12"/>
  <c r="G32" i="12" s="1"/>
  <c r="H32" i="12" s="1"/>
  <c r="M32" i="12" s="1"/>
  <c r="C40" i="12"/>
  <c r="G40" i="12" s="1"/>
  <c r="H40" i="12" s="1"/>
  <c r="M40" i="12" s="1"/>
  <c r="M37" i="8"/>
  <c r="N37" i="8" s="1"/>
  <c r="O37" i="8" s="1"/>
  <c r="L12" i="11"/>
  <c r="C45" i="12"/>
  <c r="G45" i="12" s="1"/>
  <c r="H45" i="12" s="1"/>
  <c r="M45" i="12" s="1"/>
  <c r="C13" i="12"/>
  <c r="G13" i="12" s="1"/>
  <c r="H13" i="12" s="1"/>
  <c r="L13" i="12" s="1"/>
  <c r="M10" i="11"/>
  <c r="M14" i="11"/>
  <c r="M16" i="8"/>
  <c r="Q16" i="8" s="1"/>
  <c r="V19" i="11"/>
  <c r="N19" i="11"/>
  <c r="T19" i="11"/>
  <c r="S19" i="11"/>
  <c r="R19" i="11"/>
  <c r="Q19" i="11"/>
  <c r="U19" i="11"/>
  <c r="P19" i="11"/>
  <c r="M32" i="11"/>
  <c r="V29" i="11"/>
  <c r="N29" i="11"/>
  <c r="T29" i="11"/>
  <c r="P29" i="11"/>
  <c r="U29" i="11"/>
  <c r="S29" i="11"/>
  <c r="R29" i="11"/>
  <c r="Q29" i="11"/>
  <c r="L29" i="11"/>
  <c r="M26" i="11"/>
  <c r="V23" i="11"/>
  <c r="N23" i="11"/>
  <c r="R23" i="11"/>
  <c r="U23" i="11"/>
  <c r="T23" i="11"/>
  <c r="S23" i="11"/>
  <c r="Q23" i="11"/>
  <c r="P23" i="11"/>
  <c r="L23" i="11"/>
  <c r="M20" i="11"/>
  <c r="V16" i="11"/>
  <c r="N16" i="11"/>
  <c r="R16" i="11"/>
  <c r="Q16" i="11"/>
  <c r="U16" i="11"/>
  <c r="T16" i="11"/>
  <c r="S16" i="11"/>
  <c r="P16" i="11"/>
  <c r="L16" i="11"/>
  <c r="V13" i="11"/>
  <c r="N13" i="11"/>
  <c r="Q13" i="11"/>
  <c r="P13" i="11"/>
  <c r="U13" i="11"/>
  <c r="T13" i="11"/>
  <c r="S13" i="11"/>
  <c r="R13" i="11"/>
  <c r="L13" i="11"/>
  <c r="V33" i="11"/>
  <c r="N33" i="11"/>
  <c r="T33" i="11"/>
  <c r="S33" i="11"/>
  <c r="R33" i="11"/>
  <c r="Q33" i="11"/>
  <c r="U33" i="11"/>
  <c r="P33" i="11"/>
  <c r="V27" i="11"/>
  <c r="N27" i="11"/>
  <c r="T27" i="11"/>
  <c r="U27" i="11"/>
  <c r="S27" i="11"/>
  <c r="R27" i="11"/>
  <c r="Q27" i="11"/>
  <c r="P27" i="11"/>
  <c r="L27" i="11"/>
  <c r="V24" i="11"/>
  <c r="N24" i="11"/>
  <c r="U24" i="11"/>
  <c r="T24" i="11"/>
  <c r="S24" i="11"/>
  <c r="R24" i="11"/>
  <c r="Q24" i="11"/>
  <c r="P24" i="11"/>
  <c r="L24" i="11"/>
  <c r="V17" i="11"/>
  <c r="N17" i="11"/>
  <c r="R17" i="11"/>
  <c r="Q17" i="11"/>
  <c r="U17" i="11"/>
  <c r="T17" i="11"/>
  <c r="S17" i="11"/>
  <c r="P17" i="11"/>
  <c r="L17" i="11"/>
  <c r="V34" i="11"/>
  <c r="N34" i="11"/>
  <c r="Q34" i="11"/>
  <c r="U34" i="11"/>
  <c r="R34" i="11"/>
  <c r="T34" i="11"/>
  <c r="S34" i="11"/>
  <c r="P34" i="11"/>
  <c r="L34" i="11"/>
  <c r="N31" i="11"/>
  <c r="T31" i="11"/>
  <c r="S31" i="11"/>
  <c r="Q31" i="11"/>
  <c r="M28" i="11"/>
  <c r="V25" i="11"/>
  <c r="N25" i="11"/>
  <c r="T25" i="11"/>
  <c r="U25" i="11"/>
  <c r="P25" i="11"/>
  <c r="S25" i="11"/>
  <c r="R25" i="11"/>
  <c r="Q25" i="11"/>
  <c r="L25" i="11"/>
  <c r="V22" i="11"/>
  <c r="N22" i="11"/>
  <c r="U22" i="11"/>
  <c r="R22" i="11"/>
  <c r="Q22" i="11"/>
  <c r="P22" i="11"/>
  <c r="T22" i="11"/>
  <c r="S22" i="11"/>
  <c r="L22" i="11"/>
  <c r="V18" i="11"/>
  <c r="N18" i="11"/>
  <c r="Q18" i="11"/>
  <c r="P18" i="11"/>
  <c r="U18" i="11"/>
  <c r="T18" i="11"/>
  <c r="S18" i="11"/>
  <c r="R18" i="11"/>
  <c r="L18" i="11"/>
  <c r="V15" i="11"/>
  <c r="N15" i="11"/>
  <c r="U15" i="11"/>
  <c r="T15" i="11"/>
  <c r="S15" i="11"/>
  <c r="R15" i="11"/>
  <c r="Q15" i="11"/>
  <c r="P15" i="11"/>
  <c r="L15" i="11"/>
  <c r="V12" i="11"/>
  <c r="N12" i="11"/>
  <c r="T12" i="11"/>
  <c r="U12" i="11"/>
  <c r="S12" i="11"/>
  <c r="R12" i="11"/>
  <c r="Q12" i="11"/>
  <c r="P12" i="11"/>
  <c r="M11" i="11"/>
  <c r="U10" i="11"/>
  <c r="V9" i="11"/>
  <c r="N9" i="11"/>
  <c r="P9" i="11"/>
  <c r="U9" i="11"/>
  <c r="T9" i="11"/>
  <c r="S9" i="11"/>
  <c r="R9" i="11"/>
  <c r="Q9" i="11"/>
  <c r="L9" i="11"/>
  <c r="M8" i="11"/>
  <c r="V7" i="11"/>
  <c r="N7" i="11"/>
  <c r="P7" i="11"/>
  <c r="U7" i="11"/>
  <c r="T7" i="11"/>
  <c r="R7" i="11"/>
  <c r="Q7" i="11"/>
  <c r="S7" i="11"/>
  <c r="L7" i="11"/>
  <c r="M6" i="11"/>
  <c r="M5" i="11"/>
  <c r="V4" i="11"/>
  <c r="N4" i="11"/>
  <c r="R4" i="11"/>
  <c r="Q4" i="11"/>
  <c r="P4" i="11"/>
  <c r="U4" i="11"/>
  <c r="T4" i="11"/>
  <c r="S4" i="11"/>
  <c r="V3" i="11"/>
  <c r="N3" i="11"/>
  <c r="U3" i="11"/>
  <c r="T3" i="11"/>
  <c r="S3" i="11"/>
  <c r="R3" i="11"/>
  <c r="Q3" i="11"/>
  <c r="P3" i="11"/>
  <c r="L3" i="11"/>
  <c r="M45" i="8"/>
  <c r="L45" i="8"/>
  <c r="M44" i="8"/>
  <c r="L44" i="8"/>
  <c r="M42" i="8"/>
  <c r="V41" i="8"/>
  <c r="N41" i="8"/>
  <c r="O41" i="8" s="1"/>
  <c r="R41" i="8"/>
  <c r="Q41" i="8"/>
  <c r="P41" i="8"/>
  <c r="U41" i="8"/>
  <c r="T41" i="8"/>
  <c r="S41" i="8"/>
  <c r="L41" i="8"/>
  <c r="V38" i="8"/>
  <c r="N38" i="8"/>
  <c r="O38" i="8" s="1"/>
  <c r="S38" i="8"/>
  <c r="R38" i="8"/>
  <c r="Q38" i="8"/>
  <c r="P38" i="8"/>
  <c r="U38" i="8"/>
  <c r="T38" i="8"/>
  <c r="L38" i="8"/>
  <c r="V37" i="8"/>
  <c r="M32" i="8"/>
  <c r="L32" i="8"/>
  <c r="V30" i="8"/>
  <c r="N30" i="8"/>
  <c r="O30" i="8" s="1"/>
  <c r="R30" i="8"/>
  <c r="Q30" i="8"/>
  <c r="U30" i="8"/>
  <c r="P30" i="8"/>
  <c r="T30" i="8"/>
  <c r="S30" i="8"/>
  <c r="L30" i="8"/>
  <c r="V29" i="8"/>
  <c r="N29" i="8"/>
  <c r="O29" i="8" s="1"/>
  <c r="U29" i="8"/>
  <c r="T29" i="8"/>
  <c r="P29" i="8"/>
  <c r="S29" i="8"/>
  <c r="R29" i="8"/>
  <c r="Q29" i="8"/>
  <c r="L29" i="8"/>
  <c r="V27" i="8"/>
  <c r="N27" i="8"/>
  <c r="O27" i="8" s="1"/>
  <c r="R27" i="8"/>
  <c r="Q27" i="8"/>
  <c r="P27" i="8"/>
  <c r="U27" i="8"/>
  <c r="T27" i="8"/>
  <c r="S27" i="8"/>
  <c r="L27" i="8"/>
  <c r="M26" i="8"/>
  <c r="V24" i="8"/>
  <c r="N24" i="8"/>
  <c r="O24" i="8" s="1"/>
  <c r="R24" i="8"/>
  <c r="Q24" i="8"/>
  <c r="P24" i="8"/>
  <c r="U24" i="8"/>
  <c r="T24" i="8"/>
  <c r="S24" i="8"/>
  <c r="L24" i="8"/>
  <c r="M23" i="8"/>
  <c r="V20" i="8"/>
  <c r="N20" i="8"/>
  <c r="O20" i="8" s="1"/>
  <c r="S20" i="8"/>
  <c r="U20" i="8"/>
  <c r="T20" i="8"/>
  <c r="R20" i="8"/>
  <c r="Q20" i="8"/>
  <c r="P20" i="8"/>
  <c r="L20" i="8"/>
  <c r="M19" i="8"/>
  <c r="M17" i="8"/>
  <c r="V14" i="8"/>
  <c r="N14" i="8"/>
  <c r="O14" i="8" s="1"/>
  <c r="U14" i="8"/>
  <c r="R14" i="8"/>
  <c r="Q14" i="8"/>
  <c r="P14" i="8"/>
  <c r="T14" i="8"/>
  <c r="S14" i="8"/>
  <c r="L14" i="8"/>
  <c r="M13" i="8"/>
  <c r="L13" i="8"/>
  <c r="V11" i="8"/>
  <c r="N11" i="8"/>
  <c r="O11" i="8" s="1"/>
  <c r="R11" i="8"/>
  <c r="Q11" i="8"/>
  <c r="P11" i="8"/>
  <c r="U11" i="8"/>
  <c r="T11" i="8"/>
  <c r="S11" i="8"/>
  <c r="L11" i="8"/>
  <c r="M10" i="8"/>
  <c r="L10" i="8"/>
  <c r="H44" i="12"/>
  <c r="M44" i="12" s="1"/>
  <c r="H36" i="12"/>
  <c r="M36" i="12" s="1"/>
  <c r="H9" i="12"/>
  <c r="M9" i="12" s="1"/>
  <c r="H41" i="12"/>
  <c r="M41" i="12" s="1"/>
  <c r="C46" i="12"/>
  <c r="G46" i="12" s="1"/>
  <c r="C18" i="12"/>
  <c r="G18" i="12" s="1"/>
  <c r="H14" i="12"/>
  <c r="M14" i="12" s="1"/>
  <c r="C34" i="12"/>
  <c r="G34" i="12" s="1"/>
  <c r="C30" i="12"/>
  <c r="G30" i="12" s="1"/>
  <c r="C26" i="12"/>
  <c r="G26" i="12" s="1"/>
  <c r="C19" i="12"/>
  <c r="G19" i="12" s="1"/>
  <c r="C15" i="12"/>
  <c r="G15" i="12" s="1"/>
  <c r="C8" i="9"/>
  <c r="G8" i="9" s="1"/>
  <c r="O25" i="11" l="1"/>
  <c r="O24" i="11"/>
  <c r="O19" i="11"/>
  <c r="O27" i="11"/>
  <c r="O33" i="11"/>
  <c r="O9" i="11"/>
  <c r="O13" i="11"/>
  <c r="O22" i="11"/>
  <c r="O17" i="11"/>
  <c r="O7" i="11"/>
  <c r="O16" i="11"/>
  <c r="O12" i="11"/>
  <c r="P14" i="11"/>
  <c r="U31" i="11"/>
  <c r="O3" i="11"/>
  <c r="O4" i="11"/>
  <c r="O15" i="11"/>
  <c r="O23" i="11"/>
  <c r="V10" i="11"/>
  <c r="R30" i="11"/>
  <c r="O29" i="11"/>
  <c r="O18" i="11"/>
  <c r="O31" i="11"/>
  <c r="O34" i="11"/>
  <c r="T21" i="11"/>
  <c r="T10" i="11"/>
  <c r="R10" i="11"/>
  <c r="S10" i="11"/>
  <c r="S30" i="11"/>
  <c r="N21" i="11"/>
  <c r="R37" i="8"/>
  <c r="U37" i="8"/>
  <c r="U14" i="11"/>
  <c r="P37" i="8"/>
  <c r="Q14" i="11"/>
  <c r="P21" i="11"/>
  <c r="Q21" i="11"/>
  <c r="T16" i="8"/>
  <c r="U21" i="11"/>
  <c r="T30" i="11"/>
  <c r="Q37" i="8"/>
  <c r="V21" i="11"/>
  <c r="U30" i="11"/>
  <c r="L30" i="11"/>
  <c r="S37" i="8"/>
  <c r="R21" i="11"/>
  <c r="P30" i="11"/>
  <c r="N30" i="11"/>
  <c r="V30" i="11"/>
  <c r="T37" i="8"/>
  <c r="S21" i="11"/>
  <c r="Q30" i="11"/>
  <c r="L22" i="12"/>
  <c r="M22" i="12"/>
  <c r="T22" i="12" s="1"/>
  <c r="U22" i="12" s="1"/>
  <c r="L24" i="12"/>
  <c r="M24" i="12"/>
  <c r="R24" i="12" s="1"/>
  <c r="R16" i="8"/>
  <c r="S14" i="11"/>
  <c r="S16" i="8"/>
  <c r="Q10" i="11"/>
  <c r="R31" i="11"/>
  <c r="T14" i="11"/>
  <c r="L44" i="12"/>
  <c r="U16" i="8"/>
  <c r="P10" i="11"/>
  <c r="V31" i="11"/>
  <c r="N14" i="11"/>
  <c r="R14" i="11"/>
  <c r="P16" i="8"/>
  <c r="N10" i="11"/>
  <c r="P31" i="11"/>
  <c r="V14" i="11"/>
  <c r="N16" i="8"/>
  <c r="O16" i="8" s="1"/>
  <c r="V16" i="8"/>
  <c r="V32" i="11"/>
  <c r="N32" i="11"/>
  <c r="U32" i="11"/>
  <c r="T32" i="11"/>
  <c r="S32" i="11"/>
  <c r="R32" i="11"/>
  <c r="Q32" i="11"/>
  <c r="P32" i="11"/>
  <c r="V26" i="11"/>
  <c r="N26" i="11"/>
  <c r="S26" i="11"/>
  <c r="R26" i="11"/>
  <c r="Q26" i="11"/>
  <c r="U26" i="11"/>
  <c r="T26" i="11"/>
  <c r="P26" i="11"/>
  <c r="V20" i="11"/>
  <c r="N20" i="11"/>
  <c r="U20" i="11"/>
  <c r="T20" i="11"/>
  <c r="S20" i="11"/>
  <c r="R20" i="11"/>
  <c r="Q20" i="11"/>
  <c r="P20" i="11"/>
  <c r="V28" i="11"/>
  <c r="N28" i="11"/>
  <c r="U28" i="11"/>
  <c r="T28" i="11"/>
  <c r="S28" i="11"/>
  <c r="R28" i="11"/>
  <c r="Q28" i="11"/>
  <c r="P28" i="11"/>
  <c r="V11" i="11"/>
  <c r="N11" i="11"/>
  <c r="U11" i="11"/>
  <c r="T11" i="11"/>
  <c r="Q11" i="11"/>
  <c r="P11" i="11"/>
  <c r="S11" i="11"/>
  <c r="R11" i="11"/>
  <c r="V8" i="11"/>
  <c r="N8" i="11"/>
  <c r="U8" i="11"/>
  <c r="T8" i="11"/>
  <c r="Q8" i="11"/>
  <c r="S8" i="11"/>
  <c r="R8" i="11"/>
  <c r="P8" i="11"/>
  <c r="V6" i="11"/>
  <c r="N6" i="11"/>
  <c r="U6" i="11"/>
  <c r="T6" i="11"/>
  <c r="S6" i="11"/>
  <c r="R6" i="11"/>
  <c r="Q6" i="11"/>
  <c r="P6" i="11"/>
  <c r="V5" i="11"/>
  <c r="N5" i="11"/>
  <c r="S5" i="11"/>
  <c r="R5" i="11"/>
  <c r="Q5" i="11"/>
  <c r="U5" i="11"/>
  <c r="T5" i="11"/>
  <c r="P5" i="11"/>
  <c r="V45" i="8"/>
  <c r="N45" i="8"/>
  <c r="O45" i="8" s="1"/>
  <c r="U45" i="8"/>
  <c r="T45" i="8"/>
  <c r="P45" i="8"/>
  <c r="S45" i="8"/>
  <c r="R45" i="8"/>
  <c r="Q45" i="8"/>
  <c r="V44" i="8"/>
  <c r="N44" i="8"/>
  <c r="O44" i="8" s="1"/>
  <c r="U44" i="8"/>
  <c r="T44" i="8"/>
  <c r="S44" i="8"/>
  <c r="P44" i="8"/>
  <c r="R44" i="8"/>
  <c r="Q44" i="8"/>
  <c r="V42" i="8"/>
  <c r="N42" i="8"/>
  <c r="O42" i="8" s="1"/>
  <c r="T42" i="8"/>
  <c r="S42" i="8"/>
  <c r="U42" i="8"/>
  <c r="R42" i="8"/>
  <c r="Q42" i="8"/>
  <c r="P42" i="8"/>
  <c r="V32" i="8"/>
  <c r="N32" i="8"/>
  <c r="O32" i="8" s="1"/>
  <c r="U32" i="8"/>
  <c r="T32" i="8"/>
  <c r="S32" i="8"/>
  <c r="R32" i="8"/>
  <c r="Q32" i="8"/>
  <c r="P32" i="8"/>
  <c r="V26" i="8"/>
  <c r="N26" i="8"/>
  <c r="O26" i="8" s="1"/>
  <c r="T26" i="8"/>
  <c r="U26" i="8"/>
  <c r="R26" i="8"/>
  <c r="Q26" i="8"/>
  <c r="P26" i="8"/>
  <c r="S26" i="8"/>
  <c r="V23" i="8"/>
  <c r="N23" i="8"/>
  <c r="O23" i="8" s="1"/>
  <c r="T23" i="8"/>
  <c r="U23" i="8"/>
  <c r="S23" i="8"/>
  <c r="R23" i="8"/>
  <c r="Q23" i="8"/>
  <c r="P23" i="8"/>
  <c r="V19" i="8"/>
  <c r="N19" i="8"/>
  <c r="O19" i="8" s="1"/>
  <c r="T19" i="8"/>
  <c r="R19" i="8"/>
  <c r="Q19" i="8"/>
  <c r="P19" i="8"/>
  <c r="U19" i="8"/>
  <c r="S19" i="8"/>
  <c r="V17" i="8"/>
  <c r="N17" i="8"/>
  <c r="O17" i="8" s="1"/>
  <c r="S17" i="8"/>
  <c r="U17" i="8"/>
  <c r="T17" i="8"/>
  <c r="R17" i="8"/>
  <c r="Q17" i="8"/>
  <c r="P17" i="8"/>
  <c r="V13" i="8"/>
  <c r="N13" i="8"/>
  <c r="O13" i="8" s="1"/>
  <c r="U13" i="8"/>
  <c r="R13" i="8"/>
  <c r="Q13" i="8"/>
  <c r="P13" i="8"/>
  <c r="T13" i="8"/>
  <c r="S13" i="8"/>
  <c r="V10" i="8"/>
  <c r="N10" i="8"/>
  <c r="O10" i="8" s="1"/>
  <c r="U10" i="8"/>
  <c r="R10" i="8"/>
  <c r="Q10" i="8"/>
  <c r="P10" i="8"/>
  <c r="T10" i="8"/>
  <c r="S10" i="8"/>
  <c r="W44" i="12"/>
  <c r="N44" i="12"/>
  <c r="O44" i="12" s="1"/>
  <c r="V44" i="12"/>
  <c r="R44" i="12"/>
  <c r="Q44" i="12"/>
  <c r="P44" i="12"/>
  <c r="T44" i="12"/>
  <c r="U44" i="12" s="1"/>
  <c r="S44" i="12"/>
  <c r="W40" i="12"/>
  <c r="N40" i="12"/>
  <c r="O40" i="12" s="1"/>
  <c r="Q40" i="12"/>
  <c r="V40" i="12"/>
  <c r="T40" i="12"/>
  <c r="U40" i="12" s="1"/>
  <c r="S40" i="12"/>
  <c r="R40" i="12"/>
  <c r="P40" i="12"/>
  <c r="L40" i="12"/>
  <c r="W36" i="12"/>
  <c r="N36" i="12"/>
  <c r="O36" i="12" s="1"/>
  <c r="V36" i="12"/>
  <c r="T36" i="12"/>
  <c r="U36" i="12" s="1"/>
  <c r="S36" i="12"/>
  <c r="R36" i="12"/>
  <c r="Q36" i="12"/>
  <c r="P36" i="12"/>
  <c r="L36" i="12"/>
  <c r="W32" i="12"/>
  <c r="N32" i="12"/>
  <c r="O32" i="12" s="1"/>
  <c r="V32" i="12"/>
  <c r="T32" i="12"/>
  <c r="U32" i="12" s="1"/>
  <c r="S32" i="12"/>
  <c r="R32" i="12"/>
  <c r="Q32" i="12"/>
  <c r="P32" i="12"/>
  <c r="L32" i="12"/>
  <c r="W28" i="12"/>
  <c r="N28" i="12"/>
  <c r="O28" i="12" s="1"/>
  <c r="R28" i="12"/>
  <c r="P28" i="12"/>
  <c r="V28" i="12"/>
  <c r="Q28" i="12"/>
  <c r="T28" i="12"/>
  <c r="U28" i="12" s="1"/>
  <c r="S28" i="12"/>
  <c r="L28" i="12"/>
  <c r="V24" i="12"/>
  <c r="T24" i="12"/>
  <c r="U24" i="12" s="1"/>
  <c r="W21" i="12"/>
  <c r="N21" i="12"/>
  <c r="O21" i="12" s="1"/>
  <c r="P21" i="12"/>
  <c r="V21" i="12"/>
  <c r="T21" i="12"/>
  <c r="U21" i="12" s="1"/>
  <c r="S21" i="12"/>
  <c r="R21" i="12"/>
  <c r="Q21" i="12"/>
  <c r="L21" i="12"/>
  <c r="W17" i="12"/>
  <c r="N17" i="12"/>
  <c r="O17" i="12" s="1"/>
  <c r="V17" i="12"/>
  <c r="R17" i="12"/>
  <c r="Q17" i="12"/>
  <c r="P17" i="12"/>
  <c r="T17" i="12"/>
  <c r="U17" i="12" s="1"/>
  <c r="S17" i="12"/>
  <c r="L17" i="12"/>
  <c r="M13" i="12"/>
  <c r="W9" i="12"/>
  <c r="N9" i="12"/>
  <c r="O9" i="12" s="1"/>
  <c r="V9" i="12"/>
  <c r="T9" i="12"/>
  <c r="U9" i="12" s="1"/>
  <c r="S9" i="12"/>
  <c r="R9" i="12"/>
  <c r="Q9" i="12"/>
  <c r="P9" i="12"/>
  <c r="L9" i="12"/>
  <c r="W45" i="12"/>
  <c r="N45" i="12"/>
  <c r="O45" i="12" s="1"/>
  <c r="V45" i="12"/>
  <c r="T45" i="12"/>
  <c r="U45" i="12" s="1"/>
  <c r="S45" i="12"/>
  <c r="P45" i="12"/>
  <c r="R45" i="12"/>
  <c r="Q45" i="12"/>
  <c r="L45" i="12"/>
  <c r="W41" i="12"/>
  <c r="N41" i="12"/>
  <c r="O41" i="12" s="1"/>
  <c r="V41" i="12"/>
  <c r="S41" i="12"/>
  <c r="R41" i="12"/>
  <c r="Q41" i="12"/>
  <c r="P41" i="12"/>
  <c r="T41" i="12"/>
  <c r="U41" i="12" s="1"/>
  <c r="L41" i="12"/>
  <c r="H46" i="12"/>
  <c r="L46" i="12" s="1"/>
  <c r="W42" i="12"/>
  <c r="N42" i="12"/>
  <c r="O42" i="12" s="1"/>
  <c r="V42" i="12"/>
  <c r="T42" i="12"/>
  <c r="U42" i="12" s="1"/>
  <c r="S42" i="12"/>
  <c r="R42" i="12"/>
  <c r="Q42" i="12"/>
  <c r="P42" i="12"/>
  <c r="L42" i="12"/>
  <c r="W37" i="12"/>
  <c r="N37" i="12"/>
  <c r="O37" i="12" s="1"/>
  <c r="V37" i="12"/>
  <c r="R37" i="12"/>
  <c r="T37" i="12"/>
  <c r="U37" i="12" s="1"/>
  <c r="S37" i="12"/>
  <c r="Q37" i="12"/>
  <c r="P37" i="12"/>
  <c r="L37" i="12"/>
  <c r="W33" i="12"/>
  <c r="N33" i="12"/>
  <c r="O33" i="12" s="1"/>
  <c r="V33" i="12"/>
  <c r="S33" i="12"/>
  <c r="T33" i="12"/>
  <c r="U33" i="12" s="1"/>
  <c r="R33" i="12"/>
  <c r="Q33" i="12"/>
  <c r="P33" i="12"/>
  <c r="L33" i="12"/>
  <c r="M29" i="12"/>
  <c r="W25" i="12"/>
  <c r="N25" i="12"/>
  <c r="O25" i="12" s="1"/>
  <c r="V25" i="12"/>
  <c r="R25" i="12"/>
  <c r="Q25" i="12"/>
  <c r="P25" i="12"/>
  <c r="T25" i="12"/>
  <c r="U25" i="12" s="1"/>
  <c r="S25" i="12"/>
  <c r="L25" i="12"/>
  <c r="H18" i="12"/>
  <c r="M18" i="12" s="1"/>
  <c r="W14" i="12"/>
  <c r="N14" i="12"/>
  <c r="O14" i="12" s="1"/>
  <c r="V14" i="12"/>
  <c r="T14" i="12"/>
  <c r="U14" i="12" s="1"/>
  <c r="S14" i="12"/>
  <c r="R14" i="12"/>
  <c r="Q14" i="12"/>
  <c r="P14" i="12"/>
  <c r="L14" i="12"/>
  <c r="M10" i="12"/>
  <c r="W38" i="12"/>
  <c r="N38" i="12"/>
  <c r="O38" i="12" s="1"/>
  <c r="V38" i="12"/>
  <c r="T38" i="12"/>
  <c r="U38" i="12" s="1"/>
  <c r="S38" i="12"/>
  <c r="R38" i="12"/>
  <c r="Q38" i="12"/>
  <c r="P38" i="12"/>
  <c r="L38" i="12"/>
  <c r="H34" i="12"/>
  <c r="L34" i="12" s="1"/>
  <c r="H30" i="12"/>
  <c r="M30" i="12" s="1"/>
  <c r="H26" i="12"/>
  <c r="L26" i="12" s="1"/>
  <c r="H19" i="12"/>
  <c r="M19" i="12" s="1"/>
  <c r="H15" i="12"/>
  <c r="M15" i="12" s="1"/>
  <c r="W11" i="12"/>
  <c r="N11" i="12"/>
  <c r="O11" i="12" s="1"/>
  <c r="V11" i="12"/>
  <c r="R11" i="12"/>
  <c r="Q11" i="12"/>
  <c r="P11" i="12"/>
  <c r="T11" i="12"/>
  <c r="U11" i="12" s="1"/>
  <c r="S11" i="12"/>
  <c r="L11" i="12"/>
  <c r="H8" i="9"/>
  <c r="M8" i="9" s="1"/>
  <c r="O30" i="11" l="1"/>
  <c r="O21" i="11"/>
  <c r="O10" i="11"/>
  <c r="O5" i="11"/>
  <c r="O6" i="11"/>
  <c r="O8" i="11"/>
  <c r="O11" i="11"/>
  <c r="O28" i="11"/>
  <c r="O20" i="11"/>
  <c r="O26" i="11"/>
  <c r="O32" i="11"/>
  <c r="O14" i="11"/>
  <c r="V22" i="12"/>
  <c r="N22" i="12"/>
  <c r="O22" i="12" s="1"/>
  <c r="W22" i="12"/>
  <c r="Q22" i="12"/>
  <c r="R22" i="12"/>
  <c r="P22" i="12"/>
  <c r="S22" i="12"/>
  <c r="S24" i="12"/>
  <c r="N24" i="12"/>
  <c r="O24" i="12" s="1"/>
  <c r="Q24" i="12"/>
  <c r="W24" i="12"/>
  <c r="P24" i="12"/>
  <c r="W13" i="12"/>
  <c r="N13" i="12"/>
  <c r="O13" i="12" s="1"/>
  <c r="V13" i="12"/>
  <c r="T13" i="12"/>
  <c r="U13" i="12" s="1"/>
  <c r="S13" i="12"/>
  <c r="R13" i="12"/>
  <c r="Q13" i="12"/>
  <c r="P13" i="12"/>
  <c r="M46" i="12"/>
  <c r="W29" i="12"/>
  <c r="N29" i="12"/>
  <c r="O29" i="12" s="1"/>
  <c r="V29" i="12"/>
  <c r="R29" i="12"/>
  <c r="Q29" i="12"/>
  <c r="P29" i="12"/>
  <c r="T29" i="12"/>
  <c r="U29" i="12" s="1"/>
  <c r="S29" i="12"/>
  <c r="W18" i="12"/>
  <c r="N18" i="12"/>
  <c r="O18" i="12" s="1"/>
  <c r="V18" i="12"/>
  <c r="S18" i="12"/>
  <c r="R18" i="12"/>
  <c r="Q18" i="12"/>
  <c r="P18" i="12"/>
  <c r="T18" i="12"/>
  <c r="U18" i="12" s="1"/>
  <c r="L18" i="12"/>
  <c r="W10" i="12"/>
  <c r="N10" i="12"/>
  <c r="O10" i="12" s="1"/>
  <c r="V10" i="12"/>
  <c r="P10" i="12"/>
  <c r="T10" i="12"/>
  <c r="U10" i="12" s="1"/>
  <c r="S10" i="12"/>
  <c r="R10" i="12"/>
  <c r="Q10" i="12"/>
  <c r="M34" i="12"/>
  <c r="W30" i="12"/>
  <c r="N30" i="12"/>
  <c r="O30" i="12" s="1"/>
  <c r="V30" i="12"/>
  <c r="T30" i="12"/>
  <c r="U30" i="12" s="1"/>
  <c r="S30" i="12"/>
  <c r="R30" i="12"/>
  <c r="Q30" i="12"/>
  <c r="P30" i="12"/>
  <c r="L30" i="12"/>
  <c r="M26" i="12"/>
  <c r="W19" i="12"/>
  <c r="N19" i="12"/>
  <c r="O19" i="12" s="1"/>
  <c r="V19" i="12"/>
  <c r="T19" i="12"/>
  <c r="U19" i="12" s="1"/>
  <c r="S19" i="12"/>
  <c r="R19" i="12"/>
  <c r="Q19" i="12"/>
  <c r="P19" i="12"/>
  <c r="L19" i="12"/>
  <c r="W15" i="12"/>
  <c r="N15" i="12"/>
  <c r="O15" i="12" s="1"/>
  <c r="V15" i="12"/>
  <c r="T15" i="12"/>
  <c r="U15" i="12" s="1"/>
  <c r="S15" i="12"/>
  <c r="R15" i="12"/>
  <c r="Q15" i="12"/>
  <c r="P15" i="12"/>
  <c r="L15" i="12"/>
  <c r="V8" i="9"/>
  <c r="N8" i="9"/>
  <c r="O8" i="9" s="1"/>
  <c r="R8" i="9"/>
  <c r="Q8" i="9"/>
  <c r="P8" i="9"/>
  <c r="U8" i="9"/>
  <c r="T8" i="9"/>
  <c r="S8" i="9"/>
  <c r="L8" i="9"/>
  <c r="W46" i="12" l="1"/>
  <c r="N46" i="12"/>
  <c r="O46" i="12" s="1"/>
  <c r="V46" i="12"/>
  <c r="T46" i="12"/>
  <c r="U46" i="12" s="1"/>
  <c r="R46" i="12"/>
  <c r="Q46" i="12"/>
  <c r="P46" i="12"/>
  <c r="S46" i="12"/>
  <c r="W34" i="12"/>
  <c r="N34" i="12"/>
  <c r="O34" i="12" s="1"/>
  <c r="V34" i="12"/>
  <c r="S34" i="12"/>
  <c r="R34" i="12"/>
  <c r="Q34" i="12"/>
  <c r="P34" i="12"/>
  <c r="T34" i="12"/>
  <c r="U34" i="12" s="1"/>
  <c r="W26" i="12"/>
  <c r="N26" i="12"/>
  <c r="O26" i="12" s="1"/>
  <c r="V26" i="12"/>
  <c r="T26" i="12"/>
  <c r="U26" i="12" s="1"/>
  <c r="S26" i="12"/>
  <c r="R26" i="12"/>
  <c r="Q26" i="12"/>
  <c r="P26" i="12"/>
  <c r="H6" i="10" l="1"/>
  <c r="B6" i="10"/>
  <c r="D6" i="10" s="1"/>
  <c r="H112" i="49"/>
  <c r="B112" i="49"/>
  <c r="D112" i="49" s="1"/>
  <c r="H111" i="49"/>
  <c r="B111" i="49"/>
  <c r="D111" i="49" s="1"/>
  <c r="H110" i="49"/>
  <c r="B110" i="49"/>
  <c r="D110" i="49" s="1"/>
  <c r="H109" i="49"/>
  <c r="B109" i="49"/>
  <c r="D109" i="49" s="1"/>
  <c r="C109" i="49" l="1"/>
  <c r="E109" i="49" s="1"/>
  <c r="F109" i="49" s="1"/>
  <c r="L109" i="49" s="1"/>
  <c r="C6" i="10"/>
  <c r="E6" i="10" s="1"/>
  <c r="C112" i="49"/>
  <c r="E112" i="49" s="1"/>
  <c r="C111" i="49"/>
  <c r="E111" i="49" s="1"/>
  <c r="C110" i="49"/>
  <c r="E110" i="49" s="1"/>
  <c r="I41" i="18"/>
  <c r="B41" i="18"/>
  <c r="D41" i="18" s="1"/>
  <c r="I40" i="18"/>
  <c r="B40" i="18"/>
  <c r="D40" i="18" s="1"/>
  <c r="F6" i="10" l="1"/>
  <c r="M6" i="10" s="1"/>
  <c r="F112" i="49"/>
  <c r="M112" i="49" s="1"/>
  <c r="F111" i="49"/>
  <c r="M111" i="49" s="1"/>
  <c r="F110" i="49"/>
  <c r="M110" i="49" s="1"/>
  <c r="M109" i="49"/>
  <c r="C41" i="18"/>
  <c r="G41" i="18" s="1"/>
  <c r="C40" i="18"/>
  <c r="G40" i="18" s="1"/>
  <c r="AC112" i="49" l="1"/>
  <c r="AB112" i="49"/>
  <c r="AA112" i="49"/>
  <c r="Z112" i="49"/>
  <c r="Y112" i="49"/>
  <c r="AC109" i="49"/>
  <c r="AB109" i="49"/>
  <c r="AA109" i="49"/>
  <c r="Z109" i="49"/>
  <c r="Y109" i="49"/>
  <c r="AC110" i="49"/>
  <c r="AB110" i="49"/>
  <c r="AA110" i="49"/>
  <c r="Z110" i="49"/>
  <c r="Y110" i="49"/>
  <c r="AC111" i="49"/>
  <c r="AB111" i="49"/>
  <c r="Y111" i="49"/>
  <c r="AA111" i="49"/>
  <c r="Z111" i="49"/>
  <c r="V6" i="10"/>
  <c r="N6" i="10"/>
  <c r="O6" i="10" s="1"/>
  <c r="U6" i="10"/>
  <c r="T6" i="10"/>
  <c r="S6" i="10"/>
  <c r="R6" i="10"/>
  <c r="Q6" i="10"/>
  <c r="P6" i="10"/>
  <c r="L6" i="10"/>
  <c r="V112" i="49"/>
  <c r="N112" i="49"/>
  <c r="O112" i="49" s="1"/>
  <c r="U112" i="49"/>
  <c r="T112" i="49"/>
  <c r="W112" i="49" s="1"/>
  <c r="S112" i="49"/>
  <c r="Q112" i="49"/>
  <c r="P112" i="49"/>
  <c r="R112" i="49"/>
  <c r="L112" i="49"/>
  <c r="V111" i="49"/>
  <c r="N111" i="49"/>
  <c r="O111" i="49" s="1"/>
  <c r="U111" i="49"/>
  <c r="T111" i="49"/>
  <c r="W111" i="49" s="1"/>
  <c r="S111" i="49"/>
  <c r="P111" i="49"/>
  <c r="R111" i="49"/>
  <c r="Q111" i="49"/>
  <c r="L111" i="49"/>
  <c r="V110" i="49"/>
  <c r="N110" i="49"/>
  <c r="O110" i="49" s="1"/>
  <c r="U110" i="49"/>
  <c r="S110" i="49"/>
  <c r="R110" i="49"/>
  <c r="Q110" i="49"/>
  <c r="P110" i="49"/>
  <c r="T110" i="49"/>
  <c r="W110" i="49" s="1"/>
  <c r="L110" i="49"/>
  <c r="V109" i="49"/>
  <c r="N109" i="49"/>
  <c r="O109" i="49" s="1"/>
  <c r="U109" i="49"/>
  <c r="T109" i="49"/>
  <c r="W109" i="49" s="1"/>
  <c r="S109" i="49"/>
  <c r="R109" i="49"/>
  <c r="Q109" i="49"/>
  <c r="P109" i="49"/>
  <c r="H41" i="18"/>
  <c r="M41" i="18" s="1"/>
  <c r="H40" i="18"/>
  <c r="M40" i="18" s="1"/>
  <c r="V41" i="18" l="1"/>
  <c r="N41" i="18"/>
  <c r="U41" i="18"/>
  <c r="T41" i="18"/>
  <c r="S41" i="18"/>
  <c r="P41" i="18"/>
  <c r="R41" i="18"/>
  <c r="Q41" i="18"/>
  <c r="L41" i="18"/>
  <c r="V40" i="18"/>
  <c r="N40" i="18"/>
  <c r="U40" i="18"/>
  <c r="S40" i="18"/>
  <c r="T40" i="18"/>
  <c r="R40" i="18"/>
  <c r="Q40" i="18"/>
  <c r="P40" i="18"/>
  <c r="L40" i="18"/>
  <c r="O40" i="18" l="1"/>
  <c r="O41" i="18"/>
  <c r="J29" i="9" l="1"/>
  <c r="B29" i="9"/>
  <c r="D29" i="9" s="1"/>
  <c r="J28" i="9"/>
  <c r="B28" i="9"/>
  <c r="D28" i="9" s="1"/>
  <c r="J27" i="9"/>
  <c r="B27" i="9"/>
  <c r="D27" i="9" s="1"/>
  <c r="J26" i="9"/>
  <c r="B26" i="9"/>
  <c r="D26" i="9" s="1"/>
  <c r="J25" i="9"/>
  <c r="B25" i="9"/>
  <c r="D25" i="9" s="1"/>
  <c r="J24" i="9"/>
  <c r="B24" i="9"/>
  <c r="D24" i="9" s="1"/>
  <c r="J23" i="9"/>
  <c r="B23" i="9"/>
  <c r="D23" i="9" s="1"/>
  <c r="C29" i="9" l="1"/>
  <c r="G29" i="9" s="1"/>
  <c r="C28" i="9"/>
  <c r="G28" i="9" s="1"/>
  <c r="C27" i="9"/>
  <c r="G27" i="9" s="1"/>
  <c r="C26" i="9"/>
  <c r="G26" i="9" s="1"/>
  <c r="C25" i="9"/>
  <c r="G25" i="9" s="1"/>
  <c r="C24" i="9"/>
  <c r="G24" i="9" s="1"/>
  <c r="C23" i="9"/>
  <c r="G23" i="9" s="1"/>
  <c r="H29" i="9" l="1"/>
  <c r="M29" i="9" s="1"/>
  <c r="H28" i="9"/>
  <c r="M28" i="9" s="1"/>
  <c r="H27" i="9"/>
  <c r="M27" i="9" s="1"/>
  <c r="H26" i="9"/>
  <c r="M26" i="9" s="1"/>
  <c r="H25" i="9"/>
  <c r="M25" i="9" s="1"/>
  <c r="H24" i="9"/>
  <c r="M24" i="9" s="1"/>
  <c r="H23" i="9"/>
  <c r="M23" i="9" s="1"/>
  <c r="L24" i="9" l="1"/>
  <c r="V29" i="9"/>
  <c r="N29" i="9"/>
  <c r="O29" i="9" s="1"/>
  <c r="U29" i="9"/>
  <c r="T29" i="9"/>
  <c r="S29" i="9"/>
  <c r="R29" i="9"/>
  <c r="Q29" i="9"/>
  <c r="P29" i="9"/>
  <c r="L29" i="9"/>
  <c r="V28" i="9"/>
  <c r="N28" i="9"/>
  <c r="O28" i="9" s="1"/>
  <c r="U28" i="9"/>
  <c r="T28" i="9"/>
  <c r="S28" i="9"/>
  <c r="R28" i="9"/>
  <c r="Q28" i="9"/>
  <c r="P28" i="9"/>
  <c r="L28" i="9"/>
  <c r="V27" i="9"/>
  <c r="N27" i="9"/>
  <c r="O27" i="9" s="1"/>
  <c r="U27" i="9"/>
  <c r="R27" i="9"/>
  <c r="Q27" i="9"/>
  <c r="P27" i="9"/>
  <c r="T27" i="9"/>
  <c r="S27" i="9"/>
  <c r="L27" i="9"/>
  <c r="V26" i="9"/>
  <c r="N26" i="9"/>
  <c r="O26" i="9" s="1"/>
  <c r="U26" i="9"/>
  <c r="T26" i="9"/>
  <c r="S26" i="9"/>
  <c r="R26" i="9"/>
  <c r="Q26" i="9"/>
  <c r="P26" i="9"/>
  <c r="L26" i="9"/>
  <c r="V25" i="9"/>
  <c r="N25" i="9"/>
  <c r="O25" i="9" s="1"/>
  <c r="U25" i="9"/>
  <c r="T25" i="9"/>
  <c r="S25" i="9"/>
  <c r="R25" i="9"/>
  <c r="Q25" i="9"/>
  <c r="P25" i="9"/>
  <c r="L25" i="9"/>
  <c r="U24" i="9"/>
  <c r="R24" i="9"/>
  <c r="Q24" i="9"/>
  <c r="P24" i="9"/>
  <c r="V24" i="9"/>
  <c r="N24" i="9"/>
  <c r="O24" i="9" s="1"/>
  <c r="T24" i="9"/>
  <c r="S24" i="9"/>
  <c r="V23" i="9"/>
  <c r="N23" i="9"/>
  <c r="O23" i="9" s="1"/>
  <c r="T23" i="9"/>
  <c r="S23" i="9"/>
  <c r="R23" i="9"/>
  <c r="Q23" i="9"/>
  <c r="P23" i="9"/>
  <c r="U23" i="9"/>
  <c r="L23" i="9"/>
  <c r="I6" i="24" l="1"/>
  <c r="B6" i="24"/>
  <c r="D6" i="24" s="1"/>
  <c r="C6" i="24" l="1"/>
  <c r="G6" i="24" s="1"/>
  <c r="H6" i="24" l="1"/>
  <c r="M6" i="24" s="1"/>
  <c r="J22" i="9"/>
  <c r="B22" i="9"/>
  <c r="D22" i="9" s="1"/>
  <c r="J21" i="9"/>
  <c r="B21" i="9"/>
  <c r="D21" i="9" s="1"/>
  <c r="J20" i="9"/>
  <c r="B20" i="9"/>
  <c r="D20" i="9" s="1"/>
  <c r="J17" i="9"/>
  <c r="B17" i="9"/>
  <c r="D17" i="9" s="1"/>
  <c r="J16" i="9"/>
  <c r="B16" i="9"/>
  <c r="D16" i="9" s="1"/>
  <c r="J15" i="9"/>
  <c r="B15" i="9"/>
  <c r="D15" i="9" s="1"/>
  <c r="J14" i="9"/>
  <c r="B14" i="9"/>
  <c r="D14" i="9" s="1"/>
  <c r="J13" i="9"/>
  <c r="B13" i="9"/>
  <c r="D13" i="9" s="1"/>
  <c r="J12" i="9"/>
  <c r="B12" i="9"/>
  <c r="D12" i="9" s="1"/>
  <c r="J11" i="9"/>
  <c r="B11" i="9"/>
  <c r="D11" i="9" s="1"/>
  <c r="J10" i="9"/>
  <c r="B10" i="9"/>
  <c r="D10" i="9" s="1"/>
  <c r="J9" i="9"/>
  <c r="B9" i="9"/>
  <c r="D9" i="9" s="1"/>
  <c r="J7" i="9"/>
  <c r="B7" i="9"/>
  <c r="D7" i="9" s="1"/>
  <c r="J5" i="9"/>
  <c r="B5" i="9"/>
  <c r="D5" i="9" s="1"/>
  <c r="J4" i="9"/>
  <c r="B4" i="9"/>
  <c r="D4" i="9" s="1"/>
  <c r="J19" i="9"/>
  <c r="B19" i="9"/>
  <c r="D19" i="9" s="1"/>
  <c r="J18" i="9"/>
  <c r="B18" i="9"/>
  <c r="D18" i="9" s="1"/>
  <c r="C21" i="9" l="1"/>
  <c r="G21" i="9" s="1"/>
  <c r="H21" i="9" s="1"/>
  <c r="M21" i="9" s="1"/>
  <c r="C17" i="9"/>
  <c r="G17" i="9" s="1"/>
  <c r="H17" i="9" s="1"/>
  <c r="M17" i="9" s="1"/>
  <c r="C22" i="9"/>
  <c r="G22" i="9" s="1"/>
  <c r="H22" i="9" s="1"/>
  <c r="M22" i="9" s="1"/>
  <c r="V6" i="24"/>
  <c r="N6" i="24"/>
  <c r="O6" i="24" s="1"/>
  <c r="U6" i="24"/>
  <c r="T6" i="24"/>
  <c r="S6" i="24"/>
  <c r="Q6" i="24"/>
  <c r="P6" i="24"/>
  <c r="R6" i="24"/>
  <c r="L6" i="24"/>
  <c r="C20" i="9"/>
  <c r="G20" i="9" s="1"/>
  <c r="C16" i="9"/>
  <c r="G16" i="9" s="1"/>
  <c r="C15" i="9"/>
  <c r="G15" i="9" s="1"/>
  <c r="C14" i="9"/>
  <c r="G14" i="9" s="1"/>
  <c r="C13" i="9"/>
  <c r="G13" i="9" s="1"/>
  <c r="C12" i="9"/>
  <c r="G12" i="9" s="1"/>
  <c r="C11" i="9"/>
  <c r="G11" i="9" s="1"/>
  <c r="C10" i="9"/>
  <c r="G10" i="9" s="1"/>
  <c r="C9" i="9"/>
  <c r="G9" i="9" s="1"/>
  <c r="C7" i="9"/>
  <c r="G7" i="9" s="1"/>
  <c r="C5" i="9"/>
  <c r="G5" i="9" s="1"/>
  <c r="C4" i="9"/>
  <c r="G4" i="9" s="1"/>
  <c r="C19" i="9"/>
  <c r="G19" i="9" s="1"/>
  <c r="C18" i="9"/>
  <c r="G18" i="9" s="1"/>
  <c r="I10" i="27"/>
  <c r="B10" i="27"/>
  <c r="D10" i="27" s="1"/>
  <c r="I14" i="27"/>
  <c r="B14" i="27"/>
  <c r="D14" i="27" s="1"/>
  <c r="I13" i="27"/>
  <c r="B13" i="27"/>
  <c r="D13" i="27" s="1"/>
  <c r="I12" i="27"/>
  <c r="B12" i="27"/>
  <c r="C12" i="27" s="1"/>
  <c r="G12" i="27" s="1"/>
  <c r="I11" i="27"/>
  <c r="B11" i="27"/>
  <c r="C11" i="27" s="1"/>
  <c r="G11" i="27" s="1"/>
  <c r="I9" i="27"/>
  <c r="B9" i="27"/>
  <c r="D9" i="27" s="1"/>
  <c r="I8" i="27"/>
  <c r="B8" i="27"/>
  <c r="D8" i="27" s="1"/>
  <c r="I7" i="27"/>
  <c r="B7" i="27"/>
  <c r="D7" i="27" s="1"/>
  <c r="I6" i="27"/>
  <c r="B6" i="27"/>
  <c r="D6" i="27" s="1"/>
  <c r="I5" i="27"/>
  <c r="B5" i="27"/>
  <c r="D5" i="27" s="1"/>
  <c r="D11" i="27" l="1"/>
  <c r="C10" i="27"/>
  <c r="G10" i="27" s="1"/>
  <c r="D12" i="27"/>
  <c r="V22" i="9"/>
  <c r="N22" i="9"/>
  <c r="O22" i="9" s="1"/>
  <c r="U22" i="9"/>
  <c r="S22" i="9"/>
  <c r="T22" i="9"/>
  <c r="R22" i="9"/>
  <c r="Q22" i="9"/>
  <c r="P22" i="9"/>
  <c r="L22" i="9"/>
  <c r="V21" i="9"/>
  <c r="N21" i="9"/>
  <c r="O21" i="9" s="1"/>
  <c r="U21" i="9"/>
  <c r="S21" i="9"/>
  <c r="T21" i="9"/>
  <c r="R21" i="9"/>
  <c r="Q21" i="9"/>
  <c r="P21" i="9"/>
  <c r="L21" i="9"/>
  <c r="H20" i="9"/>
  <c r="M20" i="9" s="1"/>
  <c r="V17" i="9"/>
  <c r="N17" i="9"/>
  <c r="O17" i="9" s="1"/>
  <c r="U17" i="9"/>
  <c r="R17" i="9"/>
  <c r="Q17" i="9"/>
  <c r="P17" i="9"/>
  <c r="T17" i="9"/>
  <c r="S17" i="9"/>
  <c r="L17" i="9"/>
  <c r="H16" i="9"/>
  <c r="M16" i="9" s="1"/>
  <c r="H15" i="9"/>
  <c r="M15" i="9" s="1"/>
  <c r="H14" i="9"/>
  <c r="M14" i="9" s="1"/>
  <c r="H13" i="9"/>
  <c r="M13" i="9" s="1"/>
  <c r="H12" i="9"/>
  <c r="M12" i="9" s="1"/>
  <c r="H11" i="9"/>
  <c r="M11" i="9" s="1"/>
  <c r="H10" i="9"/>
  <c r="M10" i="9" s="1"/>
  <c r="H9" i="9"/>
  <c r="M9" i="9" s="1"/>
  <c r="H7" i="9"/>
  <c r="M7" i="9" s="1"/>
  <c r="H5" i="9"/>
  <c r="M5" i="9" s="1"/>
  <c r="H4" i="9"/>
  <c r="M4" i="9" s="1"/>
  <c r="H19" i="9"/>
  <c r="M19" i="9" s="1"/>
  <c r="H18" i="9"/>
  <c r="M18" i="9" s="1"/>
  <c r="H10" i="27"/>
  <c r="M10" i="27" s="1"/>
  <c r="C5" i="27"/>
  <c r="G5" i="27" s="1"/>
  <c r="H5" i="27" s="1"/>
  <c r="M5" i="27" s="1"/>
  <c r="C6" i="27"/>
  <c r="G6" i="27" s="1"/>
  <c r="H6" i="27" s="1"/>
  <c r="M6" i="27" s="1"/>
  <c r="C14" i="27"/>
  <c r="G14" i="27" s="1"/>
  <c r="C13" i="27"/>
  <c r="G13" i="27" s="1"/>
  <c r="H12" i="27"/>
  <c r="L12" i="27" s="1"/>
  <c r="H11" i="27"/>
  <c r="M11" i="27" s="1"/>
  <c r="C9" i="27"/>
  <c r="G9" i="27" s="1"/>
  <c r="C8" i="27"/>
  <c r="G8" i="27" s="1"/>
  <c r="C7" i="27"/>
  <c r="G7" i="27" s="1"/>
  <c r="L10" i="27" l="1"/>
  <c r="M12" i="27"/>
  <c r="S12" i="27" s="1"/>
  <c r="L11" i="9"/>
  <c r="V20" i="9"/>
  <c r="N20" i="9"/>
  <c r="O20" i="9" s="1"/>
  <c r="U20" i="9"/>
  <c r="S20" i="9"/>
  <c r="T20" i="9"/>
  <c r="R20" i="9"/>
  <c r="Q20" i="9"/>
  <c r="P20" i="9"/>
  <c r="L20" i="9"/>
  <c r="V16" i="9"/>
  <c r="N16" i="9"/>
  <c r="O16" i="9" s="1"/>
  <c r="U16" i="9"/>
  <c r="T16" i="9"/>
  <c r="S16" i="9"/>
  <c r="P16" i="9"/>
  <c r="R16" i="9"/>
  <c r="Q16" i="9"/>
  <c r="L16" i="9"/>
  <c r="V15" i="9"/>
  <c r="N15" i="9"/>
  <c r="O15" i="9" s="1"/>
  <c r="U15" i="9"/>
  <c r="T15" i="9"/>
  <c r="S15" i="9"/>
  <c r="Q15" i="9"/>
  <c r="P15" i="9"/>
  <c r="R15" i="9"/>
  <c r="L15" i="9"/>
  <c r="V14" i="9"/>
  <c r="N14" i="9"/>
  <c r="O14" i="9" s="1"/>
  <c r="U14" i="9"/>
  <c r="T14" i="9"/>
  <c r="S14" i="9"/>
  <c r="P14" i="9"/>
  <c r="R14" i="9"/>
  <c r="Q14" i="9"/>
  <c r="L14" i="9"/>
  <c r="V13" i="9"/>
  <c r="N13" i="9"/>
  <c r="O13" i="9" s="1"/>
  <c r="U13" i="9"/>
  <c r="T13" i="9"/>
  <c r="S13" i="9"/>
  <c r="P13" i="9"/>
  <c r="R13" i="9"/>
  <c r="Q13" i="9"/>
  <c r="L13" i="9"/>
  <c r="V12" i="9"/>
  <c r="N12" i="9"/>
  <c r="O12" i="9" s="1"/>
  <c r="U12" i="9"/>
  <c r="T12" i="9"/>
  <c r="S12" i="9"/>
  <c r="P12" i="9"/>
  <c r="R12" i="9"/>
  <c r="Q12" i="9"/>
  <c r="L12" i="9"/>
  <c r="V11" i="9"/>
  <c r="N11" i="9"/>
  <c r="O11" i="9" s="1"/>
  <c r="Q11" i="9"/>
  <c r="R11" i="9"/>
  <c r="P11" i="9"/>
  <c r="U11" i="9"/>
  <c r="T11" i="9"/>
  <c r="S11" i="9"/>
  <c r="V10" i="9"/>
  <c r="N10" i="9"/>
  <c r="O10" i="9" s="1"/>
  <c r="U10" i="9"/>
  <c r="T10" i="9"/>
  <c r="S10" i="9"/>
  <c r="P10" i="9"/>
  <c r="R10" i="9"/>
  <c r="Q10" i="9"/>
  <c r="L10" i="9"/>
  <c r="V9" i="9"/>
  <c r="N9" i="9"/>
  <c r="O9" i="9" s="1"/>
  <c r="U9" i="9"/>
  <c r="T9" i="9"/>
  <c r="S9" i="9"/>
  <c r="P9" i="9"/>
  <c r="R9" i="9"/>
  <c r="Q9" i="9"/>
  <c r="L9" i="9"/>
  <c r="V7" i="9"/>
  <c r="N7" i="9"/>
  <c r="O7" i="9" s="1"/>
  <c r="U7" i="9"/>
  <c r="T7" i="9"/>
  <c r="S7" i="9"/>
  <c r="R7" i="9"/>
  <c r="Q7" i="9"/>
  <c r="P7" i="9"/>
  <c r="L7" i="9"/>
  <c r="V5" i="9"/>
  <c r="N5" i="9"/>
  <c r="O5" i="9" s="1"/>
  <c r="U5" i="9"/>
  <c r="T5" i="9"/>
  <c r="S5" i="9"/>
  <c r="P5" i="9"/>
  <c r="R5" i="9"/>
  <c r="Q5" i="9"/>
  <c r="L5" i="9"/>
  <c r="V4" i="9"/>
  <c r="N4" i="9"/>
  <c r="O4" i="9" s="1"/>
  <c r="U4" i="9"/>
  <c r="T4" i="9"/>
  <c r="S4" i="9"/>
  <c r="P4" i="9"/>
  <c r="R4" i="9"/>
  <c r="Q4" i="9"/>
  <c r="L4" i="9"/>
  <c r="U19" i="9"/>
  <c r="T19" i="9"/>
  <c r="S19" i="9"/>
  <c r="R19" i="9"/>
  <c r="Q19" i="9"/>
  <c r="P19" i="9"/>
  <c r="V19" i="9"/>
  <c r="N19" i="9"/>
  <c r="O19" i="9" s="1"/>
  <c r="L19" i="9"/>
  <c r="V18" i="9"/>
  <c r="N18" i="9"/>
  <c r="O18" i="9" s="1"/>
  <c r="U18" i="9"/>
  <c r="R18" i="9"/>
  <c r="Q18" i="9"/>
  <c r="P18" i="9"/>
  <c r="T18" i="9"/>
  <c r="S18" i="9"/>
  <c r="L18" i="9"/>
  <c r="V10" i="27"/>
  <c r="N10" i="27"/>
  <c r="O10" i="27" s="1"/>
  <c r="U10" i="27"/>
  <c r="T10" i="27"/>
  <c r="S10" i="27"/>
  <c r="R10" i="27"/>
  <c r="Q10" i="27"/>
  <c r="P10" i="27"/>
  <c r="L6" i="27"/>
  <c r="H14" i="27"/>
  <c r="M14" i="27" s="1"/>
  <c r="H13" i="27"/>
  <c r="M13" i="27" s="1"/>
  <c r="T12" i="27"/>
  <c r="V11" i="27"/>
  <c r="N11" i="27"/>
  <c r="O11" i="27" s="1"/>
  <c r="U11" i="27"/>
  <c r="R11" i="27"/>
  <c r="Q11" i="27"/>
  <c r="P11" i="27"/>
  <c r="T11" i="27"/>
  <c r="S11" i="27"/>
  <c r="L11" i="27"/>
  <c r="H9" i="27"/>
  <c r="M9" i="27" s="1"/>
  <c r="H8" i="27"/>
  <c r="M8" i="27" s="1"/>
  <c r="H7" i="27"/>
  <c r="M7" i="27" s="1"/>
  <c r="V6" i="27"/>
  <c r="N6" i="27"/>
  <c r="O6" i="27" s="1"/>
  <c r="R6" i="27"/>
  <c r="Q6" i="27"/>
  <c r="P6" i="27"/>
  <c r="U6" i="27"/>
  <c r="T6" i="27"/>
  <c r="S6" i="27"/>
  <c r="V5" i="27"/>
  <c r="N5" i="27"/>
  <c r="O5" i="27" s="1"/>
  <c r="R5" i="27"/>
  <c r="Q5" i="27"/>
  <c r="P5" i="27"/>
  <c r="U5" i="27"/>
  <c r="T5" i="27"/>
  <c r="S5" i="27"/>
  <c r="L5" i="27"/>
  <c r="U12" i="27" l="1"/>
  <c r="Q12" i="27"/>
  <c r="P12" i="27"/>
  <c r="R12" i="27"/>
  <c r="N12" i="27"/>
  <c r="O12" i="27" s="1"/>
  <c r="V12" i="27"/>
  <c r="V14" i="27"/>
  <c r="R14" i="27"/>
  <c r="Q14" i="27"/>
  <c r="U14" i="27"/>
  <c r="T14" i="27"/>
  <c r="S14" i="27"/>
  <c r="P14" i="27"/>
  <c r="N14" i="27"/>
  <c r="O14" i="27" s="1"/>
  <c r="L14" i="27"/>
  <c r="V13" i="27"/>
  <c r="N13" i="27"/>
  <c r="O13" i="27" s="1"/>
  <c r="U13" i="27"/>
  <c r="R13" i="27"/>
  <c r="Q13" i="27"/>
  <c r="P13" i="27"/>
  <c r="T13" i="27"/>
  <c r="S13" i="27"/>
  <c r="L13" i="27"/>
  <c r="V9" i="27"/>
  <c r="N9" i="27"/>
  <c r="O9" i="27" s="1"/>
  <c r="R9" i="27"/>
  <c r="Q9" i="27"/>
  <c r="P9" i="27"/>
  <c r="U9" i="27"/>
  <c r="T9" i="27"/>
  <c r="S9" i="27"/>
  <c r="L9" i="27"/>
  <c r="V8" i="27"/>
  <c r="N8" i="27"/>
  <c r="O8" i="27" s="1"/>
  <c r="U8" i="27"/>
  <c r="T8" i="27"/>
  <c r="S8" i="27"/>
  <c r="R8" i="27"/>
  <c r="Q8" i="27"/>
  <c r="P8" i="27"/>
  <c r="L8" i="27"/>
  <c r="V7" i="27"/>
  <c r="N7" i="27"/>
  <c r="O7" i="27" s="1"/>
  <c r="U7" i="27"/>
  <c r="T7" i="27"/>
  <c r="S7" i="27"/>
  <c r="R7" i="27"/>
  <c r="Q7" i="27"/>
  <c r="P7" i="27"/>
  <c r="L7" i="27"/>
  <c r="J33" i="8" l="1"/>
  <c r="E33" i="8"/>
  <c r="B33" i="8"/>
  <c r="C33" i="8" s="1"/>
  <c r="G33" i="8" s="1"/>
  <c r="J46" i="8"/>
  <c r="E46" i="8"/>
  <c r="B46" i="8"/>
  <c r="C46" i="8" s="1"/>
  <c r="G46" i="8" s="1"/>
  <c r="J43" i="8"/>
  <c r="E43" i="8"/>
  <c r="B43" i="8"/>
  <c r="C43" i="8" s="1"/>
  <c r="G43" i="8" s="1"/>
  <c r="J39" i="8"/>
  <c r="E39" i="8"/>
  <c r="B39" i="8"/>
  <c r="C39" i="8" s="1"/>
  <c r="G39" i="8" s="1"/>
  <c r="J34" i="8"/>
  <c r="E34" i="8"/>
  <c r="B34" i="8"/>
  <c r="C34" i="8" s="1"/>
  <c r="G34" i="8" s="1"/>
  <c r="J31" i="8"/>
  <c r="E31" i="8"/>
  <c r="B31" i="8"/>
  <c r="C31" i="8" s="1"/>
  <c r="G31" i="8" s="1"/>
  <c r="J28" i="8"/>
  <c r="E28" i="8"/>
  <c r="B28" i="8"/>
  <c r="C28" i="8" s="1"/>
  <c r="G28" i="8" s="1"/>
  <c r="J25" i="8"/>
  <c r="E25" i="8"/>
  <c r="B25" i="8"/>
  <c r="C25" i="8" s="1"/>
  <c r="G25" i="8" s="1"/>
  <c r="J21" i="8"/>
  <c r="E21" i="8"/>
  <c r="B21" i="8"/>
  <c r="C21" i="8" s="1"/>
  <c r="G21" i="8" s="1"/>
  <c r="J18" i="8"/>
  <c r="E18" i="8"/>
  <c r="B18" i="8"/>
  <c r="C18" i="8" s="1"/>
  <c r="G18" i="8" s="1"/>
  <c r="J15" i="8"/>
  <c r="E15" i="8"/>
  <c r="B15" i="8"/>
  <c r="C15" i="8" s="1"/>
  <c r="G15" i="8" s="1"/>
  <c r="J12" i="8"/>
  <c r="E12" i="8"/>
  <c r="B12" i="8"/>
  <c r="C12" i="8" s="1"/>
  <c r="G12" i="8" s="1"/>
  <c r="J9" i="8"/>
  <c r="E9" i="8"/>
  <c r="B9" i="8"/>
  <c r="C9" i="8" s="1"/>
  <c r="G9" i="8" s="1"/>
  <c r="J8" i="8"/>
  <c r="E8" i="8"/>
  <c r="B8" i="8"/>
  <c r="C8" i="8" s="1"/>
  <c r="G8" i="8" s="1"/>
  <c r="J7" i="8"/>
  <c r="E7" i="8"/>
  <c r="B7" i="8"/>
  <c r="C7" i="8" s="1"/>
  <c r="G7" i="8" s="1"/>
  <c r="J6" i="8"/>
  <c r="E6" i="8"/>
  <c r="B6" i="8"/>
  <c r="D6" i="8" s="1"/>
  <c r="D9" i="8" l="1"/>
  <c r="H9" i="8" s="1"/>
  <c r="L9" i="8" s="1"/>
  <c r="D8" i="8"/>
  <c r="H8" i="8" s="1"/>
  <c r="M8" i="8" s="1"/>
  <c r="D18" i="8"/>
  <c r="D25" i="8"/>
  <c r="H25" i="8" s="1"/>
  <c r="L25" i="8" s="1"/>
  <c r="D31" i="8"/>
  <c r="H31" i="8" s="1"/>
  <c r="L31" i="8" s="1"/>
  <c r="D39" i="8"/>
  <c r="H39" i="8" s="1"/>
  <c r="L39" i="8" s="1"/>
  <c r="D46" i="8"/>
  <c r="H46" i="8" s="1"/>
  <c r="M46" i="8" s="1"/>
  <c r="D21" i="8"/>
  <c r="H21" i="8" s="1"/>
  <c r="L21" i="8" s="1"/>
  <c r="D28" i="8"/>
  <c r="H28" i="8" s="1"/>
  <c r="L28" i="8" s="1"/>
  <c r="D34" i="8"/>
  <c r="H34" i="8" s="1"/>
  <c r="M34" i="8" s="1"/>
  <c r="D43" i="8"/>
  <c r="H43" i="8" s="1"/>
  <c r="L43" i="8" s="1"/>
  <c r="D33" i="8"/>
  <c r="H33" i="8" s="1"/>
  <c r="H18" i="8"/>
  <c r="L18" i="8" s="1"/>
  <c r="D15" i="8"/>
  <c r="H15" i="8" s="1"/>
  <c r="D12" i="8"/>
  <c r="H12" i="8" s="1"/>
  <c r="L12" i="8" s="1"/>
  <c r="D7" i="8"/>
  <c r="H7" i="8" s="1"/>
  <c r="C6" i="8"/>
  <c r="G6" i="8" s="1"/>
  <c r="I3" i="12"/>
  <c r="B3" i="12"/>
  <c r="D3" i="12" s="1"/>
  <c r="M33" i="8" l="1"/>
  <c r="L33" i="8"/>
  <c r="V46" i="8"/>
  <c r="N46" i="8"/>
  <c r="O46" i="8" s="1"/>
  <c r="S46" i="8"/>
  <c r="U46" i="8"/>
  <c r="T46" i="8"/>
  <c r="R46" i="8"/>
  <c r="Q46" i="8"/>
  <c r="P46" i="8"/>
  <c r="L46" i="8"/>
  <c r="M43" i="8"/>
  <c r="M39" i="8"/>
  <c r="V34" i="8"/>
  <c r="N34" i="8"/>
  <c r="O34" i="8" s="1"/>
  <c r="S34" i="8"/>
  <c r="U34" i="8"/>
  <c r="T34" i="8"/>
  <c r="R34" i="8"/>
  <c r="Q34" i="8"/>
  <c r="P34" i="8"/>
  <c r="L34" i="8"/>
  <c r="M31" i="8"/>
  <c r="M28" i="8"/>
  <c r="M25" i="8"/>
  <c r="M21" i="8"/>
  <c r="M18" i="8"/>
  <c r="L15" i="8"/>
  <c r="M15" i="8"/>
  <c r="M12" i="8"/>
  <c r="M9" i="8"/>
  <c r="V8" i="8"/>
  <c r="N8" i="8"/>
  <c r="O8" i="8" s="1"/>
  <c r="U8" i="8"/>
  <c r="T8" i="8"/>
  <c r="S8" i="8"/>
  <c r="R8" i="8"/>
  <c r="Q8" i="8"/>
  <c r="P8" i="8"/>
  <c r="L8" i="8"/>
  <c r="M7" i="8"/>
  <c r="L7" i="8"/>
  <c r="H6" i="8"/>
  <c r="L6" i="8" s="1"/>
  <c r="C3" i="12"/>
  <c r="G3" i="12" s="1"/>
  <c r="M6" i="8" l="1"/>
  <c r="T6" i="8" s="1"/>
  <c r="V33" i="8"/>
  <c r="N33" i="8"/>
  <c r="O33" i="8" s="1"/>
  <c r="U33" i="8"/>
  <c r="S33" i="8"/>
  <c r="R33" i="8"/>
  <c r="Q33" i="8"/>
  <c r="P33" i="8"/>
  <c r="T33" i="8"/>
  <c r="V43" i="8"/>
  <c r="N43" i="8"/>
  <c r="O43" i="8" s="1"/>
  <c r="T43" i="8"/>
  <c r="S43" i="8"/>
  <c r="U43" i="8"/>
  <c r="R43" i="8"/>
  <c r="Q43" i="8"/>
  <c r="P43" i="8"/>
  <c r="V39" i="8"/>
  <c r="N39" i="8"/>
  <c r="O39" i="8" s="1"/>
  <c r="T39" i="8"/>
  <c r="S39" i="8"/>
  <c r="U39" i="8"/>
  <c r="R39" i="8"/>
  <c r="Q39" i="8"/>
  <c r="P39" i="8"/>
  <c r="V31" i="8"/>
  <c r="N31" i="8"/>
  <c r="O31" i="8" s="1"/>
  <c r="T31" i="8"/>
  <c r="S31" i="8"/>
  <c r="U31" i="8"/>
  <c r="R31" i="8"/>
  <c r="Q31" i="8"/>
  <c r="P31" i="8"/>
  <c r="V28" i="8"/>
  <c r="N28" i="8"/>
  <c r="O28" i="8" s="1"/>
  <c r="S28" i="8"/>
  <c r="U28" i="8"/>
  <c r="T28" i="8"/>
  <c r="R28" i="8"/>
  <c r="Q28" i="8"/>
  <c r="P28" i="8"/>
  <c r="V25" i="8"/>
  <c r="N25" i="8"/>
  <c r="O25" i="8" s="1"/>
  <c r="T25" i="8"/>
  <c r="S25" i="8"/>
  <c r="U25" i="8"/>
  <c r="R25" i="8"/>
  <c r="Q25" i="8"/>
  <c r="P25" i="8"/>
  <c r="V21" i="8"/>
  <c r="N21" i="8"/>
  <c r="O21" i="8" s="1"/>
  <c r="T21" i="8"/>
  <c r="S21" i="8"/>
  <c r="U21" i="8"/>
  <c r="R21" i="8"/>
  <c r="Q21" i="8"/>
  <c r="P21" i="8"/>
  <c r="V18" i="8"/>
  <c r="N18" i="8"/>
  <c r="O18" i="8" s="1"/>
  <c r="T18" i="8"/>
  <c r="S18" i="8"/>
  <c r="U18" i="8"/>
  <c r="R18" i="8"/>
  <c r="Q18" i="8"/>
  <c r="P18" i="8"/>
  <c r="V15" i="8"/>
  <c r="N15" i="8"/>
  <c r="O15" i="8" s="1"/>
  <c r="T15" i="8"/>
  <c r="S15" i="8"/>
  <c r="U15" i="8"/>
  <c r="R15" i="8"/>
  <c r="Q15" i="8"/>
  <c r="P15" i="8"/>
  <c r="V12" i="8"/>
  <c r="N12" i="8"/>
  <c r="O12" i="8" s="1"/>
  <c r="U12" i="8"/>
  <c r="R12" i="8"/>
  <c r="Q12" i="8"/>
  <c r="P12" i="8"/>
  <c r="T12" i="8"/>
  <c r="S12" i="8"/>
  <c r="V9" i="8"/>
  <c r="N9" i="8"/>
  <c r="O9" i="8" s="1"/>
  <c r="T9" i="8"/>
  <c r="S9" i="8"/>
  <c r="U9" i="8"/>
  <c r="R9" i="8"/>
  <c r="Q9" i="8"/>
  <c r="P9" i="8"/>
  <c r="V7" i="8"/>
  <c r="N7" i="8"/>
  <c r="O7" i="8" s="1"/>
  <c r="R7" i="8"/>
  <c r="Q7" i="8"/>
  <c r="P7" i="8"/>
  <c r="U7" i="8"/>
  <c r="T7" i="8"/>
  <c r="S7" i="8"/>
  <c r="H3" i="12"/>
  <c r="M3" i="12" s="1"/>
  <c r="U6" i="8" l="1"/>
  <c r="S6" i="8"/>
  <c r="N6" i="8"/>
  <c r="O6" i="8" s="1"/>
  <c r="V6" i="8"/>
  <c r="Q6" i="8"/>
  <c r="P6" i="8"/>
  <c r="R6" i="8"/>
  <c r="V3" i="12"/>
  <c r="N3" i="12"/>
  <c r="O3" i="12" s="1"/>
  <c r="T3" i="12"/>
  <c r="U3" i="12" s="1"/>
  <c r="S3" i="12"/>
  <c r="R3" i="12"/>
  <c r="Q3" i="12"/>
  <c r="P3" i="12"/>
  <c r="W3" i="12"/>
  <c r="L3" i="12"/>
  <c r="I4" i="12" l="1"/>
  <c r="B4" i="12"/>
  <c r="D4" i="12" s="1"/>
  <c r="C4" i="12" l="1"/>
  <c r="G4" i="12" s="1"/>
  <c r="H4" i="12" l="1"/>
  <c r="M4" i="12" s="1"/>
  <c r="J28" i="102"/>
  <c r="B28" i="102"/>
  <c r="D28" i="102" s="1"/>
  <c r="J27" i="102"/>
  <c r="B27" i="102"/>
  <c r="D27" i="102" s="1"/>
  <c r="J26" i="102"/>
  <c r="B26" i="102"/>
  <c r="D26" i="102" s="1"/>
  <c r="J25" i="102"/>
  <c r="B25" i="102"/>
  <c r="D25" i="102" s="1"/>
  <c r="W4" i="12" l="1"/>
  <c r="N4" i="12"/>
  <c r="O4" i="12" s="1"/>
  <c r="V4" i="12"/>
  <c r="S4" i="12"/>
  <c r="T4" i="12"/>
  <c r="U4" i="12" s="1"/>
  <c r="R4" i="12"/>
  <c r="Q4" i="12"/>
  <c r="P4" i="12"/>
  <c r="L4" i="12"/>
  <c r="C28" i="102"/>
  <c r="G28" i="102" s="1"/>
  <c r="C27" i="102"/>
  <c r="G27" i="102" s="1"/>
  <c r="C26" i="102"/>
  <c r="G26" i="102" s="1"/>
  <c r="C25" i="102"/>
  <c r="G25" i="102" s="1"/>
  <c r="H28" i="102" l="1"/>
  <c r="M28" i="102" s="1"/>
  <c r="H27" i="102"/>
  <c r="M27" i="102" s="1"/>
  <c r="H26" i="102"/>
  <c r="M26" i="102" s="1"/>
  <c r="H25" i="102"/>
  <c r="M25" i="102" s="1"/>
  <c r="J24" i="102"/>
  <c r="B24" i="102"/>
  <c r="D24" i="102" s="1"/>
  <c r="J23" i="102"/>
  <c r="B23" i="102"/>
  <c r="D23" i="102" s="1"/>
  <c r="J22" i="102"/>
  <c r="B22" i="102"/>
  <c r="D22" i="102" s="1"/>
  <c r="J21" i="102"/>
  <c r="B21" i="102"/>
  <c r="D21" i="102" s="1"/>
  <c r="J20" i="102"/>
  <c r="B20" i="102"/>
  <c r="D20" i="102" s="1"/>
  <c r="J19" i="102"/>
  <c r="B19" i="102"/>
  <c r="D19" i="102" s="1"/>
  <c r="C22" i="102" l="1"/>
  <c r="G22" i="102" s="1"/>
  <c r="H22" i="102" s="1"/>
  <c r="M22" i="102" s="1"/>
  <c r="V28" i="102"/>
  <c r="N28" i="102"/>
  <c r="O28" i="102" s="1"/>
  <c r="U28" i="102"/>
  <c r="T28" i="102"/>
  <c r="S28" i="102"/>
  <c r="R28" i="102"/>
  <c r="Q28" i="102"/>
  <c r="P28" i="102"/>
  <c r="L28" i="102"/>
  <c r="V27" i="102"/>
  <c r="N27" i="102"/>
  <c r="O27" i="102" s="1"/>
  <c r="U27" i="102"/>
  <c r="T27" i="102"/>
  <c r="S27" i="102"/>
  <c r="R27" i="102"/>
  <c r="Q27" i="102"/>
  <c r="P27" i="102"/>
  <c r="L27" i="102"/>
  <c r="V26" i="102"/>
  <c r="N26" i="102"/>
  <c r="O26" i="102" s="1"/>
  <c r="U26" i="102"/>
  <c r="T26" i="102"/>
  <c r="S26" i="102"/>
  <c r="R26" i="102"/>
  <c r="Q26" i="102"/>
  <c r="P26" i="102"/>
  <c r="L26" i="102"/>
  <c r="V25" i="102"/>
  <c r="N25" i="102"/>
  <c r="O25" i="102" s="1"/>
  <c r="U25" i="102"/>
  <c r="T25" i="102"/>
  <c r="S25" i="102"/>
  <c r="R25" i="102"/>
  <c r="Q25" i="102"/>
  <c r="P25" i="102"/>
  <c r="L25" i="102"/>
  <c r="C24" i="102"/>
  <c r="G24" i="102" s="1"/>
  <c r="C23" i="102"/>
  <c r="G23" i="102" s="1"/>
  <c r="C21" i="102"/>
  <c r="G21" i="102" s="1"/>
  <c r="C20" i="102"/>
  <c r="G20" i="102" s="1"/>
  <c r="C19" i="102"/>
  <c r="G19" i="102" s="1"/>
  <c r="H40" i="103"/>
  <c r="B40" i="103"/>
  <c r="C40" i="103" s="1"/>
  <c r="E40" i="103" s="1"/>
  <c r="D40" i="103" l="1"/>
  <c r="H24" i="102"/>
  <c r="M24" i="102" s="1"/>
  <c r="H23" i="102"/>
  <c r="M23" i="102" s="1"/>
  <c r="V22" i="102"/>
  <c r="N22" i="102"/>
  <c r="O22" i="102" s="1"/>
  <c r="U22" i="102"/>
  <c r="T22" i="102"/>
  <c r="S22" i="102"/>
  <c r="R22" i="102"/>
  <c r="Q22" i="102"/>
  <c r="P22" i="102"/>
  <c r="L22" i="102"/>
  <c r="H21" i="102"/>
  <c r="L21" i="102" s="1"/>
  <c r="H20" i="102"/>
  <c r="M20" i="102" s="1"/>
  <c r="H19" i="102"/>
  <c r="L19" i="102" s="1"/>
  <c r="F40" i="103"/>
  <c r="M40" i="103" s="1"/>
  <c r="W40" i="103" s="1"/>
  <c r="J46" i="102"/>
  <c r="B46" i="102"/>
  <c r="C46" i="102" s="1"/>
  <c r="G46" i="102" s="1"/>
  <c r="J43" i="102"/>
  <c r="B43" i="102"/>
  <c r="D43" i="102" s="1"/>
  <c r="J40" i="102"/>
  <c r="B40" i="102"/>
  <c r="D40" i="102" s="1"/>
  <c r="J37" i="102"/>
  <c r="B37" i="102"/>
  <c r="D37" i="102" s="1"/>
  <c r="J34" i="102"/>
  <c r="B34" i="102"/>
  <c r="D34" i="102" s="1"/>
  <c r="J31" i="102"/>
  <c r="B31" i="102"/>
  <c r="C31" i="102" s="1"/>
  <c r="G31" i="102" s="1"/>
  <c r="J18" i="102"/>
  <c r="B18" i="102"/>
  <c r="D18" i="102" s="1"/>
  <c r="J15" i="102"/>
  <c r="B15" i="102"/>
  <c r="C15" i="102" s="1"/>
  <c r="G15" i="102" s="1"/>
  <c r="J12" i="102"/>
  <c r="B12" i="102"/>
  <c r="D12" i="102" s="1"/>
  <c r="J9" i="102"/>
  <c r="B9" i="102"/>
  <c r="C9" i="102" s="1"/>
  <c r="G9" i="102" s="1"/>
  <c r="J7" i="102"/>
  <c r="B7" i="102"/>
  <c r="C7" i="102" s="1"/>
  <c r="G7" i="102" s="1"/>
  <c r="H39" i="103"/>
  <c r="B39" i="103"/>
  <c r="D39" i="103" s="1"/>
  <c r="H38" i="103"/>
  <c r="B38" i="103"/>
  <c r="C38" i="103" s="1"/>
  <c r="E38" i="103" s="1"/>
  <c r="H37" i="103"/>
  <c r="B37" i="103"/>
  <c r="C37" i="103" s="1"/>
  <c r="E37" i="103" s="1"/>
  <c r="H36" i="103"/>
  <c r="B36" i="103"/>
  <c r="D36" i="103" s="1"/>
  <c r="H35" i="103"/>
  <c r="B35" i="103"/>
  <c r="D35" i="103" s="1"/>
  <c r="H34" i="103"/>
  <c r="B34" i="103"/>
  <c r="D34" i="103" s="1"/>
  <c r="H33" i="103"/>
  <c r="B33" i="103"/>
  <c r="D33" i="103" s="1"/>
  <c r="H32" i="103"/>
  <c r="B32" i="103"/>
  <c r="D32" i="103" s="1"/>
  <c r="H31" i="103"/>
  <c r="B31" i="103"/>
  <c r="D31" i="103" s="1"/>
  <c r="H30" i="103"/>
  <c r="B30" i="103"/>
  <c r="D30" i="103" s="1"/>
  <c r="H29" i="103"/>
  <c r="B29" i="103"/>
  <c r="D29" i="103" s="1"/>
  <c r="H28" i="103"/>
  <c r="B28" i="103"/>
  <c r="C28" i="103" s="1"/>
  <c r="E28" i="103" s="1"/>
  <c r="H27" i="103"/>
  <c r="B27" i="103"/>
  <c r="D27" i="103" s="1"/>
  <c r="H26" i="103"/>
  <c r="B26" i="103"/>
  <c r="C26" i="103" s="1"/>
  <c r="E26" i="103" s="1"/>
  <c r="H25" i="103"/>
  <c r="B25" i="103"/>
  <c r="C25" i="103" s="1"/>
  <c r="E25" i="103" s="1"/>
  <c r="H24" i="103"/>
  <c r="B24" i="103"/>
  <c r="C24" i="103" s="1"/>
  <c r="E24" i="103" s="1"/>
  <c r="H23" i="103"/>
  <c r="B23" i="103"/>
  <c r="D23" i="103" s="1"/>
  <c r="H22" i="103"/>
  <c r="B22" i="103"/>
  <c r="D22" i="103" s="1"/>
  <c r="H21" i="103"/>
  <c r="B21" i="103"/>
  <c r="D21" i="103" s="1"/>
  <c r="H20" i="103"/>
  <c r="B20" i="103"/>
  <c r="D20" i="103" s="1"/>
  <c r="H19" i="103"/>
  <c r="B19" i="103"/>
  <c r="D19" i="103" s="1"/>
  <c r="H18" i="103"/>
  <c r="B18" i="103"/>
  <c r="D18" i="103" s="1"/>
  <c r="H17" i="103"/>
  <c r="B17" i="103"/>
  <c r="D17" i="103" s="1"/>
  <c r="H16" i="103"/>
  <c r="B16" i="103"/>
  <c r="D16" i="103" s="1"/>
  <c r="H15" i="103"/>
  <c r="B15" i="103"/>
  <c r="D15" i="103" s="1"/>
  <c r="H14" i="103"/>
  <c r="B14" i="103"/>
  <c r="D14" i="103" s="1"/>
  <c r="H13" i="103"/>
  <c r="B13" i="103"/>
  <c r="D13" i="103" s="1"/>
  <c r="H12" i="103"/>
  <c r="B12" i="103"/>
  <c r="D12" i="103" s="1"/>
  <c r="H11" i="103"/>
  <c r="B11" i="103"/>
  <c r="C11" i="103" s="1"/>
  <c r="E11" i="103" s="1"/>
  <c r="H10" i="103"/>
  <c r="B10" i="103"/>
  <c r="C10" i="103" s="1"/>
  <c r="E10" i="103" s="1"/>
  <c r="H9" i="103"/>
  <c r="B9" i="103"/>
  <c r="C9" i="103" s="1"/>
  <c r="E9" i="103" s="1"/>
  <c r="H8" i="103"/>
  <c r="B8" i="103"/>
  <c r="C8" i="103" s="1"/>
  <c r="E8" i="103" s="1"/>
  <c r="H7" i="103"/>
  <c r="B7" i="103"/>
  <c r="C7" i="103" s="1"/>
  <c r="E7" i="103" s="1"/>
  <c r="H6" i="103"/>
  <c r="B6" i="103"/>
  <c r="C6" i="103" s="1"/>
  <c r="E6" i="103" s="1"/>
  <c r="H5" i="103"/>
  <c r="B5" i="103"/>
  <c r="D5" i="103" s="1"/>
  <c r="H4" i="103"/>
  <c r="B4" i="103"/>
  <c r="C4" i="103" s="1"/>
  <c r="E4" i="103" s="1"/>
  <c r="H3" i="103"/>
  <c r="B3" i="103"/>
  <c r="D3" i="103" s="1"/>
  <c r="H2" i="103"/>
  <c r="B2" i="103"/>
  <c r="D2" i="103" s="1"/>
  <c r="B2" i="102"/>
  <c r="C2" i="102" s="1"/>
  <c r="C43" i="102" l="1"/>
  <c r="G43" i="102" s="1"/>
  <c r="C34" i="102"/>
  <c r="G34" i="102" s="1"/>
  <c r="H34" i="102" s="1"/>
  <c r="L34" i="102" s="1"/>
  <c r="M19" i="102"/>
  <c r="U19" i="102" s="1"/>
  <c r="D6" i="103"/>
  <c r="F6" i="103" s="1"/>
  <c r="M6" i="103" s="1"/>
  <c r="W6" i="103" s="1"/>
  <c r="D8" i="103"/>
  <c r="F8" i="103" s="1"/>
  <c r="D9" i="102"/>
  <c r="H9" i="102" s="1"/>
  <c r="M9" i="102" s="1"/>
  <c r="W9" i="102" s="1"/>
  <c r="D31" i="102"/>
  <c r="H31" i="102" s="1"/>
  <c r="M31" i="102" s="1"/>
  <c r="W31" i="102" s="1"/>
  <c r="C40" i="102"/>
  <c r="G40" i="102" s="1"/>
  <c r="H40" i="102" s="1"/>
  <c r="M40" i="102" s="1"/>
  <c r="W40" i="102" s="1"/>
  <c r="M21" i="102"/>
  <c r="P21" i="102" s="1"/>
  <c r="D28" i="103"/>
  <c r="D38" i="103"/>
  <c r="F38" i="103" s="1"/>
  <c r="M38" i="103" s="1"/>
  <c r="W38" i="103" s="1"/>
  <c r="D7" i="102"/>
  <c r="H7" i="102" s="1"/>
  <c r="D26" i="103"/>
  <c r="F26" i="103" s="1"/>
  <c r="L26" i="103" s="1"/>
  <c r="D9" i="103"/>
  <c r="F9" i="103" s="1"/>
  <c r="L9" i="103" s="1"/>
  <c r="C27" i="103"/>
  <c r="E27" i="103" s="1"/>
  <c r="F27" i="103" s="1"/>
  <c r="L27" i="103" s="1"/>
  <c r="C29" i="103"/>
  <c r="E29" i="103" s="1"/>
  <c r="F29" i="103" s="1"/>
  <c r="C39" i="103"/>
  <c r="E39" i="103" s="1"/>
  <c r="D7" i="103"/>
  <c r="F7" i="103" s="1"/>
  <c r="M7" i="103" s="1"/>
  <c r="W7" i="103" s="1"/>
  <c r="C5" i="103"/>
  <c r="E5" i="103" s="1"/>
  <c r="F5" i="103" s="1"/>
  <c r="M5" i="103" s="1"/>
  <c r="W5" i="103" s="1"/>
  <c r="D10" i="103"/>
  <c r="F10" i="103" s="1"/>
  <c r="L10" i="103" s="1"/>
  <c r="V24" i="102"/>
  <c r="N24" i="102"/>
  <c r="O24" i="102" s="1"/>
  <c r="U24" i="102"/>
  <c r="T24" i="102"/>
  <c r="S24" i="102"/>
  <c r="R24" i="102"/>
  <c r="Q24" i="102"/>
  <c r="P24" i="102"/>
  <c r="L24" i="102"/>
  <c r="V23" i="102"/>
  <c r="N23" i="102"/>
  <c r="O23" i="102" s="1"/>
  <c r="U23" i="102"/>
  <c r="T23" i="102"/>
  <c r="S23" i="102"/>
  <c r="R23" i="102"/>
  <c r="Q23" i="102"/>
  <c r="P23" i="102"/>
  <c r="L23" i="102"/>
  <c r="R21" i="102"/>
  <c r="Q21" i="102"/>
  <c r="V21" i="102"/>
  <c r="V20" i="102"/>
  <c r="N20" i="102"/>
  <c r="O20" i="102" s="1"/>
  <c r="U20" i="102"/>
  <c r="T20" i="102"/>
  <c r="S20" i="102"/>
  <c r="R20" i="102"/>
  <c r="Q20" i="102"/>
  <c r="P20" i="102"/>
  <c r="L20" i="102"/>
  <c r="V19" i="102"/>
  <c r="N19" i="102"/>
  <c r="O19" i="102" s="1"/>
  <c r="V40" i="103"/>
  <c r="N40" i="103"/>
  <c r="O40" i="103" s="1"/>
  <c r="U40" i="103"/>
  <c r="T40" i="103"/>
  <c r="S40" i="103"/>
  <c r="R40" i="103"/>
  <c r="P40" i="103"/>
  <c r="Q40" i="103"/>
  <c r="L40" i="103"/>
  <c r="H43" i="102"/>
  <c r="M43" i="102" s="1"/>
  <c r="W43" i="102" s="1"/>
  <c r="C12" i="102"/>
  <c r="G12" i="102" s="1"/>
  <c r="D46" i="102"/>
  <c r="H46" i="102" s="1"/>
  <c r="L46" i="102" s="1"/>
  <c r="D15" i="102"/>
  <c r="H15" i="102" s="1"/>
  <c r="L15" i="102" s="1"/>
  <c r="C18" i="102"/>
  <c r="G18" i="102" s="1"/>
  <c r="C37" i="102"/>
  <c r="G37" i="102" s="1"/>
  <c r="D4" i="103"/>
  <c r="F4" i="103" s="1"/>
  <c r="M4" i="103" s="1"/>
  <c r="W4" i="103" s="1"/>
  <c r="D25" i="103"/>
  <c r="F25" i="103" s="1"/>
  <c r="L25" i="103" s="1"/>
  <c r="C31" i="103"/>
  <c r="E31" i="103" s="1"/>
  <c r="F31" i="103" s="1"/>
  <c r="L31" i="103" s="1"/>
  <c r="C33" i="103"/>
  <c r="E33" i="103" s="1"/>
  <c r="F33" i="103" s="1"/>
  <c r="L33" i="103" s="1"/>
  <c r="C35" i="103"/>
  <c r="E35" i="103" s="1"/>
  <c r="F35" i="103" s="1"/>
  <c r="L35" i="103" s="1"/>
  <c r="D37" i="103"/>
  <c r="F37" i="103" s="1"/>
  <c r="C3" i="103"/>
  <c r="E3" i="103" s="1"/>
  <c r="C13" i="103"/>
  <c r="E13" i="103" s="1"/>
  <c r="F13" i="103" s="1"/>
  <c r="L13" i="103" s="1"/>
  <c r="C15" i="103"/>
  <c r="E15" i="103" s="1"/>
  <c r="F15" i="103" s="1"/>
  <c r="M15" i="103" s="1"/>
  <c r="W15" i="103" s="1"/>
  <c r="C17" i="103"/>
  <c r="E17" i="103" s="1"/>
  <c r="F17" i="103" s="1"/>
  <c r="L17" i="103" s="1"/>
  <c r="C19" i="103"/>
  <c r="E19" i="103" s="1"/>
  <c r="F19" i="103" s="1"/>
  <c r="M19" i="103" s="1"/>
  <c r="W19" i="103" s="1"/>
  <c r="C21" i="103"/>
  <c r="E21" i="103" s="1"/>
  <c r="C23" i="103"/>
  <c r="E23" i="103" s="1"/>
  <c r="F23" i="103" s="1"/>
  <c r="M23" i="103" s="1"/>
  <c r="W23" i="103" s="1"/>
  <c r="D11" i="103"/>
  <c r="F11" i="103" s="1"/>
  <c r="C30" i="103"/>
  <c r="E30" i="103" s="1"/>
  <c r="F30" i="103" s="1"/>
  <c r="L30" i="103" s="1"/>
  <c r="C32" i="103"/>
  <c r="E32" i="103" s="1"/>
  <c r="F32" i="103" s="1"/>
  <c r="M32" i="103" s="1"/>
  <c r="W32" i="103" s="1"/>
  <c r="C34" i="103"/>
  <c r="E34" i="103" s="1"/>
  <c r="F34" i="103" s="1"/>
  <c r="M34" i="103" s="1"/>
  <c r="W34" i="103" s="1"/>
  <c r="C36" i="103"/>
  <c r="E36" i="103" s="1"/>
  <c r="F36" i="103" s="1"/>
  <c r="M36" i="103" s="1"/>
  <c r="W36" i="103" s="1"/>
  <c r="C12" i="103"/>
  <c r="E12" i="103" s="1"/>
  <c r="F12" i="103" s="1"/>
  <c r="M12" i="103" s="1"/>
  <c r="W12" i="103" s="1"/>
  <c r="C14" i="103"/>
  <c r="E14" i="103" s="1"/>
  <c r="F14" i="103" s="1"/>
  <c r="M14" i="103" s="1"/>
  <c r="W14" i="103" s="1"/>
  <c r="C16" i="103"/>
  <c r="E16" i="103" s="1"/>
  <c r="F16" i="103" s="1"/>
  <c r="L16" i="103" s="1"/>
  <c r="C18" i="103"/>
  <c r="E18" i="103" s="1"/>
  <c r="F18" i="103" s="1"/>
  <c r="M18" i="103" s="1"/>
  <c r="W18" i="103" s="1"/>
  <c r="C20" i="103"/>
  <c r="E20" i="103" s="1"/>
  <c r="F20" i="103" s="1"/>
  <c r="L20" i="103" s="1"/>
  <c r="C22" i="103"/>
  <c r="E22" i="103" s="1"/>
  <c r="F22" i="103" s="1"/>
  <c r="M22" i="103" s="1"/>
  <c r="W22" i="103" s="1"/>
  <c r="D24" i="103"/>
  <c r="F24" i="103" s="1"/>
  <c r="L24" i="103" s="1"/>
  <c r="F39" i="103"/>
  <c r="L39" i="103" s="1"/>
  <c r="F28" i="103"/>
  <c r="L28" i="103" s="1"/>
  <c r="F21" i="103"/>
  <c r="M21" i="103" s="1"/>
  <c r="W21" i="103" s="1"/>
  <c r="C2" i="103"/>
  <c r="E2" i="103" s="1"/>
  <c r="F2" i="103" s="1"/>
  <c r="S21" i="102" l="1"/>
  <c r="T21" i="102"/>
  <c r="U21" i="102"/>
  <c r="N21" i="102"/>
  <c r="O21" i="102" s="1"/>
  <c r="P19" i="102"/>
  <c r="Q19" i="102"/>
  <c r="R19" i="102"/>
  <c r="S19" i="102"/>
  <c r="T19" i="102"/>
  <c r="M8" i="103"/>
  <c r="W8" i="103" s="1"/>
  <c r="L8" i="103"/>
  <c r="M29" i="103"/>
  <c r="W29" i="103" s="1"/>
  <c r="L43" i="102"/>
  <c r="L29" i="103"/>
  <c r="M7" i="102"/>
  <c r="W7" i="102" s="1"/>
  <c r="L7" i="102"/>
  <c r="L31" i="102"/>
  <c r="M28" i="103"/>
  <c r="W28" i="103" s="1"/>
  <c r="V9" i="102"/>
  <c r="N9" i="102"/>
  <c r="O9" i="102" s="1"/>
  <c r="U9" i="102"/>
  <c r="T9" i="102"/>
  <c r="Q9" i="102"/>
  <c r="S9" i="102"/>
  <c r="R9" i="102"/>
  <c r="P9" i="102"/>
  <c r="U40" i="102"/>
  <c r="R40" i="102"/>
  <c r="P40" i="102"/>
  <c r="V40" i="102"/>
  <c r="N40" i="102"/>
  <c r="O40" i="102" s="1"/>
  <c r="T40" i="102"/>
  <c r="S40" i="102"/>
  <c r="Q40" i="102"/>
  <c r="V43" i="102"/>
  <c r="N43" i="102"/>
  <c r="O43" i="102" s="1"/>
  <c r="U43" i="102"/>
  <c r="T43" i="102"/>
  <c r="S43" i="102"/>
  <c r="R43" i="102"/>
  <c r="Q43" i="102"/>
  <c r="P43" i="102"/>
  <c r="R31" i="102"/>
  <c r="P31" i="102"/>
  <c r="U31" i="102"/>
  <c r="T31" i="102"/>
  <c r="Q31" i="102"/>
  <c r="V31" i="102"/>
  <c r="N31" i="102"/>
  <c r="O31" i="102" s="1"/>
  <c r="S31" i="102"/>
  <c r="M15" i="102"/>
  <c r="W15" i="102" s="1"/>
  <c r="L40" i="102"/>
  <c r="M46" i="102"/>
  <c r="W46" i="102" s="1"/>
  <c r="L9" i="102"/>
  <c r="H12" i="102"/>
  <c r="L12" i="102" s="1"/>
  <c r="H37" i="102"/>
  <c r="M37" i="102" s="1"/>
  <c r="W37" i="102" s="1"/>
  <c r="H18" i="102"/>
  <c r="M18" i="102" s="1"/>
  <c r="W18" i="102" s="1"/>
  <c r="M34" i="102"/>
  <c r="W34" i="102" s="1"/>
  <c r="M11" i="103"/>
  <c r="P11" i="103" s="1"/>
  <c r="L11" i="103"/>
  <c r="M37" i="103"/>
  <c r="S37" i="103" s="1"/>
  <c r="L37" i="103"/>
  <c r="F3" i="103"/>
  <c r="M3" i="103" s="1"/>
  <c r="W3" i="103" s="1"/>
  <c r="M39" i="103"/>
  <c r="W39" i="103" s="1"/>
  <c r="V38" i="103"/>
  <c r="N38" i="103"/>
  <c r="O38" i="103" s="1"/>
  <c r="R38" i="103"/>
  <c r="Q38" i="103"/>
  <c r="U38" i="103"/>
  <c r="T38" i="103"/>
  <c r="S38" i="103"/>
  <c r="P38" i="103"/>
  <c r="L38" i="103"/>
  <c r="V36" i="103"/>
  <c r="N36" i="103"/>
  <c r="O36" i="103" s="1"/>
  <c r="P36" i="103"/>
  <c r="U36" i="103"/>
  <c r="T36" i="103"/>
  <c r="S36" i="103"/>
  <c r="R36" i="103"/>
  <c r="Q36" i="103"/>
  <c r="L36" i="103"/>
  <c r="M35" i="103"/>
  <c r="W35" i="103" s="1"/>
  <c r="V34" i="103"/>
  <c r="N34" i="103"/>
  <c r="O34" i="103" s="1"/>
  <c r="U34" i="103"/>
  <c r="R34" i="103"/>
  <c r="Q34" i="103"/>
  <c r="P34" i="103"/>
  <c r="T34" i="103"/>
  <c r="S34" i="103"/>
  <c r="L34" i="103"/>
  <c r="M33" i="103"/>
  <c r="W33" i="103" s="1"/>
  <c r="V32" i="103"/>
  <c r="N32" i="103"/>
  <c r="O32" i="103" s="1"/>
  <c r="U32" i="103"/>
  <c r="T32" i="103"/>
  <c r="S32" i="103"/>
  <c r="R32" i="103"/>
  <c r="Q32" i="103"/>
  <c r="P32" i="103"/>
  <c r="L32" i="103"/>
  <c r="M31" i="103"/>
  <c r="W31" i="103" s="1"/>
  <c r="M30" i="103"/>
  <c r="W30" i="103" s="1"/>
  <c r="M27" i="103"/>
  <c r="W27" i="103" s="1"/>
  <c r="M26" i="103"/>
  <c r="W26" i="103" s="1"/>
  <c r="M25" i="103"/>
  <c r="W25" i="103" s="1"/>
  <c r="M24" i="103"/>
  <c r="W24" i="103" s="1"/>
  <c r="V23" i="103"/>
  <c r="N23" i="103"/>
  <c r="O23" i="103" s="1"/>
  <c r="U23" i="103"/>
  <c r="T23" i="103"/>
  <c r="R23" i="103"/>
  <c r="Q23" i="103"/>
  <c r="S23" i="103"/>
  <c r="P23" i="103"/>
  <c r="L23" i="103"/>
  <c r="V22" i="103"/>
  <c r="N22" i="103"/>
  <c r="O22" i="103" s="1"/>
  <c r="U22" i="103"/>
  <c r="T22" i="103"/>
  <c r="R22" i="103"/>
  <c r="Q22" i="103"/>
  <c r="P22" i="103"/>
  <c r="S22" i="103"/>
  <c r="L22" i="103"/>
  <c r="V21" i="103"/>
  <c r="N21" i="103"/>
  <c r="O21" i="103" s="1"/>
  <c r="U21" i="103"/>
  <c r="T21" i="103"/>
  <c r="S21" i="103"/>
  <c r="R21" i="103"/>
  <c r="Q21" i="103"/>
  <c r="P21" i="103"/>
  <c r="L21" i="103"/>
  <c r="M20" i="103"/>
  <c r="W20" i="103" s="1"/>
  <c r="V19" i="103"/>
  <c r="N19" i="103"/>
  <c r="O19" i="103" s="1"/>
  <c r="R19" i="103"/>
  <c r="Q19" i="103"/>
  <c r="U19" i="103"/>
  <c r="T19" i="103"/>
  <c r="S19" i="103"/>
  <c r="P19" i="103"/>
  <c r="L19" i="103"/>
  <c r="V18" i="103"/>
  <c r="N18" i="103"/>
  <c r="O18" i="103" s="1"/>
  <c r="U18" i="103"/>
  <c r="S18" i="103"/>
  <c r="T18" i="103"/>
  <c r="R18" i="103"/>
  <c r="Q18" i="103"/>
  <c r="P18" i="103"/>
  <c r="L18" i="103"/>
  <c r="M17" i="103"/>
  <c r="W17" i="103" s="1"/>
  <c r="M16" i="103"/>
  <c r="W16" i="103" s="1"/>
  <c r="V15" i="103"/>
  <c r="N15" i="103"/>
  <c r="O15" i="103" s="1"/>
  <c r="U15" i="103"/>
  <c r="T15" i="103"/>
  <c r="R15" i="103"/>
  <c r="Q15" i="103"/>
  <c r="P15" i="103"/>
  <c r="S15" i="103"/>
  <c r="L15" i="103"/>
  <c r="V14" i="103"/>
  <c r="N14" i="103"/>
  <c r="O14" i="103" s="1"/>
  <c r="U14" i="103"/>
  <c r="R14" i="103"/>
  <c r="Q14" i="103"/>
  <c r="P14" i="103"/>
  <c r="T14" i="103"/>
  <c r="S14" i="103"/>
  <c r="L14" i="103"/>
  <c r="M13" i="103"/>
  <c r="W13" i="103" s="1"/>
  <c r="V12" i="103"/>
  <c r="N12" i="103"/>
  <c r="O12" i="103" s="1"/>
  <c r="U12" i="103"/>
  <c r="T12" i="103"/>
  <c r="Q12" i="103"/>
  <c r="P12" i="103"/>
  <c r="S12" i="103"/>
  <c r="R12" i="103"/>
  <c r="L12" i="103"/>
  <c r="M10" i="103"/>
  <c r="W10" i="103" s="1"/>
  <c r="M9" i="103"/>
  <c r="W9" i="103" s="1"/>
  <c r="V7" i="103"/>
  <c r="N7" i="103"/>
  <c r="O7" i="103" s="1"/>
  <c r="R7" i="103"/>
  <c r="P7" i="103"/>
  <c r="U7" i="103"/>
  <c r="S7" i="103"/>
  <c r="Q7" i="103"/>
  <c r="T7" i="103"/>
  <c r="L7" i="103"/>
  <c r="V6" i="103"/>
  <c r="N6" i="103"/>
  <c r="O6" i="103" s="1"/>
  <c r="U6" i="103"/>
  <c r="T6" i="103"/>
  <c r="P6" i="103"/>
  <c r="S6" i="103"/>
  <c r="R6" i="103"/>
  <c r="Q6" i="103"/>
  <c r="L6" i="103"/>
  <c r="V5" i="103"/>
  <c r="N5" i="103"/>
  <c r="O5" i="103" s="1"/>
  <c r="U5" i="103"/>
  <c r="R5" i="103"/>
  <c r="Q5" i="103"/>
  <c r="P5" i="103"/>
  <c r="T5" i="103"/>
  <c r="S5" i="103"/>
  <c r="L5" i="103"/>
  <c r="V4" i="103"/>
  <c r="N4" i="103"/>
  <c r="O4" i="103" s="1"/>
  <c r="S4" i="103"/>
  <c r="R4" i="103"/>
  <c r="P4" i="103"/>
  <c r="U4" i="103"/>
  <c r="T4" i="103"/>
  <c r="Q4" i="103"/>
  <c r="L4" i="103"/>
  <c r="L2" i="103"/>
  <c r="N28" i="103" l="1"/>
  <c r="O28" i="103" s="1"/>
  <c r="Q8" i="103"/>
  <c r="S11" i="103"/>
  <c r="V28" i="103"/>
  <c r="S8" i="103"/>
  <c r="P8" i="103"/>
  <c r="P29" i="103"/>
  <c r="N11" i="103"/>
  <c r="O11" i="103" s="1"/>
  <c r="Q28" i="103"/>
  <c r="T8" i="103"/>
  <c r="R28" i="103"/>
  <c r="U8" i="103"/>
  <c r="T28" i="103"/>
  <c r="S28" i="103"/>
  <c r="N8" i="103"/>
  <c r="O8" i="103" s="1"/>
  <c r="U28" i="103"/>
  <c r="R8" i="103"/>
  <c r="V8" i="103"/>
  <c r="P28" i="103"/>
  <c r="Q29" i="103"/>
  <c r="S29" i="103"/>
  <c r="T29" i="103"/>
  <c r="R11" i="103"/>
  <c r="R29" i="103"/>
  <c r="U29" i="103"/>
  <c r="N29" i="103"/>
  <c r="O29" i="103" s="1"/>
  <c r="V29" i="103"/>
  <c r="U37" i="103"/>
  <c r="V7" i="102"/>
  <c r="V11" i="103"/>
  <c r="Q7" i="102"/>
  <c r="S7" i="102"/>
  <c r="T7" i="102"/>
  <c r="U7" i="102"/>
  <c r="P7" i="102"/>
  <c r="R7" i="102"/>
  <c r="N7" i="102"/>
  <c r="O7" i="102" s="1"/>
  <c r="Q37" i="103"/>
  <c r="Q11" i="103"/>
  <c r="W11" i="103"/>
  <c r="L3" i="103"/>
  <c r="T37" i="103"/>
  <c r="W37" i="103"/>
  <c r="R37" i="103"/>
  <c r="T11" i="103"/>
  <c r="U11" i="103"/>
  <c r="N37" i="103"/>
  <c r="O37" i="103" s="1"/>
  <c r="S18" i="102"/>
  <c r="V18" i="102"/>
  <c r="N18" i="102"/>
  <c r="O18" i="102" s="1"/>
  <c r="U18" i="102"/>
  <c r="R18" i="102"/>
  <c r="Q18" i="102"/>
  <c r="T18" i="102"/>
  <c r="P18" i="102"/>
  <c r="P37" i="102"/>
  <c r="N37" i="102"/>
  <c r="O37" i="102" s="1"/>
  <c r="V37" i="102"/>
  <c r="R37" i="102"/>
  <c r="U37" i="102"/>
  <c r="T37" i="102"/>
  <c r="S37" i="102"/>
  <c r="Q37" i="102"/>
  <c r="M12" i="102"/>
  <c r="W12" i="102" s="1"/>
  <c r="L18" i="102"/>
  <c r="U46" i="102"/>
  <c r="S46" i="102"/>
  <c r="N46" i="102"/>
  <c r="O46" i="102" s="1"/>
  <c r="T46" i="102"/>
  <c r="R46" i="102"/>
  <c r="Q46" i="102"/>
  <c r="P46" i="102"/>
  <c r="V46" i="102"/>
  <c r="Q34" i="102"/>
  <c r="T34" i="102"/>
  <c r="P34" i="102"/>
  <c r="S34" i="102"/>
  <c r="V34" i="102"/>
  <c r="N34" i="102"/>
  <c r="O34" i="102" s="1"/>
  <c r="U34" i="102"/>
  <c r="R34" i="102"/>
  <c r="L37" i="102"/>
  <c r="T15" i="102"/>
  <c r="V15" i="102"/>
  <c r="N15" i="102"/>
  <c r="O15" i="102" s="1"/>
  <c r="S15" i="102"/>
  <c r="R15" i="102"/>
  <c r="U15" i="102"/>
  <c r="Q15" i="102"/>
  <c r="P15" i="102"/>
  <c r="P37" i="103"/>
  <c r="P3" i="103"/>
  <c r="V3" i="103"/>
  <c r="T3" i="103"/>
  <c r="Q3" i="103"/>
  <c r="S3" i="103"/>
  <c r="U3" i="103"/>
  <c r="N3" i="103"/>
  <c r="O3" i="103" s="1"/>
  <c r="R3" i="103"/>
  <c r="V37" i="103"/>
  <c r="V39" i="103"/>
  <c r="N39" i="103"/>
  <c r="O39" i="103" s="1"/>
  <c r="S39" i="103"/>
  <c r="U39" i="103"/>
  <c r="T39" i="103"/>
  <c r="R39" i="103"/>
  <c r="Q39" i="103"/>
  <c r="P39" i="103"/>
  <c r="V35" i="103"/>
  <c r="N35" i="103"/>
  <c r="O35" i="103" s="1"/>
  <c r="Q35" i="103"/>
  <c r="P35" i="103"/>
  <c r="U35" i="103"/>
  <c r="T35" i="103"/>
  <c r="R35" i="103"/>
  <c r="S35" i="103"/>
  <c r="V33" i="103"/>
  <c r="N33" i="103"/>
  <c r="O33" i="103" s="1"/>
  <c r="S33" i="103"/>
  <c r="U33" i="103"/>
  <c r="T33" i="103"/>
  <c r="R33" i="103"/>
  <c r="Q33" i="103"/>
  <c r="P33" i="103"/>
  <c r="V31" i="103"/>
  <c r="N31" i="103"/>
  <c r="O31" i="103" s="1"/>
  <c r="Q31" i="103"/>
  <c r="P31" i="103"/>
  <c r="U31" i="103"/>
  <c r="T31" i="103"/>
  <c r="S31" i="103"/>
  <c r="R31" i="103"/>
  <c r="V30" i="103"/>
  <c r="N30" i="103"/>
  <c r="O30" i="103" s="1"/>
  <c r="U30" i="103"/>
  <c r="T30" i="103"/>
  <c r="S30" i="103"/>
  <c r="R30" i="103"/>
  <c r="Q30" i="103"/>
  <c r="P30" i="103"/>
  <c r="V27" i="103"/>
  <c r="N27" i="103"/>
  <c r="O27" i="103" s="1"/>
  <c r="Q27" i="103"/>
  <c r="U27" i="103"/>
  <c r="T27" i="103"/>
  <c r="P27" i="103"/>
  <c r="S27" i="103"/>
  <c r="R27" i="103"/>
  <c r="V26" i="103"/>
  <c r="N26" i="103"/>
  <c r="O26" i="103" s="1"/>
  <c r="U26" i="103"/>
  <c r="T26" i="103"/>
  <c r="S26" i="103"/>
  <c r="R26" i="103"/>
  <c r="Q26" i="103"/>
  <c r="P26" i="103"/>
  <c r="V25" i="103"/>
  <c r="N25" i="103"/>
  <c r="O25" i="103" s="1"/>
  <c r="U25" i="103"/>
  <c r="T25" i="103"/>
  <c r="P25" i="103"/>
  <c r="S25" i="103"/>
  <c r="R25" i="103"/>
  <c r="Q25" i="103"/>
  <c r="V24" i="103"/>
  <c r="N24" i="103"/>
  <c r="O24" i="103" s="1"/>
  <c r="R24" i="103"/>
  <c r="Q24" i="103"/>
  <c r="P24" i="103"/>
  <c r="U24" i="103"/>
  <c r="T24" i="103"/>
  <c r="S24" i="103"/>
  <c r="V20" i="103"/>
  <c r="N20" i="103"/>
  <c r="O20" i="103" s="1"/>
  <c r="S20" i="103"/>
  <c r="U20" i="103"/>
  <c r="T20" i="103"/>
  <c r="R20" i="103"/>
  <c r="Q20" i="103"/>
  <c r="P20" i="103"/>
  <c r="V17" i="103"/>
  <c r="N17" i="103"/>
  <c r="O17" i="103" s="1"/>
  <c r="U17" i="103"/>
  <c r="T17" i="103"/>
  <c r="S17" i="103"/>
  <c r="R17" i="103"/>
  <c r="Q17" i="103"/>
  <c r="P17" i="103"/>
  <c r="V16" i="103"/>
  <c r="N16" i="103"/>
  <c r="O16" i="103" s="1"/>
  <c r="Q16" i="103"/>
  <c r="U16" i="103"/>
  <c r="T16" i="103"/>
  <c r="S16" i="103"/>
  <c r="R16" i="103"/>
  <c r="P16" i="103"/>
  <c r="V13" i="103"/>
  <c r="N13" i="103"/>
  <c r="O13" i="103" s="1"/>
  <c r="S13" i="103"/>
  <c r="U13" i="103"/>
  <c r="T13" i="103"/>
  <c r="R13" i="103"/>
  <c r="Q13" i="103"/>
  <c r="P13" i="103"/>
  <c r="V10" i="103"/>
  <c r="N10" i="103"/>
  <c r="O10" i="103" s="1"/>
  <c r="U10" i="103"/>
  <c r="T10" i="103"/>
  <c r="P10" i="103"/>
  <c r="S10" i="103"/>
  <c r="R10" i="103"/>
  <c r="Q10" i="103"/>
  <c r="V9" i="103"/>
  <c r="N9" i="103"/>
  <c r="O9" i="103" s="1"/>
  <c r="U9" i="103"/>
  <c r="T9" i="103"/>
  <c r="S9" i="103"/>
  <c r="R9" i="103"/>
  <c r="Q9" i="103"/>
  <c r="P9" i="103"/>
  <c r="M2" i="103"/>
  <c r="S2" i="103" l="1"/>
  <c r="W2" i="103"/>
  <c r="U12" i="102"/>
  <c r="T12" i="102"/>
  <c r="P12" i="102"/>
  <c r="N12" i="102"/>
  <c r="O12" i="102" s="1"/>
  <c r="S12" i="102"/>
  <c r="V12" i="102"/>
  <c r="R12" i="102"/>
  <c r="Q12" i="102"/>
  <c r="T2" i="103"/>
  <c r="U2" i="103"/>
  <c r="V2" i="103"/>
  <c r="N2" i="103"/>
  <c r="O2" i="103" s="1"/>
  <c r="P2" i="103"/>
  <c r="Q2" i="103"/>
  <c r="R2" i="103"/>
  <c r="J2" i="102" l="1"/>
  <c r="G2" i="102"/>
  <c r="I10" i="18"/>
  <c r="B10" i="18"/>
  <c r="D10" i="18" s="1"/>
  <c r="I8" i="18"/>
  <c r="B8" i="18"/>
  <c r="D8" i="18" s="1"/>
  <c r="I6" i="18"/>
  <c r="B6" i="18"/>
  <c r="D6" i="18" s="1"/>
  <c r="I4" i="18"/>
  <c r="B4" i="18"/>
  <c r="D4" i="18" s="1"/>
  <c r="I13" i="18"/>
  <c r="B13" i="18"/>
  <c r="D13" i="18" s="1"/>
  <c r="I16" i="18"/>
  <c r="B16" i="18"/>
  <c r="D16" i="18" s="1"/>
  <c r="I38" i="18"/>
  <c r="B38" i="18"/>
  <c r="C38" i="18" s="1"/>
  <c r="G38" i="18" s="1"/>
  <c r="I35" i="18"/>
  <c r="B35" i="18"/>
  <c r="C35" i="18" s="1"/>
  <c r="G35" i="18" s="1"/>
  <c r="I33" i="18"/>
  <c r="B33" i="18"/>
  <c r="D33" i="18" s="1"/>
  <c r="I28" i="18"/>
  <c r="B28" i="18"/>
  <c r="D28" i="18" s="1"/>
  <c r="I25" i="18"/>
  <c r="B25" i="18"/>
  <c r="D25" i="18" s="1"/>
  <c r="I22" i="18"/>
  <c r="B22" i="18"/>
  <c r="D22" i="18" s="1"/>
  <c r="I19" i="18"/>
  <c r="B19" i="18"/>
  <c r="C19" i="18" s="1"/>
  <c r="G19" i="18" s="1"/>
  <c r="I39" i="18"/>
  <c r="B39" i="18"/>
  <c r="D39" i="18" s="1"/>
  <c r="I36" i="18"/>
  <c r="B36" i="18"/>
  <c r="C36" i="18" s="1"/>
  <c r="G36" i="18" s="1"/>
  <c r="I34" i="18"/>
  <c r="B34" i="18"/>
  <c r="D34" i="18" s="1"/>
  <c r="I29" i="18"/>
  <c r="B29" i="18"/>
  <c r="D29" i="18" s="1"/>
  <c r="I26" i="18"/>
  <c r="B26" i="18"/>
  <c r="C26" i="18" s="1"/>
  <c r="G26" i="18" s="1"/>
  <c r="I23" i="18"/>
  <c r="B23" i="18"/>
  <c r="D23" i="18" s="1"/>
  <c r="I20" i="18"/>
  <c r="B20" i="18"/>
  <c r="C20" i="18" s="1"/>
  <c r="G20" i="18" s="1"/>
  <c r="I17" i="18"/>
  <c r="B17" i="18"/>
  <c r="D17" i="18" s="1"/>
  <c r="I14" i="18"/>
  <c r="B14" i="18"/>
  <c r="D14" i="18" s="1"/>
  <c r="I11" i="18"/>
  <c r="B11" i="18"/>
  <c r="D11" i="18" s="1"/>
  <c r="I9" i="18"/>
  <c r="B9" i="18"/>
  <c r="C9" i="18" s="1"/>
  <c r="G9" i="18" s="1"/>
  <c r="I7" i="18"/>
  <c r="B7" i="18"/>
  <c r="D7" i="18" s="1"/>
  <c r="I5" i="18"/>
  <c r="B5" i="18"/>
  <c r="D5" i="18" s="1"/>
  <c r="I5" i="12"/>
  <c r="B5" i="12"/>
  <c r="D5" i="12" s="1"/>
  <c r="I6" i="12"/>
  <c r="B6" i="12"/>
  <c r="D6" i="12" s="1"/>
  <c r="I47" i="12"/>
  <c r="B47" i="12"/>
  <c r="D47" i="12" s="1"/>
  <c r="I43" i="12"/>
  <c r="B43" i="12"/>
  <c r="D43" i="12" s="1"/>
  <c r="I39" i="12"/>
  <c r="B39" i="12"/>
  <c r="D39" i="12" s="1"/>
  <c r="I35" i="12"/>
  <c r="B35" i="12"/>
  <c r="C35" i="12" s="1"/>
  <c r="G35" i="12" s="1"/>
  <c r="I31" i="12"/>
  <c r="B31" i="12"/>
  <c r="D31" i="12" s="1"/>
  <c r="I27" i="12"/>
  <c r="B27" i="12"/>
  <c r="D27" i="12" s="1"/>
  <c r="I23" i="12"/>
  <c r="B23" i="12"/>
  <c r="C23" i="12" s="1"/>
  <c r="G23" i="12" s="1"/>
  <c r="I20" i="12"/>
  <c r="B20" i="12"/>
  <c r="D20" i="12" s="1"/>
  <c r="I16" i="12"/>
  <c r="B16" i="12"/>
  <c r="D16" i="12" s="1"/>
  <c r="I12" i="12"/>
  <c r="B12" i="12"/>
  <c r="D12" i="12" s="1"/>
  <c r="I8" i="12"/>
  <c r="B8" i="12"/>
  <c r="D8" i="12" s="1"/>
  <c r="D38" i="18" l="1"/>
  <c r="H38" i="18" s="1"/>
  <c r="M38" i="18" s="1"/>
  <c r="C16" i="18"/>
  <c r="G16" i="18" s="1"/>
  <c r="C25" i="18"/>
  <c r="G25" i="18" s="1"/>
  <c r="H25" i="18" s="1"/>
  <c r="M25" i="18" s="1"/>
  <c r="D36" i="18"/>
  <c r="H36" i="18" s="1"/>
  <c r="M36" i="18" s="1"/>
  <c r="D19" i="18"/>
  <c r="H19" i="18" s="1"/>
  <c r="M19" i="18" s="1"/>
  <c r="C13" i="18"/>
  <c r="G13" i="18" s="1"/>
  <c r="H13" i="18" s="1"/>
  <c r="M13" i="18" s="1"/>
  <c r="C33" i="18"/>
  <c r="G33" i="18" s="1"/>
  <c r="H33" i="18" s="1"/>
  <c r="M33" i="18" s="1"/>
  <c r="C7" i="18"/>
  <c r="G7" i="18" s="1"/>
  <c r="H7" i="18" s="1"/>
  <c r="M7" i="18" s="1"/>
  <c r="C4" i="18"/>
  <c r="G4" i="18" s="1"/>
  <c r="H4" i="18" s="1"/>
  <c r="M4" i="18" s="1"/>
  <c r="C8" i="18"/>
  <c r="G8" i="18" s="1"/>
  <c r="H8" i="18" s="1"/>
  <c r="M8" i="18" s="1"/>
  <c r="D20" i="18"/>
  <c r="H20" i="18" s="1"/>
  <c r="M20" i="18" s="1"/>
  <c r="C34" i="18"/>
  <c r="G34" i="18" s="1"/>
  <c r="H34" i="18" s="1"/>
  <c r="M34" i="18" s="1"/>
  <c r="C39" i="18"/>
  <c r="G39" i="18" s="1"/>
  <c r="H39" i="18" s="1"/>
  <c r="M39" i="18" s="1"/>
  <c r="C22" i="18"/>
  <c r="G22" i="18" s="1"/>
  <c r="H22" i="18" s="1"/>
  <c r="L22" i="18" s="1"/>
  <c r="C28" i="18"/>
  <c r="G28" i="18" s="1"/>
  <c r="H28" i="18" s="1"/>
  <c r="M28" i="18" s="1"/>
  <c r="D35" i="18"/>
  <c r="H35" i="18" s="1"/>
  <c r="M35" i="18" s="1"/>
  <c r="D26" i="18"/>
  <c r="H26" i="18" s="1"/>
  <c r="M26" i="18" s="1"/>
  <c r="C31" i="12"/>
  <c r="G31" i="12" s="1"/>
  <c r="H31" i="12" s="1"/>
  <c r="M31" i="12" s="1"/>
  <c r="D23" i="12"/>
  <c r="H23" i="12" s="1"/>
  <c r="M23" i="12" s="1"/>
  <c r="D35" i="12"/>
  <c r="H35" i="12" s="1"/>
  <c r="M35" i="12" s="1"/>
  <c r="D2" i="102"/>
  <c r="H2" i="102" s="1"/>
  <c r="C10" i="18"/>
  <c r="G10" i="18" s="1"/>
  <c r="C6" i="18"/>
  <c r="G6" i="18" s="1"/>
  <c r="H16" i="18"/>
  <c r="M16" i="18" s="1"/>
  <c r="C29" i="18"/>
  <c r="G29" i="18" s="1"/>
  <c r="C23" i="18"/>
  <c r="G23" i="18" s="1"/>
  <c r="C17" i="18"/>
  <c r="G17" i="18" s="1"/>
  <c r="C14" i="18"/>
  <c r="G14" i="18" s="1"/>
  <c r="C11" i="18"/>
  <c r="G11" i="18" s="1"/>
  <c r="D9" i="18"/>
  <c r="H9" i="18" s="1"/>
  <c r="C5" i="18"/>
  <c r="G5" i="18" s="1"/>
  <c r="C5" i="12"/>
  <c r="G5" i="12" s="1"/>
  <c r="C6" i="12"/>
  <c r="G6" i="12" s="1"/>
  <c r="C47" i="12"/>
  <c r="G47" i="12" s="1"/>
  <c r="C43" i="12"/>
  <c r="G43" i="12" s="1"/>
  <c r="C39" i="12"/>
  <c r="G39" i="12" s="1"/>
  <c r="C27" i="12"/>
  <c r="G27" i="12" s="1"/>
  <c r="C20" i="12"/>
  <c r="G20" i="12" s="1"/>
  <c r="C16" i="12"/>
  <c r="G16" i="12" s="1"/>
  <c r="C12" i="12"/>
  <c r="G12" i="12" s="1"/>
  <c r="C8" i="12"/>
  <c r="G8" i="12" s="1"/>
  <c r="M22" i="18" l="1"/>
  <c r="M2" i="102"/>
  <c r="L2" i="102"/>
  <c r="H10" i="18"/>
  <c r="L10" i="18" s="1"/>
  <c r="V8" i="18"/>
  <c r="N8" i="18"/>
  <c r="R8" i="18"/>
  <c r="Q8" i="18"/>
  <c r="P8" i="18"/>
  <c r="U8" i="18"/>
  <c r="T8" i="18"/>
  <c r="S8" i="18"/>
  <c r="L8" i="18"/>
  <c r="H6" i="18"/>
  <c r="M6" i="18" s="1"/>
  <c r="V4" i="18"/>
  <c r="N4" i="18"/>
  <c r="Q4" i="18"/>
  <c r="U4" i="18"/>
  <c r="T4" i="18"/>
  <c r="S4" i="18"/>
  <c r="R4" i="18"/>
  <c r="P4" i="18"/>
  <c r="L4" i="18"/>
  <c r="V13" i="18"/>
  <c r="N13" i="18"/>
  <c r="U13" i="18"/>
  <c r="R13" i="18"/>
  <c r="T13" i="18"/>
  <c r="S13" i="18"/>
  <c r="Q13" i="18"/>
  <c r="P13" i="18"/>
  <c r="L13" i="18"/>
  <c r="V16" i="18"/>
  <c r="N16" i="18"/>
  <c r="U16" i="18"/>
  <c r="T16" i="18"/>
  <c r="S16" i="18"/>
  <c r="R16" i="18"/>
  <c r="Q16" i="18"/>
  <c r="P16" i="18"/>
  <c r="L16" i="18"/>
  <c r="V38" i="18"/>
  <c r="N38" i="18"/>
  <c r="U38" i="18"/>
  <c r="R38" i="18"/>
  <c r="Q38" i="18"/>
  <c r="P38" i="18"/>
  <c r="T38" i="18"/>
  <c r="S38" i="18"/>
  <c r="L38" i="18"/>
  <c r="V35" i="18"/>
  <c r="N35" i="18"/>
  <c r="T35" i="18"/>
  <c r="U35" i="18"/>
  <c r="S35" i="18"/>
  <c r="R35" i="18"/>
  <c r="Q35" i="18"/>
  <c r="P35" i="18"/>
  <c r="L35" i="18"/>
  <c r="V33" i="18"/>
  <c r="N33" i="18"/>
  <c r="U33" i="18"/>
  <c r="T33" i="18"/>
  <c r="R33" i="18"/>
  <c r="Q33" i="18"/>
  <c r="S33" i="18"/>
  <c r="P33" i="18"/>
  <c r="L33" i="18"/>
  <c r="V28" i="18"/>
  <c r="N28" i="18"/>
  <c r="U28" i="18"/>
  <c r="T28" i="18"/>
  <c r="S28" i="18"/>
  <c r="R28" i="18"/>
  <c r="Q28" i="18"/>
  <c r="P28" i="18"/>
  <c r="L28" i="18"/>
  <c r="V25" i="18"/>
  <c r="N25" i="18"/>
  <c r="Q25" i="18"/>
  <c r="P25" i="18"/>
  <c r="U25" i="18"/>
  <c r="T25" i="18"/>
  <c r="S25" i="18"/>
  <c r="R25" i="18"/>
  <c r="L25" i="18"/>
  <c r="N22" i="18"/>
  <c r="R22" i="18"/>
  <c r="P22" i="18"/>
  <c r="V19" i="18"/>
  <c r="N19" i="18"/>
  <c r="U19" i="18"/>
  <c r="T19" i="18"/>
  <c r="S19" i="18"/>
  <c r="R19" i="18"/>
  <c r="Q19" i="18"/>
  <c r="P19" i="18"/>
  <c r="L19" i="18"/>
  <c r="V39" i="18"/>
  <c r="N39" i="18"/>
  <c r="Q39" i="18"/>
  <c r="P39" i="18"/>
  <c r="U39" i="18"/>
  <c r="T39" i="18"/>
  <c r="R39" i="18"/>
  <c r="S39" i="18"/>
  <c r="L39" i="18"/>
  <c r="V36" i="18"/>
  <c r="N36" i="18"/>
  <c r="Q36" i="18"/>
  <c r="U36" i="18"/>
  <c r="T36" i="18"/>
  <c r="R36" i="18"/>
  <c r="P36" i="18"/>
  <c r="S36" i="18"/>
  <c r="L36" i="18"/>
  <c r="V34" i="18"/>
  <c r="N34" i="18"/>
  <c r="U34" i="18"/>
  <c r="T34" i="18"/>
  <c r="S34" i="18"/>
  <c r="R34" i="18"/>
  <c r="Q34" i="18"/>
  <c r="P34" i="18"/>
  <c r="L34" i="18"/>
  <c r="H29" i="18"/>
  <c r="L29" i="18" s="1"/>
  <c r="V26" i="18"/>
  <c r="N26" i="18"/>
  <c r="U26" i="18"/>
  <c r="T26" i="18"/>
  <c r="S26" i="18"/>
  <c r="R26" i="18"/>
  <c r="Q26" i="18"/>
  <c r="P26" i="18"/>
  <c r="L26" i="18"/>
  <c r="H23" i="18"/>
  <c r="M23" i="18" s="1"/>
  <c r="V20" i="18"/>
  <c r="N20" i="18"/>
  <c r="U20" i="18"/>
  <c r="T20" i="18"/>
  <c r="S20" i="18"/>
  <c r="R20" i="18"/>
  <c r="Q20" i="18"/>
  <c r="P20" i="18"/>
  <c r="L20" i="18"/>
  <c r="H17" i="18"/>
  <c r="M17" i="18" s="1"/>
  <c r="H14" i="18"/>
  <c r="L14" i="18" s="1"/>
  <c r="H11" i="18"/>
  <c r="L11" i="18" s="1"/>
  <c r="L9" i="18"/>
  <c r="M9" i="18"/>
  <c r="V7" i="18"/>
  <c r="N7" i="18"/>
  <c r="U7" i="18"/>
  <c r="T7" i="18"/>
  <c r="R7" i="18"/>
  <c r="Q7" i="18"/>
  <c r="P7" i="18"/>
  <c r="S7" i="18"/>
  <c r="L7" i="18"/>
  <c r="H5" i="18"/>
  <c r="M5" i="18" s="1"/>
  <c r="H5" i="12"/>
  <c r="M5" i="12" s="1"/>
  <c r="H6" i="12"/>
  <c r="M6" i="12" s="1"/>
  <c r="H47" i="12"/>
  <c r="M47" i="12" s="1"/>
  <c r="H43" i="12"/>
  <c r="M43" i="12" s="1"/>
  <c r="H39" i="12"/>
  <c r="M39" i="12" s="1"/>
  <c r="W35" i="12"/>
  <c r="N35" i="12"/>
  <c r="O35" i="12" s="1"/>
  <c r="V35" i="12"/>
  <c r="R35" i="12"/>
  <c r="Q35" i="12"/>
  <c r="P35" i="12"/>
  <c r="T35" i="12"/>
  <c r="U35" i="12" s="1"/>
  <c r="S35" i="12"/>
  <c r="L35" i="12"/>
  <c r="W31" i="12"/>
  <c r="N31" i="12"/>
  <c r="O31" i="12" s="1"/>
  <c r="V31" i="12"/>
  <c r="R31" i="12"/>
  <c r="Q31" i="12"/>
  <c r="P31" i="12"/>
  <c r="T31" i="12"/>
  <c r="U31" i="12" s="1"/>
  <c r="S31" i="12"/>
  <c r="L31" i="12"/>
  <c r="H27" i="12"/>
  <c r="M27" i="12" s="1"/>
  <c r="W23" i="12"/>
  <c r="N23" i="12"/>
  <c r="O23" i="12" s="1"/>
  <c r="V23" i="12"/>
  <c r="T23" i="12"/>
  <c r="U23" i="12" s="1"/>
  <c r="R23" i="12"/>
  <c r="Q23" i="12"/>
  <c r="P23" i="12"/>
  <c r="S23" i="12"/>
  <c r="L23" i="12"/>
  <c r="H20" i="12"/>
  <c r="M20" i="12" s="1"/>
  <c r="H16" i="12"/>
  <c r="M16" i="12" s="1"/>
  <c r="H12" i="12"/>
  <c r="M12" i="12" s="1"/>
  <c r="H8" i="12"/>
  <c r="M8" i="12" s="1"/>
  <c r="I20" i="69"/>
  <c r="E20" i="69"/>
  <c r="B20" i="69"/>
  <c r="C20" i="69" s="1"/>
  <c r="G20" i="69" s="1"/>
  <c r="O22" i="18" l="1"/>
  <c r="O25" i="18"/>
  <c r="O34" i="18"/>
  <c r="O28" i="18"/>
  <c r="O8" i="18"/>
  <c r="O4" i="18"/>
  <c r="O36" i="18"/>
  <c r="O33" i="18"/>
  <c r="O26" i="18"/>
  <c r="O39" i="18"/>
  <c r="O35" i="18"/>
  <c r="O7" i="18"/>
  <c r="O19" i="18"/>
  <c r="O38" i="18"/>
  <c r="O20" i="18"/>
  <c r="O16" i="18"/>
  <c r="O13" i="18"/>
  <c r="Q22" i="18"/>
  <c r="V22" i="18"/>
  <c r="M14" i="18"/>
  <c r="S22" i="18"/>
  <c r="T22" i="18"/>
  <c r="U22" i="18"/>
  <c r="L8" i="12"/>
  <c r="R2" i="102"/>
  <c r="W2" i="102"/>
  <c r="D20" i="69"/>
  <c r="H20" i="69" s="1"/>
  <c r="M20" i="69" s="1"/>
  <c r="S2" i="102"/>
  <c r="P2" i="102"/>
  <c r="T2" i="102"/>
  <c r="U2" i="102"/>
  <c r="N2" i="102"/>
  <c r="O2" i="102" s="1"/>
  <c r="V2" i="102"/>
  <c r="Q2" i="102"/>
  <c r="M10" i="18"/>
  <c r="U6" i="18"/>
  <c r="T6" i="18"/>
  <c r="S6" i="18"/>
  <c r="R6" i="18"/>
  <c r="Q6" i="18"/>
  <c r="P6" i="18"/>
  <c r="V6" i="18"/>
  <c r="N6" i="18"/>
  <c r="L6" i="18"/>
  <c r="M29" i="18"/>
  <c r="V23" i="18"/>
  <c r="N23" i="18"/>
  <c r="U23" i="18"/>
  <c r="T23" i="18"/>
  <c r="S23" i="18"/>
  <c r="R23" i="18"/>
  <c r="Q23" i="18"/>
  <c r="P23" i="18"/>
  <c r="L23" i="18"/>
  <c r="V17" i="18"/>
  <c r="N17" i="18"/>
  <c r="U17" i="18"/>
  <c r="T17" i="18"/>
  <c r="S17" i="18"/>
  <c r="R17" i="18"/>
  <c r="Q17" i="18"/>
  <c r="P17" i="18"/>
  <c r="L17" i="18"/>
  <c r="M11" i="18"/>
  <c r="V9" i="18"/>
  <c r="N9" i="18"/>
  <c r="U9" i="18"/>
  <c r="R9" i="18"/>
  <c r="P9" i="18"/>
  <c r="T9" i="18"/>
  <c r="Q9" i="18"/>
  <c r="S9" i="18"/>
  <c r="U5" i="18"/>
  <c r="S5" i="18"/>
  <c r="T5" i="18"/>
  <c r="R5" i="18"/>
  <c r="Q5" i="18"/>
  <c r="P5" i="18"/>
  <c r="V5" i="18"/>
  <c r="N5" i="18"/>
  <c r="L5" i="18"/>
  <c r="W5" i="12"/>
  <c r="N5" i="12"/>
  <c r="O5" i="12" s="1"/>
  <c r="V5" i="12"/>
  <c r="T5" i="12"/>
  <c r="U5" i="12" s="1"/>
  <c r="S5" i="12"/>
  <c r="R5" i="12"/>
  <c r="Q5" i="12"/>
  <c r="P5" i="12"/>
  <c r="L5" i="12"/>
  <c r="W6" i="12"/>
  <c r="N6" i="12"/>
  <c r="O6" i="12" s="1"/>
  <c r="V6" i="12"/>
  <c r="T6" i="12"/>
  <c r="U6" i="12" s="1"/>
  <c r="S6" i="12"/>
  <c r="R6" i="12"/>
  <c r="Q6" i="12"/>
  <c r="P6" i="12"/>
  <c r="L6" i="12"/>
  <c r="W47" i="12"/>
  <c r="N47" i="12"/>
  <c r="O47" i="12" s="1"/>
  <c r="V47" i="12"/>
  <c r="T47" i="12"/>
  <c r="U47" i="12" s="1"/>
  <c r="S47" i="12"/>
  <c r="R47" i="12"/>
  <c r="Q47" i="12"/>
  <c r="P47" i="12"/>
  <c r="L47" i="12"/>
  <c r="W43" i="12"/>
  <c r="N43" i="12"/>
  <c r="O43" i="12" s="1"/>
  <c r="V43" i="12"/>
  <c r="T43" i="12"/>
  <c r="U43" i="12" s="1"/>
  <c r="S43" i="12"/>
  <c r="R43" i="12"/>
  <c r="Q43" i="12"/>
  <c r="P43" i="12"/>
  <c r="L43" i="12"/>
  <c r="W39" i="12"/>
  <c r="N39" i="12"/>
  <c r="O39" i="12" s="1"/>
  <c r="V39" i="12"/>
  <c r="T39" i="12"/>
  <c r="U39" i="12" s="1"/>
  <c r="S39" i="12"/>
  <c r="R39" i="12"/>
  <c r="Q39" i="12"/>
  <c r="P39" i="12"/>
  <c r="L39" i="12"/>
  <c r="W27" i="12"/>
  <c r="N27" i="12"/>
  <c r="O27" i="12" s="1"/>
  <c r="V27" i="12"/>
  <c r="T27" i="12"/>
  <c r="U27" i="12" s="1"/>
  <c r="S27" i="12"/>
  <c r="R27" i="12"/>
  <c r="Q27" i="12"/>
  <c r="P27" i="12"/>
  <c r="L27" i="12"/>
  <c r="W20" i="12"/>
  <c r="N20" i="12"/>
  <c r="O20" i="12" s="1"/>
  <c r="V20" i="12"/>
  <c r="T20" i="12"/>
  <c r="U20" i="12" s="1"/>
  <c r="S20" i="12"/>
  <c r="R20" i="12"/>
  <c r="Q20" i="12"/>
  <c r="P20" i="12"/>
  <c r="L20" i="12"/>
  <c r="W16" i="12"/>
  <c r="N16" i="12"/>
  <c r="O16" i="12" s="1"/>
  <c r="V16" i="12"/>
  <c r="T16" i="12"/>
  <c r="U16" i="12" s="1"/>
  <c r="S16" i="12"/>
  <c r="R16" i="12"/>
  <c r="Q16" i="12"/>
  <c r="P16" i="12"/>
  <c r="L16" i="12"/>
  <c r="W12" i="12"/>
  <c r="N12" i="12"/>
  <c r="O12" i="12" s="1"/>
  <c r="V12" i="12"/>
  <c r="T12" i="12"/>
  <c r="U12" i="12" s="1"/>
  <c r="S12" i="12"/>
  <c r="R12" i="12"/>
  <c r="Q12" i="12"/>
  <c r="P12" i="12"/>
  <c r="L12" i="12"/>
  <c r="R8" i="12"/>
  <c r="Q8" i="12"/>
  <c r="P8" i="12"/>
  <c r="N8" i="12"/>
  <c r="O8" i="12" s="1"/>
  <c r="V8" i="12"/>
  <c r="T8" i="12"/>
  <c r="U8" i="12" s="1"/>
  <c r="S8" i="12"/>
  <c r="W8" i="12"/>
  <c r="R14" i="18" l="1"/>
  <c r="O6" i="18"/>
  <c r="O9" i="18"/>
  <c r="O5" i="18"/>
  <c r="S14" i="18"/>
  <c r="O17" i="18"/>
  <c r="O23" i="18"/>
  <c r="T14" i="18"/>
  <c r="U14" i="18"/>
  <c r="N14" i="18"/>
  <c r="P14" i="18"/>
  <c r="V14" i="18"/>
  <c r="Q14" i="18"/>
  <c r="V10" i="18"/>
  <c r="N10" i="18"/>
  <c r="T10" i="18"/>
  <c r="S10" i="18"/>
  <c r="R10" i="18"/>
  <c r="Q10" i="18"/>
  <c r="P10" i="18"/>
  <c r="U10" i="18"/>
  <c r="V29" i="18"/>
  <c r="N29" i="18"/>
  <c r="U29" i="18"/>
  <c r="T29" i="18"/>
  <c r="S29" i="18"/>
  <c r="R29" i="18"/>
  <c r="Q29" i="18"/>
  <c r="P29" i="18"/>
  <c r="V11" i="18"/>
  <c r="N11" i="18"/>
  <c r="U11" i="18"/>
  <c r="T11" i="18"/>
  <c r="S11" i="18"/>
  <c r="R11" i="18"/>
  <c r="Q11" i="18"/>
  <c r="P11" i="18"/>
  <c r="V20" i="69"/>
  <c r="N20" i="69"/>
  <c r="O20" i="69" s="1"/>
  <c r="P20" i="69"/>
  <c r="U20" i="69"/>
  <c r="T20" i="69"/>
  <c r="R20" i="69"/>
  <c r="Q20" i="69"/>
  <c r="S20" i="69"/>
  <c r="L20" i="69"/>
  <c r="O11" i="18" l="1"/>
  <c r="O14" i="18"/>
  <c r="O29" i="18"/>
  <c r="O10" i="18"/>
  <c r="I22" i="69"/>
  <c r="E22" i="69"/>
  <c r="B22" i="69"/>
  <c r="C22" i="69" s="1"/>
  <c r="G22" i="69" s="1"/>
  <c r="I23" i="69"/>
  <c r="E23" i="69"/>
  <c r="B23" i="69"/>
  <c r="C23" i="69" s="1"/>
  <c r="G23" i="69" s="1"/>
  <c r="I15" i="69"/>
  <c r="E15" i="69"/>
  <c r="B15" i="69"/>
  <c r="C15" i="69" s="1"/>
  <c r="G15" i="69" s="1"/>
  <c r="I16" i="69"/>
  <c r="E16" i="69"/>
  <c r="B16" i="69"/>
  <c r="C16" i="69" s="1"/>
  <c r="G16" i="69" s="1"/>
  <c r="I17" i="69"/>
  <c r="E17" i="69"/>
  <c r="B17" i="69"/>
  <c r="C17" i="69" s="1"/>
  <c r="G17" i="69" s="1"/>
  <c r="I13" i="69"/>
  <c r="E13" i="69"/>
  <c r="B13" i="69"/>
  <c r="C13" i="69" s="1"/>
  <c r="G13" i="69" s="1"/>
  <c r="I12" i="69"/>
  <c r="E12" i="69"/>
  <c r="B12" i="69"/>
  <c r="C12" i="69" s="1"/>
  <c r="G12" i="69" s="1"/>
  <c r="I11" i="69"/>
  <c r="E11" i="69"/>
  <c r="B11" i="69"/>
  <c r="C11" i="69" s="1"/>
  <c r="G11" i="69" s="1"/>
  <c r="I10" i="69"/>
  <c r="E10" i="69"/>
  <c r="B10" i="69"/>
  <c r="C10" i="69" s="1"/>
  <c r="G10" i="69" s="1"/>
  <c r="I9" i="69"/>
  <c r="E9" i="69"/>
  <c r="B9" i="69"/>
  <c r="C9" i="69" s="1"/>
  <c r="G9" i="69" s="1"/>
  <c r="I8" i="69"/>
  <c r="E8" i="69"/>
  <c r="B8" i="69"/>
  <c r="C8" i="69" s="1"/>
  <c r="G8" i="69" s="1"/>
  <c r="I7" i="69"/>
  <c r="E7" i="69"/>
  <c r="B7" i="69"/>
  <c r="C7" i="69" s="1"/>
  <c r="G7" i="69" s="1"/>
  <c r="I6" i="69"/>
  <c r="E6" i="69"/>
  <c r="B6" i="69"/>
  <c r="C6" i="69" s="1"/>
  <c r="G6" i="69" s="1"/>
  <c r="I25" i="69"/>
  <c r="E25" i="69"/>
  <c r="B25" i="69"/>
  <c r="C25" i="69" s="1"/>
  <c r="G25" i="69" s="1"/>
  <c r="I24" i="69"/>
  <c r="E24" i="69"/>
  <c r="B24" i="69"/>
  <c r="C24" i="69" s="1"/>
  <c r="G24" i="69" s="1"/>
  <c r="I21" i="69"/>
  <c r="E21" i="69"/>
  <c r="B21" i="69"/>
  <c r="C21" i="69" s="1"/>
  <c r="G21" i="69" s="1"/>
  <c r="I19" i="69"/>
  <c r="E19" i="69"/>
  <c r="B19" i="69"/>
  <c r="C19" i="69" s="1"/>
  <c r="G19" i="69" s="1"/>
  <c r="I18" i="69"/>
  <c r="E18" i="69"/>
  <c r="B18" i="69"/>
  <c r="C18" i="69" s="1"/>
  <c r="G18" i="69" s="1"/>
  <c r="D17" i="69" l="1"/>
  <c r="D25" i="69"/>
  <c r="D15" i="69"/>
  <c r="H15" i="69" s="1"/>
  <c r="M15" i="69" s="1"/>
  <c r="D8" i="69"/>
  <c r="H8" i="69" s="1"/>
  <c r="M8" i="69" s="1"/>
  <c r="D10" i="69"/>
  <c r="H10" i="69" s="1"/>
  <c r="M10" i="69" s="1"/>
  <c r="D24" i="69"/>
  <c r="H24" i="69" s="1"/>
  <c r="L24" i="69" s="1"/>
  <c r="D13" i="69"/>
  <c r="H13" i="69" s="1"/>
  <c r="D7" i="69"/>
  <c r="H7" i="69" s="1"/>
  <c r="M7" i="69" s="1"/>
  <c r="D9" i="69"/>
  <c r="H9" i="69" s="1"/>
  <c r="L9" i="69" s="1"/>
  <c r="D11" i="69"/>
  <c r="H11" i="69" s="1"/>
  <c r="L11" i="69" s="1"/>
  <c r="D21" i="69"/>
  <c r="H21" i="69" s="1"/>
  <c r="M21" i="69" s="1"/>
  <c r="D22" i="69"/>
  <c r="H22" i="69" s="1"/>
  <c r="M22" i="69" s="1"/>
  <c r="D23" i="69"/>
  <c r="H23" i="69" s="1"/>
  <c r="D16" i="69"/>
  <c r="H16" i="69" s="1"/>
  <c r="M16" i="69" s="1"/>
  <c r="H17" i="69"/>
  <c r="M17" i="69" s="1"/>
  <c r="D12" i="69"/>
  <c r="H12" i="69" s="1"/>
  <c r="D6" i="69"/>
  <c r="H6" i="69" s="1"/>
  <c r="H25" i="69"/>
  <c r="M25" i="69" s="1"/>
  <c r="D19" i="69"/>
  <c r="H19" i="69" s="1"/>
  <c r="D18" i="69"/>
  <c r="H18" i="69" s="1"/>
  <c r="M13" i="69" l="1"/>
  <c r="R13" i="69" s="1"/>
  <c r="L13" i="69"/>
  <c r="L7" i="69"/>
  <c r="V22" i="69"/>
  <c r="N22" i="69"/>
  <c r="O22" i="69" s="1"/>
  <c r="U22" i="69"/>
  <c r="T22" i="69"/>
  <c r="S22" i="69"/>
  <c r="R22" i="69"/>
  <c r="Q22" i="69"/>
  <c r="P22" i="69"/>
  <c r="L22" i="69"/>
  <c r="M23" i="69"/>
  <c r="L23" i="69"/>
  <c r="V15" i="69"/>
  <c r="N15" i="69"/>
  <c r="O15" i="69" s="1"/>
  <c r="U15" i="69"/>
  <c r="T15" i="69"/>
  <c r="S15" i="69"/>
  <c r="R15" i="69"/>
  <c r="Q15" i="69"/>
  <c r="P15" i="69"/>
  <c r="L15" i="69"/>
  <c r="V16" i="69"/>
  <c r="N16" i="69"/>
  <c r="O16" i="69" s="1"/>
  <c r="U16" i="69"/>
  <c r="Q16" i="69"/>
  <c r="P16" i="69"/>
  <c r="T16" i="69"/>
  <c r="S16" i="69"/>
  <c r="R16" i="69"/>
  <c r="L16" i="69"/>
  <c r="V17" i="69"/>
  <c r="N17" i="69"/>
  <c r="O17" i="69" s="1"/>
  <c r="U17" i="69"/>
  <c r="P17" i="69"/>
  <c r="T17" i="69"/>
  <c r="S17" i="69"/>
  <c r="R17" i="69"/>
  <c r="Q17" i="69"/>
  <c r="L17" i="69"/>
  <c r="V13" i="69"/>
  <c r="M12" i="69"/>
  <c r="L12" i="69"/>
  <c r="M11" i="69"/>
  <c r="V10" i="69"/>
  <c r="N10" i="69"/>
  <c r="O10" i="69" s="1"/>
  <c r="R10" i="69"/>
  <c r="U10" i="69"/>
  <c r="T10" i="69"/>
  <c r="S10" i="69"/>
  <c r="Q10" i="69"/>
  <c r="P10" i="69"/>
  <c r="L10" i="69"/>
  <c r="M9" i="69"/>
  <c r="V8" i="69"/>
  <c r="N8" i="69"/>
  <c r="O8" i="69" s="1"/>
  <c r="U8" i="69"/>
  <c r="S8" i="69"/>
  <c r="T8" i="69"/>
  <c r="R8" i="69"/>
  <c r="Q8" i="69"/>
  <c r="P8" i="69"/>
  <c r="L8" i="69"/>
  <c r="V7" i="69"/>
  <c r="N7" i="69"/>
  <c r="O7" i="69" s="1"/>
  <c r="R7" i="69"/>
  <c r="U7" i="69"/>
  <c r="T7" i="69"/>
  <c r="S7" i="69"/>
  <c r="Q7" i="69"/>
  <c r="P7" i="69"/>
  <c r="M6" i="69"/>
  <c r="L6" i="69"/>
  <c r="V25" i="69"/>
  <c r="N25" i="69"/>
  <c r="O25" i="69" s="1"/>
  <c r="U25" i="69"/>
  <c r="T25" i="69"/>
  <c r="S25" i="69"/>
  <c r="R25" i="69"/>
  <c r="Q25" i="69"/>
  <c r="P25" i="69"/>
  <c r="L25" i="69"/>
  <c r="M24" i="69"/>
  <c r="V21" i="69"/>
  <c r="N21" i="69"/>
  <c r="O21" i="69" s="1"/>
  <c r="U21" i="69"/>
  <c r="T21" i="69"/>
  <c r="S21" i="69"/>
  <c r="R21" i="69"/>
  <c r="Q21" i="69"/>
  <c r="P21" i="69"/>
  <c r="L21" i="69"/>
  <c r="M19" i="69"/>
  <c r="L19" i="69"/>
  <c r="M18" i="69"/>
  <c r="L18" i="69"/>
  <c r="P13" i="69" l="1"/>
  <c r="T13" i="69"/>
  <c r="U13" i="69"/>
  <c r="S13" i="69"/>
  <c r="N13" i="69"/>
  <c r="O13" i="69" s="1"/>
  <c r="Q13" i="69"/>
  <c r="V23" i="69"/>
  <c r="N23" i="69"/>
  <c r="O23" i="69" s="1"/>
  <c r="U23" i="69"/>
  <c r="S23" i="69"/>
  <c r="T23" i="69"/>
  <c r="R23" i="69"/>
  <c r="Q23" i="69"/>
  <c r="P23" i="69"/>
  <c r="V12" i="69"/>
  <c r="N12" i="69"/>
  <c r="O12" i="69" s="1"/>
  <c r="U12" i="69"/>
  <c r="T12" i="69"/>
  <c r="S12" i="69"/>
  <c r="Q12" i="69"/>
  <c r="P12" i="69"/>
  <c r="R12" i="69"/>
  <c r="V11" i="69"/>
  <c r="N11" i="69"/>
  <c r="O11" i="69" s="1"/>
  <c r="U11" i="69"/>
  <c r="T11" i="69"/>
  <c r="S11" i="69"/>
  <c r="R11" i="69"/>
  <c r="Q11" i="69"/>
  <c r="P11" i="69"/>
  <c r="V9" i="69"/>
  <c r="N9" i="69"/>
  <c r="O9" i="69" s="1"/>
  <c r="T9" i="69"/>
  <c r="S9" i="69"/>
  <c r="U9" i="69"/>
  <c r="R9" i="69"/>
  <c r="Q9" i="69"/>
  <c r="P9" i="69"/>
  <c r="V6" i="69"/>
  <c r="N6" i="69"/>
  <c r="O6" i="69" s="1"/>
  <c r="U6" i="69"/>
  <c r="R6" i="69"/>
  <c r="Q6" i="69"/>
  <c r="P6" i="69"/>
  <c r="T6" i="69"/>
  <c r="S6" i="69"/>
  <c r="V24" i="69"/>
  <c r="N24" i="69"/>
  <c r="O24" i="69" s="1"/>
  <c r="T24" i="69"/>
  <c r="S24" i="69"/>
  <c r="U24" i="69"/>
  <c r="R24" i="69"/>
  <c r="Q24" i="69"/>
  <c r="P24" i="69"/>
  <c r="V19" i="69"/>
  <c r="N19" i="69"/>
  <c r="O19" i="69" s="1"/>
  <c r="U19" i="69"/>
  <c r="T19" i="69"/>
  <c r="R19" i="69"/>
  <c r="Q19" i="69"/>
  <c r="P19" i="69"/>
  <c r="S19" i="69"/>
  <c r="V18" i="69"/>
  <c r="N18" i="69"/>
  <c r="O18" i="69" s="1"/>
  <c r="U18" i="69"/>
  <c r="S18" i="69"/>
  <c r="Q18" i="69"/>
  <c r="P18" i="69"/>
  <c r="T18" i="69"/>
  <c r="R18" i="69"/>
  <c r="H11" i="50" l="1"/>
  <c r="B11" i="50"/>
  <c r="D11" i="50" s="1"/>
  <c r="H10" i="50"/>
  <c r="B10" i="50"/>
  <c r="C10" i="50" s="1"/>
  <c r="E10" i="50" s="1"/>
  <c r="H9" i="50"/>
  <c r="B9" i="50"/>
  <c r="D9" i="50" s="1"/>
  <c r="H8" i="50"/>
  <c r="B8" i="50"/>
  <c r="H7" i="50"/>
  <c r="B7" i="50"/>
  <c r="C7" i="50" s="1"/>
  <c r="E7" i="50" s="1"/>
  <c r="H6" i="50"/>
  <c r="B6" i="50"/>
  <c r="C6" i="50" s="1"/>
  <c r="E6" i="50" s="1"/>
  <c r="H5" i="50"/>
  <c r="B5" i="50"/>
  <c r="H4" i="50"/>
  <c r="B4" i="50"/>
  <c r="D4" i="50" s="1"/>
  <c r="H3" i="50"/>
  <c r="B3" i="50"/>
  <c r="D3" i="50" s="1"/>
  <c r="D7" i="50" l="1"/>
  <c r="F7" i="50" s="1"/>
  <c r="M7" i="50" s="1"/>
  <c r="W7" i="50" s="1"/>
  <c r="D10" i="50"/>
  <c r="F10" i="50" s="1"/>
  <c r="L10" i="50" s="1"/>
  <c r="C11" i="50"/>
  <c r="E11" i="50" s="1"/>
  <c r="C3" i="50"/>
  <c r="E3" i="50" s="1"/>
  <c r="F3" i="50" s="1"/>
  <c r="D6" i="50"/>
  <c r="F6" i="50" s="1"/>
  <c r="L6" i="50" s="1"/>
  <c r="D8" i="50"/>
  <c r="C8" i="50"/>
  <c r="E8" i="50" s="1"/>
  <c r="C4" i="50"/>
  <c r="E4" i="50" s="1"/>
  <c r="C9" i="50"/>
  <c r="E9" i="50" s="1"/>
  <c r="D5" i="50"/>
  <c r="C5" i="50"/>
  <c r="E5" i="50" s="1"/>
  <c r="H18" i="49"/>
  <c r="B18" i="49"/>
  <c r="D18" i="49" s="1"/>
  <c r="H118" i="49"/>
  <c r="B118" i="49"/>
  <c r="D118" i="49" s="1"/>
  <c r="H119" i="49"/>
  <c r="B119" i="49"/>
  <c r="D119" i="49" s="1"/>
  <c r="H120" i="49"/>
  <c r="B120" i="49"/>
  <c r="D120" i="49" s="1"/>
  <c r="H121" i="49"/>
  <c r="B121" i="49"/>
  <c r="D121" i="49" s="1"/>
  <c r="H68" i="49"/>
  <c r="B68" i="49"/>
  <c r="D68" i="49" s="1"/>
  <c r="H74" i="49"/>
  <c r="B74" i="49"/>
  <c r="D74" i="49" s="1"/>
  <c r="H99" i="49"/>
  <c r="B99" i="49"/>
  <c r="D99" i="49" s="1"/>
  <c r="H100" i="49"/>
  <c r="B100" i="49"/>
  <c r="D100" i="49" s="1"/>
  <c r="H58" i="49"/>
  <c r="B58" i="49"/>
  <c r="D58" i="49" s="1"/>
  <c r="H93" i="49"/>
  <c r="B93" i="49"/>
  <c r="D93" i="49" s="1"/>
  <c r="H86" i="49"/>
  <c r="B86" i="49"/>
  <c r="D86" i="49" s="1"/>
  <c r="H87" i="49"/>
  <c r="B87" i="49"/>
  <c r="D87" i="49" s="1"/>
  <c r="H63" i="49"/>
  <c r="B63" i="49"/>
  <c r="D63" i="49" s="1"/>
  <c r="H54" i="49"/>
  <c r="B54" i="49"/>
  <c r="D54" i="49" s="1"/>
  <c r="H80" i="49"/>
  <c r="B80" i="49"/>
  <c r="D80" i="49" s="1"/>
  <c r="H50" i="49"/>
  <c r="B50" i="49"/>
  <c r="D50" i="49" s="1"/>
  <c r="H69" i="49"/>
  <c r="B69" i="49"/>
  <c r="D69" i="49" s="1"/>
  <c r="H76" i="49"/>
  <c r="B76" i="49"/>
  <c r="D76" i="49" s="1"/>
  <c r="H75" i="49"/>
  <c r="B75" i="49"/>
  <c r="C75" i="49" s="1"/>
  <c r="E75" i="49" s="1"/>
  <c r="H59" i="49"/>
  <c r="B59" i="49"/>
  <c r="D59" i="49" s="1"/>
  <c r="H64" i="49"/>
  <c r="B64" i="49"/>
  <c r="D64" i="49" s="1"/>
  <c r="H113" i="49"/>
  <c r="B113" i="49"/>
  <c r="D113" i="49" s="1"/>
  <c r="H114" i="49"/>
  <c r="B114" i="49"/>
  <c r="D114" i="49" s="1"/>
  <c r="H94" i="49"/>
  <c r="B94" i="49"/>
  <c r="D94" i="49" s="1"/>
  <c r="H81" i="49"/>
  <c r="B81" i="49"/>
  <c r="D81" i="49" s="1"/>
  <c r="H105" i="49"/>
  <c r="B105" i="49"/>
  <c r="D105" i="49" s="1"/>
  <c r="H70" i="49"/>
  <c r="B70" i="49"/>
  <c r="D70" i="49" s="1"/>
  <c r="H82" i="49"/>
  <c r="B82" i="49"/>
  <c r="D82" i="49" s="1"/>
  <c r="H101" i="49"/>
  <c r="B101" i="49"/>
  <c r="D101" i="49" s="1"/>
  <c r="H95" i="49"/>
  <c r="B95" i="49"/>
  <c r="D95" i="49" s="1"/>
  <c r="H88" i="49"/>
  <c r="B88" i="49"/>
  <c r="D88" i="49" s="1"/>
  <c r="C54" i="49" l="1"/>
  <c r="E54" i="49" s="1"/>
  <c r="F54" i="49" s="1"/>
  <c r="L54" i="49" s="1"/>
  <c r="D75" i="49"/>
  <c r="C68" i="49"/>
  <c r="E68" i="49" s="1"/>
  <c r="C119" i="49"/>
  <c r="E119" i="49" s="1"/>
  <c r="F119" i="49" s="1"/>
  <c r="M119" i="49" s="1"/>
  <c r="C100" i="49"/>
  <c r="E100" i="49" s="1"/>
  <c r="F100" i="49" s="1"/>
  <c r="M100" i="49" s="1"/>
  <c r="C74" i="49"/>
  <c r="E74" i="49" s="1"/>
  <c r="F74" i="49" s="1"/>
  <c r="L74" i="49" s="1"/>
  <c r="C121" i="49"/>
  <c r="E121" i="49" s="1"/>
  <c r="F121" i="49" s="1"/>
  <c r="L121" i="49" s="1"/>
  <c r="C18" i="49"/>
  <c r="E18" i="49" s="1"/>
  <c r="F18" i="49" s="1"/>
  <c r="M18" i="49" s="1"/>
  <c r="F11" i="50"/>
  <c r="L11" i="50" s="1"/>
  <c r="M3" i="50"/>
  <c r="W3" i="50" s="1"/>
  <c r="L7" i="50"/>
  <c r="L3" i="50"/>
  <c r="M6" i="50"/>
  <c r="W6" i="50" s="1"/>
  <c r="V7" i="50"/>
  <c r="N7" i="50"/>
  <c r="O7" i="50" s="1"/>
  <c r="U7" i="50"/>
  <c r="R7" i="50"/>
  <c r="S7" i="50"/>
  <c r="Q7" i="50"/>
  <c r="P7" i="50"/>
  <c r="T7" i="50"/>
  <c r="F5" i="50"/>
  <c r="L5" i="50" s="1"/>
  <c r="F9" i="50"/>
  <c r="L9" i="50" s="1"/>
  <c r="F8" i="50"/>
  <c r="M8" i="50" s="1"/>
  <c r="W8" i="50" s="1"/>
  <c r="F4" i="50"/>
  <c r="M4" i="50" s="1"/>
  <c r="W4" i="50" s="1"/>
  <c r="M10" i="50"/>
  <c r="W10" i="50" s="1"/>
  <c r="C118" i="49"/>
  <c r="E118" i="49" s="1"/>
  <c r="C120" i="49"/>
  <c r="E120" i="49" s="1"/>
  <c r="F68" i="49"/>
  <c r="M68" i="49" s="1"/>
  <c r="C99" i="49"/>
  <c r="E99" i="49" s="1"/>
  <c r="C58" i="49"/>
  <c r="E58" i="49" s="1"/>
  <c r="C93" i="49"/>
  <c r="E93" i="49" s="1"/>
  <c r="C86" i="49"/>
  <c r="E86" i="49" s="1"/>
  <c r="C87" i="49"/>
  <c r="E87" i="49" s="1"/>
  <c r="C63" i="49"/>
  <c r="E63" i="49" s="1"/>
  <c r="C80" i="49"/>
  <c r="E80" i="49" s="1"/>
  <c r="C50" i="49"/>
  <c r="E50" i="49" s="1"/>
  <c r="C69" i="49"/>
  <c r="E69" i="49" s="1"/>
  <c r="C76" i="49"/>
  <c r="E76" i="49" s="1"/>
  <c r="F75" i="49"/>
  <c r="L75" i="49" s="1"/>
  <c r="C59" i="49"/>
  <c r="E59" i="49" s="1"/>
  <c r="C64" i="49"/>
  <c r="E64" i="49" s="1"/>
  <c r="C113" i="49"/>
  <c r="E113" i="49" s="1"/>
  <c r="C114" i="49"/>
  <c r="E114" i="49" s="1"/>
  <c r="C94" i="49"/>
  <c r="E94" i="49" s="1"/>
  <c r="C81" i="49"/>
  <c r="E81" i="49" s="1"/>
  <c r="C105" i="49"/>
  <c r="E105" i="49" s="1"/>
  <c r="C70" i="49"/>
  <c r="E70" i="49" s="1"/>
  <c r="C82" i="49"/>
  <c r="E82" i="49" s="1"/>
  <c r="C101" i="49"/>
  <c r="E101" i="49" s="1"/>
  <c r="C95" i="49"/>
  <c r="E95" i="49" s="1"/>
  <c r="C88" i="49"/>
  <c r="E88" i="49" s="1"/>
  <c r="H43" i="49"/>
  <c r="B43" i="49"/>
  <c r="D43" i="49" s="1"/>
  <c r="H5" i="49"/>
  <c r="B5" i="49"/>
  <c r="D5" i="49" s="1"/>
  <c r="H4" i="49"/>
  <c r="B4" i="49"/>
  <c r="D4" i="49" s="1"/>
  <c r="H3" i="49"/>
  <c r="B3" i="49"/>
  <c r="D3" i="49" s="1"/>
  <c r="H6" i="49"/>
  <c r="B6" i="49"/>
  <c r="C6" i="49" s="1"/>
  <c r="E6" i="49" s="1"/>
  <c r="H7" i="49"/>
  <c r="B7" i="49"/>
  <c r="D7" i="49" s="1"/>
  <c r="H8" i="49"/>
  <c r="B8" i="49"/>
  <c r="D8" i="49" s="1"/>
  <c r="H34" i="49"/>
  <c r="B34" i="49"/>
  <c r="D34" i="49" s="1"/>
  <c r="H31" i="49"/>
  <c r="B31" i="49"/>
  <c r="C31" i="49" s="1"/>
  <c r="E31" i="49" s="1"/>
  <c r="H28" i="49"/>
  <c r="B28" i="49"/>
  <c r="D28" i="49" s="1"/>
  <c r="H25" i="49"/>
  <c r="B25" i="49"/>
  <c r="C25" i="49" s="1"/>
  <c r="E25" i="49" s="1"/>
  <c r="H22" i="49"/>
  <c r="B22" i="49"/>
  <c r="C22" i="49" s="1"/>
  <c r="E22" i="49" s="1"/>
  <c r="H19" i="49"/>
  <c r="B19" i="49"/>
  <c r="C19" i="49" s="1"/>
  <c r="E19" i="49" s="1"/>
  <c r="H15" i="49"/>
  <c r="B15" i="49"/>
  <c r="D15" i="49" s="1"/>
  <c r="H12" i="49"/>
  <c r="B12" i="49"/>
  <c r="C12" i="49" s="1"/>
  <c r="E12" i="49" s="1"/>
  <c r="H9" i="49"/>
  <c r="B9" i="49"/>
  <c r="D9" i="49" s="1"/>
  <c r="H115" i="49"/>
  <c r="B115" i="49"/>
  <c r="D115" i="49" s="1"/>
  <c r="H106" i="49"/>
  <c r="B106" i="49"/>
  <c r="D106" i="49" s="1"/>
  <c r="H102" i="49"/>
  <c r="B102" i="49"/>
  <c r="D102" i="49" s="1"/>
  <c r="H96" i="49"/>
  <c r="B96" i="49"/>
  <c r="C96" i="49" s="1"/>
  <c r="E96" i="49" s="1"/>
  <c r="H89" i="49"/>
  <c r="B89" i="49"/>
  <c r="D89" i="49" s="1"/>
  <c r="H83" i="49"/>
  <c r="B83" i="49"/>
  <c r="D83" i="49" s="1"/>
  <c r="H77" i="49"/>
  <c r="B77" i="49"/>
  <c r="D77" i="49" s="1"/>
  <c r="H71" i="49"/>
  <c r="B71" i="49"/>
  <c r="D71" i="49" s="1"/>
  <c r="H65" i="49"/>
  <c r="B65" i="49"/>
  <c r="C65" i="49" s="1"/>
  <c r="E65" i="49" s="1"/>
  <c r="H60" i="49"/>
  <c r="B60" i="49"/>
  <c r="D60" i="49" s="1"/>
  <c r="H55" i="49"/>
  <c r="B55" i="49"/>
  <c r="C55" i="49" s="1"/>
  <c r="E55" i="49" s="1"/>
  <c r="H51" i="49"/>
  <c r="B51" i="49"/>
  <c r="D51" i="49" s="1"/>
  <c r="H47" i="49"/>
  <c r="B47" i="49"/>
  <c r="C47" i="49" s="1"/>
  <c r="E47" i="49" s="1"/>
  <c r="H44" i="49"/>
  <c r="B44" i="49"/>
  <c r="D44" i="49" s="1"/>
  <c r="H40" i="49"/>
  <c r="B40" i="49"/>
  <c r="C40" i="49" s="1"/>
  <c r="E40" i="49" s="1"/>
  <c r="H37" i="49"/>
  <c r="B37" i="49"/>
  <c r="D37" i="49" s="1"/>
  <c r="H116" i="49"/>
  <c r="B116" i="49"/>
  <c r="D116" i="49" s="1"/>
  <c r="H107" i="49"/>
  <c r="B107" i="49"/>
  <c r="D107" i="49" s="1"/>
  <c r="H103" i="49"/>
  <c r="B103" i="49"/>
  <c r="D103" i="49" s="1"/>
  <c r="H97" i="49"/>
  <c r="B97" i="49"/>
  <c r="D97" i="49" s="1"/>
  <c r="H90" i="49"/>
  <c r="B90" i="49"/>
  <c r="C90" i="49" s="1"/>
  <c r="E90" i="49" s="1"/>
  <c r="H16" i="49"/>
  <c r="B16" i="49"/>
  <c r="C16" i="49" s="1"/>
  <c r="E16" i="49" s="1"/>
  <c r="H10" i="49"/>
  <c r="B10" i="49"/>
  <c r="D10" i="49" s="1"/>
  <c r="H13" i="49"/>
  <c r="B13" i="49"/>
  <c r="D13" i="49" s="1"/>
  <c r="H20" i="49"/>
  <c r="B20" i="49"/>
  <c r="D20" i="49" s="1"/>
  <c r="H23" i="49"/>
  <c r="B23" i="49"/>
  <c r="D23" i="49" s="1"/>
  <c r="H26" i="49"/>
  <c r="B26" i="49"/>
  <c r="D26" i="49" s="1"/>
  <c r="H29" i="49"/>
  <c r="B29" i="49"/>
  <c r="D29" i="49" s="1"/>
  <c r="H32" i="49"/>
  <c r="B32" i="49"/>
  <c r="D32" i="49" s="1"/>
  <c r="H35" i="49"/>
  <c r="B35" i="49"/>
  <c r="D35" i="49" s="1"/>
  <c r="H38" i="49"/>
  <c r="B38" i="49"/>
  <c r="D38" i="49" s="1"/>
  <c r="H41" i="49"/>
  <c r="B41" i="49"/>
  <c r="D41" i="49" s="1"/>
  <c r="H48" i="49"/>
  <c r="B48" i="49"/>
  <c r="D48" i="49" s="1"/>
  <c r="H52" i="49"/>
  <c r="B52" i="49"/>
  <c r="D52" i="49" s="1"/>
  <c r="H56" i="49"/>
  <c r="B56" i="49"/>
  <c r="D56" i="49" s="1"/>
  <c r="H61" i="49"/>
  <c r="B61" i="49"/>
  <c r="D61" i="49" s="1"/>
  <c r="H66" i="49"/>
  <c r="B66" i="49"/>
  <c r="D66" i="49" s="1"/>
  <c r="H72" i="49"/>
  <c r="B72" i="49"/>
  <c r="D72" i="49" s="1"/>
  <c r="H78" i="49"/>
  <c r="B78" i="49"/>
  <c r="D78" i="49" s="1"/>
  <c r="H84" i="49"/>
  <c r="B84" i="49"/>
  <c r="D84" i="49" s="1"/>
  <c r="B45" i="49"/>
  <c r="C45" i="49" s="1"/>
  <c r="E45" i="49" s="1"/>
  <c r="H45" i="49"/>
  <c r="AC18" i="49" l="1"/>
  <c r="AB18" i="49"/>
  <c r="AA18" i="49"/>
  <c r="Z18" i="49"/>
  <c r="Y18" i="49"/>
  <c r="AC119" i="49"/>
  <c r="AB119" i="49"/>
  <c r="Y119" i="49"/>
  <c r="AA119" i="49"/>
  <c r="Z119" i="49"/>
  <c r="AC68" i="49"/>
  <c r="AB68" i="49"/>
  <c r="AA68" i="49"/>
  <c r="Z68" i="49"/>
  <c r="Y68" i="49"/>
  <c r="AC100" i="49"/>
  <c r="AB100" i="49"/>
  <c r="Z100" i="49"/>
  <c r="Y100" i="49"/>
  <c r="AA100" i="49"/>
  <c r="D31" i="49"/>
  <c r="L119" i="49"/>
  <c r="L68" i="49"/>
  <c r="M9" i="50"/>
  <c r="W9" i="50" s="1"/>
  <c r="Q6" i="50"/>
  <c r="T6" i="50"/>
  <c r="M11" i="50"/>
  <c r="U11" i="50" s="1"/>
  <c r="L4" i="50"/>
  <c r="R6" i="50"/>
  <c r="M5" i="50"/>
  <c r="W5" i="50" s="1"/>
  <c r="U6" i="50"/>
  <c r="T3" i="50"/>
  <c r="S6" i="50"/>
  <c r="Q3" i="50"/>
  <c r="P3" i="50"/>
  <c r="N6" i="50"/>
  <c r="O6" i="50" s="1"/>
  <c r="R3" i="50"/>
  <c r="S3" i="50"/>
  <c r="V6" i="50"/>
  <c r="N3" i="50"/>
  <c r="O3" i="50" s="1"/>
  <c r="V3" i="50"/>
  <c r="U3" i="50"/>
  <c r="P6" i="50"/>
  <c r="U8" i="50"/>
  <c r="T8" i="50"/>
  <c r="Q8" i="50"/>
  <c r="N8" i="50"/>
  <c r="O8" i="50" s="1"/>
  <c r="V8" i="50"/>
  <c r="S8" i="50"/>
  <c r="P8" i="50"/>
  <c r="R8" i="50"/>
  <c r="L8" i="50"/>
  <c r="S10" i="50"/>
  <c r="R10" i="50"/>
  <c r="P10" i="50"/>
  <c r="N10" i="50"/>
  <c r="O10" i="50" s="1"/>
  <c r="V10" i="50"/>
  <c r="U10" i="50"/>
  <c r="Q10" i="50"/>
  <c r="T10" i="50"/>
  <c r="Q4" i="50"/>
  <c r="P4" i="50"/>
  <c r="U4" i="50"/>
  <c r="V4" i="50"/>
  <c r="T4" i="50"/>
  <c r="S4" i="50"/>
  <c r="R4" i="50"/>
  <c r="N4" i="50"/>
  <c r="O4" i="50" s="1"/>
  <c r="V18" i="49"/>
  <c r="N18" i="49"/>
  <c r="O18" i="49" s="1"/>
  <c r="R18" i="49"/>
  <c r="Q18" i="49"/>
  <c r="U18" i="49"/>
  <c r="T18" i="49"/>
  <c r="W18" i="49" s="1"/>
  <c r="S18" i="49"/>
  <c r="P18" i="49"/>
  <c r="L18" i="49"/>
  <c r="F118" i="49"/>
  <c r="M118" i="49" s="1"/>
  <c r="V119" i="49"/>
  <c r="N119" i="49"/>
  <c r="O119" i="49" s="1"/>
  <c r="R119" i="49"/>
  <c r="Q119" i="49"/>
  <c r="U119" i="49"/>
  <c r="T119" i="49"/>
  <c r="W119" i="49" s="1"/>
  <c r="S119" i="49"/>
  <c r="P119" i="49"/>
  <c r="F120" i="49"/>
  <c r="M120" i="49" s="1"/>
  <c r="M121" i="49"/>
  <c r="V68" i="49"/>
  <c r="N68" i="49"/>
  <c r="O68" i="49" s="1"/>
  <c r="R68" i="49"/>
  <c r="U68" i="49"/>
  <c r="T68" i="49"/>
  <c r="W68" i="49" s="1"/>
  <c r="S68" i="49"/>
  <c r="Q68" i="49"/>
  <c r="P68" i="49"/>
  <c r="M74" i="49"/>
  <c r="F99" i="49"/>
  <c r="M99" i="49" s="1"/>
  <c r="V100" i="49"/>
  <c r="N100" i="49"/>
  <c r="O100" i="49" s="1"/>
  <c r="U100" i="49"/>
  <c r="T100" i="49"/>
  <c r="W100" i="49" s="1"/>
  <c r="R100" i="49"/>
  <c r="Q100" i="49"/>
  <c r="P100" i="49"/>
  <c r="S100" i="49"/>
  <c r="L100" i="49"/>
  <c r="F58" i="49"/>
  <c r="M58" i="49" s="1"/>
  <c r="F93" i="49"/>
  <c r="M93" i="49" s="1"/>
  <c r="F86" i="49"/>
  <c r="M86" i="49" s="1"/>
  <c r="F87" i="49"/>
  <c r="M87" i="49" s="1"/>
  <c r="F63" i="49"/>
  <c r="M63" i="49" s="1"/>
  <c r="M54" i="49"/>
  <c r="F80" i="49"/>
  <c r="M80" i="49" s="1"/>
  <c r="F50" i="49"/>
  <c r="M50" i="49" s="1"/>
  <c r="F69" i="49"/>
  <c r="M69" i="49" s="1"/>
  <c r="F76" i="49"/>
  <c r="M76" i="49" s="1"/>
  <c r="M75" i="49"/>
  <c r="F59" i="49"/>
  <c r="M59" i="49" s="1"/>
  <c r="F64" i="49"/>
  <c r="M64" i="49" s="1"/>
  <c r="F113" i="49"/>
  <c r="M113" i="49" s="1"/>
  <c r="F114" i="49"/>
  <c r="M114" i="49" s="1"/>
  <c r="F94" i="49"/>
  <c r="M94" i="49" s="1"/>
  <c r="F81" i="49"/>
  <c r="M81" i="49" s="1"/>
  <c r="F105" i="49"/>
  <c r="M105" i="49" s="1"/>
  <c r="F70" i="49"/>
  <c r="M70" i="49" s="1"/>
  <c r="F82" i="49"/>
  <c r="M82" i="49" s="1"/>
  <c r="F101" i="49"/>
  <c r="M101" i="49" s="1"/>
  <c r="F95" i="49"/>
  <c r="M95" i="49" s="1"/>
  <c r="F88" i="49"/>
  <c r="L88" i="49" s="1"/>
  <c r="D55" i="49"/>
  <c r="F55" i="49" s="1"/>
  <c r="M55" i="49" s="1"/>
  <c r="D96" i="49"/>
  <c r="F96" i="49" s="1"/>
  <c r="M96" i="49" s="1"/>
  <c r="D19" i="49"/>
  <c r="F19" i="49" s="1"/>
  <c r="L19" i="49" s="1"/>
  <c r="D65" i="49"/>
  <c r="F65" i="49" s="1"/>
  <c r="L65" i="49" s="1"/>
  <c r="D25" i="49"/>
  <c r="F25" i="49" s="1"/>
  <c r="M25" i="49" s="1"/>
  <c r="D90" i="49"/>
  <c r="F90" i="49" s="1"/>
  <c r="M90" i="49" s="1"/>
  <c r="D12" i="49"/>
  <c r="F12" i="49" s="1"/>
  <c r="M12" i="49" s="1"/>
  <c r="D40" i="49"/>
  <c r="F40" i="49" s="1"/>
  <c r="M40" i="49" s="1"/>
  <c r="D47" i="49"/>
  <c r="F47" i="49" s="1"/>
  <c r="M47" i="49" s="1"/>
  <c r="C103" i="49"/>
  <c r="E103" i="49" s="1"/>
  <c r="C60" i="49"/>
  <c r="E60" i="49" s="1"/>
  <c r="F60" i="49" s="1"/>
  <c r="M60" i="49" s="1"/>
  <c r="C71" i="49"/>
  <c r="E71" i="49" s="1"/>
  <c r="F71" i="49" s="1"/>
  <c r="L71" i="49" s="1"/>
  <c r="C89" i="49"/>
  <c r="E89" i="49" s="1"/>
  <c r="F89" i="49" s="1"/>
  <c r="M89" i="49" s="1"/>
  <c r="C15" i="49"/>
  <c r="E15" i="49" s="1"/>
  <c r="F15" i="49" s="1"/>
  <c r="M15" i="49" s="1"/>
  <c r="D22" i="49"/>
  <c r="F22" i="49" s="1"/>
  <c r="M22" i="49" s="1"/>
  <c r="C43" i="49"/>
  <c r="E43" i="49" s="1"/>
  <c r="F43" i="49" s="1"/>
  <c r="M43" i="49" s="1"/>
  <c r="C37" i="49"/>
  <c r="E37" i="49" s="1"/>
  <c r="F37" i="49" s="1"/>
  <c r="M37" i="49" s="1"/>
  <c r="C44" i="49"/>
  <c r="E44" i="49" s="1"/>
  <c r="F44" i="49" s="1"/>
  <c r="L44" i="49" s="1"/>
  <c r="C106" i="49"/>
  <c r="E106" i="49" s="1"/>
  <c r="F106" i="49" s="1"/>
  <c r="L106" i="49" s="1"/>
  <c r="C3" i="49"/>
  <c r="E3" i="49" s="1"/>
  <c r="F3" i="49" s="1"/>
  <c r="M3" i="49" s="1"/>
  <c r="C5" i="49"/>
  <c r="E5" i="49" s="1"/>
  <c r="F5" i="49" s="1"/>
  <c r="M5" i="49" s="1"/>
  <c r="C8" i="49"/>
  <c r="E8" i="49" s="1"/>
  <c r="F8" i="49" s="1"/>
  <c r="M8" i="49" s="1"/>
  <c r="C4" i="49"/>
  <c r="E4" i="49" s="1"/>
  <c r="F4" i="49" s="1"/>
  <c r="M4" i="49" s="1"/>
  <c r="C34" i="49"/>
  <c r="E34" i="49" s="1"/>
  <c r="F34" i="49" s="1"/>
  <c r="M34" i="49" s="1"/>
  <c r="C116" i="49"/>
  <c r="E116" i="49" s="1"/>
  <c r="F116" i="49" s="1"/>
  <c r="M116" i="49" s="1"/>
  <c r="C115" i="49"/>
  <c r="E115" i="49" s="1"/>
  <c r="F115" i="49" s="1"/>
  <c r="M115" i="49" s="1"/>
  <c r="C28" i="49"/>
  <c r="E28" i="49" s="1"/>
  <c r="F28" i="49" s="1"/>
  <c r="M28" i="49" s="1"/>
  <c r="D6" i="49"/>
  <c r="F6" i="49" s="1"/>
  <c r="M6" i="49" s="1"/>
  <c r="C7" i="49"/>
  <c r="E7" i="49" s="1"/>
  <c r="F31" i="49"/>
  <c r="M31" i="49" s="1"/>
  <c r="C9" i="49"/>
  <c r="E9" i="49" s="1"/>
  <c r="C102" i="49"/>
  <c r="E102" i="49" s="1"/>
  <c r="C83" i="49"/>
  <c r="E83" i="49" s="1"/>
  <c r="C77" i="49"/>
  <c r="E77" i="49" s="1"/>
  <c r="C51" i="49"/>
  <c r="E51" i="49" s="1"/>
  <c r="C107" i="49"/>
  <c r="E107" i="49" s="1"/>
  <c r="F107" i="49" s="1"/>
  <c r="L107" i="49" s="1"/>
  <c r="F103" i="49"/>
  <c r="M103" i="49" s="1"/>
  <c r="C97" i="49"/>
  <c r="E97" i="49" s="1"/>
  <c r="D16" i="49"/>
  <c r="F16" i="49" s="1"/>
  <c r="C10" i="49"/>
  <c r="E10" i="49" s="1"/>
  <c r="C13" i="49"/>
  <c r="E13" i="49" s="1"/>
  <c r="C20" i="49"/>
  <c r="E20" i="49" s="1"/>
  <c r="C23" i="49"/>
  <c r="E23" i="49" s="1"/>
  <c r="C26" i="49"/>
  <c r="E26" i="49" s="1"/>
  <c r="C29" i="49"/>
  <c r="E29" i="49" s="1"/>
  <c r="C32" i="49"/>
  <c r="E32" i="49" s="1"/>
  <c r="C35" i="49"/>
  <c r="E35" i="49" s="1"/>
  <c r="C38" i="49"/>
  <c r="E38" i="49" s="1"/>
  <c r="C41" i="49"/>
  <c r="E41" i="49" s="1"/>
  <c r="C48" i="49"/>
  <c r="E48" i="49" s="1"/>
  <c r="C52" i="49"/>
  <c r="E52" i="49" s="1"/>
  <c r="C56" i="49"/>
  <c r="E56" i="49" s="1"/>
  <c r="C61" i="49"/>
  <c r="E61" i="49" s="1"/>
  <c r="C66" i="49"/>
  <c r="E66" i="49" s="1"/>
  <c r="C72" i="49"/>
  <c r="E72" i="49" s="1"/>
  <c r="C78" i="49"/>
  <c r="E78" i="49" s="1"/>
  <c r="C84" i="49"/>
  <c r="E84" i="49" s="1"/>
  <c r="D45" i="49"/>
  <c r="F45" i="49" s="1"/>
  <c r="L45" i="49" s="1"/>
  <c r="AC5" i="49" l="1"/>
  <c r="AB5" i="49"/>
  <c r="Z5" i="49"/>
  <c r="Y5" i="49"/>
  <c r="AA5" i="49"/>
  <c r="AC59" i="49"/>
  <c r="AB59" i="49"/>
  <c r="Z59" i="49"/>
  <c r="Y59" i="49"/>
  <c r="AA59" i="49"/>
  <c r="AC103" i="49"/>
  <c r="AB103" i="49"/>
  <c r="Y103" i="49"/>
  <c r="AA103" i="49"/>
  <c r="Z103" i="49"/>
  <c r="AC31" i="49"/>
  <c r="AB31" i="49"/>
  <c r="AA31" i="49"/>
  <c r="Z31" i="49"/>
  <c r="Y31" i="49"/>
  <c r="AC4" i="49"/>
  <c r="AB4" i="49"/>
  <c r="AA4" i="49"/>
  <c r="Z4" i="49"/>
  <c r="Y4" i="49"/>
  <c r="AC22" i="49"/>
  <c r="AB22" i="49"/>
  <c r="Y22" i="49"/>
  <c r="AA22" i="49"/>
  <c r="Z22" i="49"/>
  <c r="AC12" i="49"/>
  <c r="AB12" i="49"/>
  <c r="AA12" i="49"/>
  <c r="Z12" i="49"/>
  <c r="Y12" i="49"/>
  <c r="AC95" i="49"/>
  <c r="AB95" i="49"/>
  <c r="Y95" i="49"/>
  <c r="AA95" i="49"/>
  <c r="Z95" i="49"/>
  <c r="AC113" i="49"/>
  <c r="AB113" i="49"/>
  <c r="AA113" i="49"/>
  <c r="Z113" i="49"/>
  <c r="Y113" i="49"/>
  <c r="AC54" i="49"/>
  <c r="AB54" i="49"/>
  <c r="Y54" i="49"/>
  <c r="AA54" i="49"/>
  <c r="Z54" i="49"/>
  <c r="AC74" i="49"/>
  <c r="AB74" i="49"/>
  <c r="AA74" i="49"/>
  <c r="Z74" i="49"/>
  <c r="Y74" i="49"/>
  <c r="AC8" i="49"/>
  <c r="AB8" i="49"/>
  <c r="AA8" i="49"/>
  <c r="Y8" i="49"/>
  <c r="Z8" i="49"/>
  <c r="AC15" i="49"/>
  <c r="AB15" i="49"/>
  <c r="AA15" i="49"/>
  <c r="Z15" i="49"/>
  <c r="Y15" i="49"/>
  <c r="AC90" i="49"/>
  <c r="AB90" i="49"/>
  <c r="AA90" i="49"/>
  <c r="Z90" i="49"/>
  <c r="Y90" i="49"/>
  <c r="AC101" i="49"/>
  <c r="AB101" i="49"/>
  <c r="AA101" i="49"/>
  <c r="Z101" i="49"/>
  <c r="Y101" i="49"/>
  <c r="AC64" i="49"/>
  <c r="AB64" i="49"/>
  <c r="AA64" i="49"/>
  <c r="Z64" i="49"/>
  <c r="Y64" i="49"/>
  <c r="AC63" i="49"/>
  <c r="AB63" i="49"/>
  <c r="AA63" i="49"/>
  <c r="Z63" i="49"/>
  <c r="Y63" i="49"/>
  <c r="AC121" i="49"/>
  <c r="AB121" i="49"/>
  <c r="AA121" i="49"/>
  <c r="Z121" i="49"/>
  <c r="Y121" i="49"/>
  <c r="AC82" i="49"/>
  <c r="AB82" i="49"/>
  <c r="AA82" i="49"/>
  <c r="Z82" i="49"/>
  <c r="Y82" i="49"/>
  <c r="AC3" i="49"/>
  <c r="AB3" i="49"/>
  <c r="Z3" i="49"/>
  <c r="Y3" i="49"/>
  <c r="AA3" i="49"/>
  <c r="AC70" i="49"/>
  <c r="AB70" i="49"/>
  <c r="Y70" i="49"/>
  <c r="AA70" i="49"/>
  <c r="Z70" i="49"/>
  <c r="AC75" i="49"/>
  <c r="AB75" i="49"/>
  <c r="Z75" i="49"/>
  <c r="Y75" i="49"/>
  <c r="AA75" i="49"/>
  <c r="AC105" i="49"/>
  <c r="AB105" i="49"/>
  <c r="AA105" i="49"/>
  <c r="Z105" i="49"/>
  <c r="Y105" i="49"/>
  <c r="AC81" i="49"/>
  <c r="AB81" i="49"/>
  <c r="AA81" i="49"/>
  <c r="Z81" i="49"/>
  <c r="Y81" i="49"/>
  <c r="AC69" i="49"/>
  <c r="AB69" i="49"/>
  <c r="AA69" i="49"/>
  <c r="Z69" i="49"/>
  <c r="Y69" i="49"/>
  <c r="AC58" i="49"/>
  <c r="AB58" i="49"/>
  <c r="AA58" i="49"/>
  <c r="Z58" i="49"/>
  <c r="Y58" i="49"/>
  <c r="AC89" i="49"/>
  <c r="AB89" i="49"/>
  <c r="AA89" i="49"/>
  <c r="Z89" i="49"/>
  <c r="Y89" i="49"/>
  <c r="AC87" i="49"/>
  <c r="AB87" i="49"/>
  <c r="AA87" i="49"/>
  <c r="Z87" i="49"/>
  <c r="Y87" i="49"/>
  <c r="AC86" i="49"/>
  <c r="AB86" i="49"/>
  <c r="Y86" i="49"/>
  <c r="AA86" i="49"/>
  <c r="Z86" i="49"/>
  <c r="AC93" i="49"/>
  <c r="AB93" i="49"/>
  <c r="AA93" i="49"/>
  <c r="Z93" i="49"/>
  <c r="Y93" i="49"/>
  <c r="AC96" i="49"/>
  <c r="AB96" i="49"/>
  <c r="AA96" i="49"/>
  <c r="Z96" i="49"/>
  <c r="Y96" i="49"/>
  <c r="AC116" i="49"/>
  <c r="AB116" i="49"/>
  <c r="Z116" i="49"/>
  <c r="Y116" i="49"/>
  <c r="AA116" i="49"/>
  <c r="AC37" i="49"/>
  <c r="AB37" i="49"/>
  <c r="AA37" i="49"/>
  <c r="Z37" i="49"/>
  <c r="Y37" i="49"/>
  <c r="AC47" i="49"/>
  <c r="AB47" i="49"/>
  <c r="AA47" i="49"/>
  <c r="Z47" i="49"/>
  <c r="Y47" i="49"/>
  <c r="AC55" i="49"/>
  <c r="AB55" i="49"/>
  <c r="AA55" i="49"/>
  <c r="Z55" i="49"/>
  <c r="Y55" i="49"/>
  <c r="AC94" i="49"/>
  <c r="AB94" i="49"/>
  <c r="AA94" i="49"/>
  <c r="Z94" i="49"/>
  <c r="Y94" i="49"/>
  <c r="AC50" i="49"/>
  <c r="AB50" i="49"/>
  <c r="AA50" i="49"/>
  <c r="Z50" i="49"/>
  <c r="Y50" i="49"/>
  <c r="AC25" i="49"/>
  <c r="AB25" i="49"/>
  <c r="AA25" i="49"/>
  <c r="Z25" i="49"/>
  <c r="Y25" i="49"/>
  <c r="AC120" i="49"/>
  <c r="AB120" i="49"/>
  <c r="AA120" i="49"/>
  <c r="Z120" i="49"/>
  <c r="Y120" i="49"/>
  <c r="AC6" i="49"/>
  <c r="AB6" i="49"/>
  <c r="Y6" i="49"/>
  <c r="AA6" i="49"/>
  <c r="Z6" i="49"/>
  <c r="AC118" i="49"/>
  <c r="AB118" i="49"/>
  <c r="AA118" i="49"/>
  <c r="Z118" i="49"/>
  <c r="Y118" i="49"/>
  <c r="AC28" i="49"/>
  <c r="AB28" i="49"/>
  <c r="AA28" i="49"/>
  <c r="Z28" i="49"/>
  <c r="Y28" i="49"/>
  <c r="AC60" i="49"/>
  <c r="AB60" i="49"/>
  <c r="AA60" i="49"/>
  <c r="Z60" i="49"/>
  <c r="Y60" i="49"/>
  <c r="AC76" i="49"/>
  <c r="AB76" i="49"/>
  <c r="AA76" i="49"/>
  <c r="Z76" i="49"/>
  <c r="Y76" i="49"/>
  <c r="AC115" i="49"/>
  <c r="AB115" i="49"/>
  <c r="AA115" i="49"/>
  <c r="Z115" i="49"/>
  <c r="Y115" i="49"/>
  <c r="AC34" i="49"/>
  <c r="AB34" i="49"/>
  <c r="AA34" i="49"/>
  <c r="Z34" i="49"/>
  <c r="Y34" i="49"/>
  <c r="AC43" i="49"/>
  <c r="AB43" i="49"/>
  <c r="Z43" i="49"/>
  <c r="Y43" i="49"/>
  <c r="AA43" i="49"/>
  <c r="AC40" i="49"/>
  <c r="AB40" i="49"/>
  <c r="AA40" i="49"/>
  <c r="Z40" i="49"/>
  <c r="Y40" i="49"/>
  <c r="AC114" i="49"/>
  <c r="AB114" i="49"/>
  <c r="AA114" i="49"/>
  <c r="Z114" i="49"/>
  <c r="Y114" i="49"/>
  <c r="AC80" i="49"/>
  <c r="AB80" i="49"/>
  <c r="AA80" i="49"/>
  <c r="Z80" i="49"/>
  <c r="Y80" i="49"/>
  <c r="AC99" i="49"/>
  <c r="AB99" i="49"/>
  <c r="AA99" i="49"/>
  <c r="Z99" i="49"/>
  <c r="Y99" i="49"/>
  <c r="L63" i="49"/>
  <c r="L50" i="49"/>
  <c r="L93" i="49"/>
  <c r="M88" i="49"/>
  <c r="L94" i="49"/>
  <c r="L82" i="49"/>
  <c r="N9" i="50"/>
  <c r="O9" i="50" s="1"/>
  <c r="P9" i="50"/>
  <c r="Q9" i="50"/>
  <c r="V9" i="50"/>
  <c r="S9" i="50"/>
  <c r="T9" i="50"/>
  <c r="R9" i="50"/>
  <c r="U9" i="50"/>
  <c r="Q11" i="50"/>
  <c r="R11" i="50"/>
  <c r="R5" i="50"/>
  <c r="S5" i="50"/>
  <c r="T5" i="50"/>
  <c r="P5" i="50"/>
  <c r="U5" i="50"/>
  <c r="W11" i="50"/>
  <c r="V5" i="50"/>
  <c r="N11" i="50"/>
  <c r="O11" i="50" s="1"/>
  <c r="N5" i="50"/>
  <c r="O5" i="50" s="1"/>
  <c r="P11" i="50"/>
  <c r="T11" i="50"/>
  <c r="Q5" i="50"/>
  <c r="S11" i="50"/>
  <c r="V11" i="50"/>
  <c r="V118" i="49"/>
  <c r="N118" i="49"/>
  <c r="O118" i="49" s="1"/>
  <c r="U118" i="49"/>
  <c r="T118" i="49"/>
  <c r="W118" i="49" s="1"/>
  <c r="S118" i="49"/>
  <c r="R118" i="49"/>
  <c r="Q118" i="49"/>
  <c r="P118" i="49"/>
  <c r="L118" i="49"/>
  <c r="V120" i="49"/>
  <c r="N120" i="49"/>
  <c r="O120" i="49" s="1"/>
  <c r="U120" i="49"/>
  <c r="T120" i="49"/>
  <c r="W120" i="49" s="1"/>
  <c r="S120" i="49"/>
  <c r="Q120" i="49"/>
  <c r="P120" i="49"/>
  <c r="R120" i="49"/>
  <c r="L120" i="49"/>
  <c r="V121" i="49"/>
  <c r="N121" i="49"/>
  <c r="O121" i="49" s="1"/>
  <c r="U121" i="49"/>
  <c r="T121" i="49"/>
  <c r="W121" i="49" s="1"/>
  <c r="S121" i="49"/>
  <c r="R121" i="49"/>
  <c r="Q121" i="49"/>
  <c r="P121" i="49"/>
  <c r="V74" i="49"/>
  <c r="N74" i="49"/>
  <c r="O74" i="49" s="1"/>
  <c r="S74" i="49"/>
  <c r="U74" i="49"/>
  <c r="T74" i="49"/>
  <c r="W74" i="49" s="1"/>
  <c r="R74" i="49"/>
  <c r="Q74" i="49"/>
  <c r="P74" i="49"/>
  <c r="V99" i="49"/>
  <c r="N99" i="49"/>
  <c r="O99" i="49" s="1"/>
  <c r="U99" i="49"/>
  <c r="T99" i="49"/>
  <c r="W99" i="49" s="1"/>
  <c r="S99" i="49"/>
  <c r="Q99" i="49"/>
  <c r="P99" i="49"/>
  <c r="R99" i="49"/>
  <c r="L99" i="49"/>
  <c r="V58" i="49"/>
  <c r="N58" i="49"/>
  <c r="O58" i="49" s="1"/>
  <c r="U58" i="49"/>
  <c r="R58" i="49"/>
  <c r="Q58" i="49"/>
  <c r="P58" i="49"/>
  <c r="T58" i="49"/>
  <c r="W58" i="49" s="1"/>
  <c r="S58" i="49"/>
  <c r="L58" i="49"/>
  <c r="V93" i="49"/>
  <c r="N93" i="49"/>
  <c r="O93" i="49" s="1"/>
  <c r="R93" i="49"/>
  <c r="Q93" i="49"/>
  <c r="P93" i="49"/>
  <c r="U93" i="49"/>
  <c r="T93" i="49"/>
  <c r="W93" i="49" s="1"/>
  <c r="S93" i="49"/>
  <c r="V86" i="49"/>
  <c r="N86" i="49"/>
  <c r="O86" i="49" s="1"/>
  <c r="U86" i="49"/>
  <c r="S86" i="49"/>
  <c r="T86" i="49"/>
  <c r="W86" i="49" s="1"/>
  <c r="R86" i="49"/>
  <c r="Q86" i="49"/>
  <c r="P86" i="49"/>
  <c r="L86" i="49"/>
  <c r="V87" i="49"/>
  <c r="N87" i="49"/>
  <c r="O87" i="49" s="1"/>
  <c r="U87" i="49"/>
  <c r="T87" i="49"/>
  <c r="W87" i="49" s="1"/>
  <c r="S87" i="49"/>
  <c r="R87" i="49"/>
  <c r="Q87" i="49"/>
  <c r="P87" i="49"/>
  <c r="L87" i="49"/>
  <c r="V63" i="49"/>
  <c r="N63" i="49"/>
  <c r="O63" i="49" s="1"/>
  <c r="R63" i="49"/>
  <c r="Q63" i="49"/>
  <c r="P63" i="49"/>
  <c r="U63" i="49"/>
  <c r="T63" i="49"/>
  <c r="W63" i="49" s="1"/>
  <c r="S63" i="49"/>
  <c r="V54" i="49"/>
  <c r="N54" i="49"/>
  <c r="O54" i="49" s="1"/>
  <c r="U54" i="49"/>
  <c r="T54" i="49"/>
  <c r="W54" i="49" s="1"/>
  <c r="S54" i="49"/>
  <c r="R54" i="49"/>
  <c r="Q54" i="49"/>
  <c r="P54" i="49"/>
  <c r="V80" i="49"/>
  <c r="N80" i="49"/>
  <c r="O80" i="49" s="1"/>
  <c r="U80" i="49"/>
  <c r="T80" i="49"/>
  <c r="W80" i="49" s="1"/>
  <c r="S80" i="49"/>
  <c r="R80" i="49"/>
  <c r="Q80" i="49"/>
  <c r="P80" i="49"/>
  <c r="L80" i="49"/>
  <c r="V50" i="49"/>
  <c r="N50" i="49"/>
  <c r="O50" i="49" s="1"/>
  <c r="R50" i="49"/>
  <c r="Q50" i="49"/>
  <c r="P50" i="49"/>
  <c r="U50" i="49"/>
  <c r="T50" i="49"/>
  <c r="W50" i="49" s="1"/>
  <c r="S50" i="49"/>
  <c r="V69" i="49"/>
  <c r="N69" i="49"/>
  <c r="O69" i="49" s="1"/>
  <c r="U69" i="49"/>
  <c r="T69" i="49"/>
  <c r="W69" i="49" s="1"/>
  <c r="S69" i="49"/>
  <c r="Q69" i="49"/>
  <c r="P69" i="49"/>
  <c r="R69" i="49"/>
  <c r="L69" i="49"/>
  <c r="V76" i="49"/>
  <c r="N76" i="49"/>
  <c r="O76" i="49" s="1"/>
  <c r="U76" i="49"/>
  <c r="T76" i="49"/>
  <c r="W76" i="49" s="1"/>
  <c r="S76" i="49"/>
  <c r="R76" i="49"/>
  <c r="Q76" i="49"/>
  <c r="P76" i="49"/>
  <c r="L76" i="49"/>
  <c r="V75" i="49"/>
  <c r="N75" i="49"/>
  <c r="O75" i="49" s="1"/>
  <c r="Q75" i="49"/>
  <c r="U75" i="49"/>
  <c r="T75" i="49"/>
  <c r="W75" i="49" s="1"/>
  <c r="R75" i="49"/>
  <c r="P75" i="49"/>
  <c r="S75" i="49"/>
  <c r="V59" i="49"/>
  <c r="N59" i="49"/>
  <c r="O59" i="49" s="1"/>
  <c r="U59" i="49"/>
  <c r="S59" i="49"/>
  <c r="T59" i="49"/>
  <c r="W59" i="49" s="1"/>
  <c r="R59" i="49"/>
  <c r="Q59" i="49"/>
  <c r="P59" i="49"/>
  <c r="L59" i="49"/>
  <c r="V64" i="49"/>
  <c r="N64" i="49"/>
  <c r="O64" i="49" s="1"/>
  <c r="U64" i="49"/>
  <c r="T64" i="49"/>
  <c r="W64" i="49" s="1"/>
  <c r="S64" i="49"/>
  <c r="R64" i="49"/>
  <c r="Q64" i="49"/>
  <c r="P64" i="49"/>
  <c r="L64" i="49"/>
  <c r="V113" i="49"/>
  <c r="N113" i="49"/>
  <c r="O113" i="49" s="1"/>
  <c r="U113" i="49"/>
  <c r="T113" i="49"/>
  <c r="W113" i="49" s="1"/>
  <c r="S113" i="49"/>
  <c r="Q113" i="49"/>
  <c r="P113" i="49"/>
  <c r="R113" i="49"/>
  <c r="L113" i="49"/>
  <c r="V114" i="49"/>
  <c r="N114" i="49"/>
  <c r="O114" i="49" s="1"/>
  <c r="R114" i="49"/>
  <c r="Q114" i="49"/>
  <c r="P114" i="49"/>
  <c r="U114" i="49"/>
  <c r="T114" i="49"/>
  <c r="W114" i="49" s="1"/>
  <c r="S114" i="49"/>
  <c r="L114" i="49"/>
  <c r="V94" i="49"/>
  <c r="N94" i="49"/>
  <c r="O94" i="49" s="1"/>
  <c r="R94" i="49"/>
  <c r="Q94" i="49"/>
  <c r="P94" i="49"/>
  <c r="U94" i="49"/>
  <c r="T94" i="49"/>
  <c r="W94" i="49" s="1"/>
  <c r="S94" i="49"/>
  <c r="V81" i="49"/>
  <c r="N81" i="49"/>
  <c r="O81" i="49" s="1"/>
  <c r="U81" i="49"/>
  <c r="T81" i="49"/>
  <c r="W81" i="49" s="1"/>
  <c r="S81" i="49"/>
  <c r="Q81" i="49"/>
  <c r="P81" i="49"/>
  <c r="R81" i="49"/>
  <c r="L81" i="49"/>
  <c r="V105" i="49"/>
  <c r="N105" i="49"/>
  <c r="O105" i="49" s="1"/>
  <c r="R105" i="49"/>
  <c r="U105" i="49"/>
  <c r="Q105" i="49"/>
  <c r="P105" i="49"/>
  <c r="T105" i="49"/>
  <c r="W105" i="49" s="1"/>
  <c r="S105" i="49"/>
  <c r="L105" i="49"/>
  <c r="V70" i="49"/>
  <c r="N70" i="49"/>
  <c r="O70" i="49" s="1"/>
  <c r="U70" i="49"/>
  <c r="T70" i="49"/>
  <c r="W70" i="49" s="1"/>
  <c r="S70" i="49"/>
  <c r="Q70" i="49"/>
  <c r="P70" i="49"/>
  <c r="R70" i="49"/>
  <c r="L70" i="49"/>
  <c r="V82" i="49"/>
  <c r="N82" i="49"/>
  <c r="O82" i="49" s="1"/>
  <c r="U82" i="49"/>
  <c r="T82" i="49"/>
  <c r="W82" i="49" s="1"/>
  <c r="S82" i="49"/>
  <c r="Q82" i="49"/>
  <c r="P82" i="49"/>
  <c r="R82" i="49"/>
  <c r="V101" i="49"/>
  <c r="N101" i="49"/>
  <c r="O101" i="49" s="1"/>
  <c r="U101" i="49"/>
  <c r="T101" i="49"/>
  <c r="W101" i="49" s="1"/>
  <c r="S101" i="49"/>
  <c r="Q101" i="49"/>
  <c r="P101" i="49"/>
  <c r="R101" i="49"/>
  <c r="L101" i="49"/>
  <c r="V95" i="49"/>
  <c r="N95" i="49"/>
  <c r="O95" i="49" s="1"/>
  <c r="U95" i="49"/>
  <c r="T95" i="49"/>
  <c r="W95" i="49" s="1"/>
  <c r="S95" i="49"/>
  <c r="Q95" i="49"/>
  <c r="P95" i="49"/>
  <c r="R95" i="49"/>
  <c r="L95" i="49"/>
  <c r="M71" i="49"/>
  <c r="L34" i="49"/>
  <c r="L25" i="49"/>
  <c r="V43" i="49"/>
  <c r="N43" i="49"/>
  <c r="O43" i="49" s="1"/>
  <c r="U43" i="49"/>
  <c r="T43" i="49"/>
  <c r="W43" i="49" s="1"/>
  <c r="S43" i="49"/>
  <c r="R43" i="49"/>
  <c r="Q43" i="49"/>
  <c r="P43" i="49"/>
  <c r="L43" i="49"/>
  <c r="V5" i="49"/>
  <c r="N5" i="49"/>
  <c r="O5" i="49" s="1"/>
  <c r="U5" i="49"/>
  <c r="T5" i="49"/>
  <c r="W5" i="49" s="1"/>
  <c r="S5" i="49"/>
  <c r="R5" i="49"/>
  <c r="Q5" i="49"/>
  <c r="P5" i="49"/>
  <c r="L5" i="49"/>
  <c r="V4" i="49"/>
  <c r="N4" i="49"/>
  <c r="O4" i="49" s="1"/>
  <c r="U4" i="49"/>
  <c r="R4" i="49"/>
  <c r="Q4" i="49"/>
  <c r="P4" i="49"/>
  <c r="T4" i="49"/>
  <c r="W4" i="49" s="1"/>
  <c r="S4" i="49"/>
  <c r="L4" i="49"/>
  <c r="V3" i="49"/>
  <c r="N3" i="49"/>
  <c r="O3" i="49" s="1"/>
  <c r="R3" i="49"/>
  <c r="P3" i="49"/>
  <c r="U3" i="49"/>
  <c r="T3" i="49"/>
  <c r="W3" i="49" s="1"/>
  <c r="S3" i="49"/>
  <c r="Q3" i="49"/>
  <c r="L3" i="49"/>
  <c r="V6" i="49"/>
  <c r="N6" i="49"/>
  <c r="O6" i="49" s="1"/>
  <c r="U6" i="49"/>
  <c r="T6" i="49"/>
  <c r="W6" i="49" s="1"/>
  <c r="R6" i="49"/>
  <c r="Q6" i="49"/>
  <c r="P6" i="49"/>
  <c r="S6" i="49"/>
  <c r="L6" i="49"/>
  <c r="F7" i="49"/>
  <c r="L7" i="49" s="1"/>
  <c r="V8" i="49"/>
  <c r="N8" i="49"/>
  <c r="O8" i="49" s="1"/>
  <c r="P8" i="49"/>
  <c r="U8" i="49"/>
  <c r="T8" i="49"/>
  <c r="W8" i="49" s="1"/>
  <c r="S8" i="49"/>
  <c r="R8" i="49"/>
  <c r="Q8" i="49"/>
  <c r="L8" i="49"/>
  <c r="V34" i="49"/>
  <c r="N34" i="49"/>
  <c r="O34" i="49" s="1"/>
  <c r="U34" i="49"/>
  <c r="Q34" i="49"/>
  <c r="P34" i="49"/>
  <c r="T34" i="49"/>
  <c r="W34" i="49" s="1"/>
  <c r="S34" i="49"/>
  <c r="R34" i="49"/>
  <c r="V31" i="49"/>
  <c r="N31" i="49"/>
  <c r="O31" i="49" s="1"/>
  <c r="U31" i="49"/>
  <c r="T31" i="49"/>
  <c r="W31" i="49" s="1"/>
  <c r="S31" i="49"/>
  <c r="R31" i="49"/>
  <c r="Q31" i="49"/>
  <c r="P31" i="49"/>
  <c r="L31" i="49"/>
  <c r="V28" i="49"/>
  <c r="N28" i="49"/>
  <c r="O28" i="49" s="1"/>
  <c r="Q28" i="49"/>
  <c r="U28" i="49"/>
  <c r="T28" i="49"/>
  <c r="W28" i="49" s="1"/>
  <c r="S28" i="49"/>
  <c r="R28" i="49"/>
  <c r="P28" i="49"/>
  <c r="L28" i="49"/>
  <c r="V25" i="49"/>
  <c r="N25" i="49"/>
  <c r="O25" i="49" s="1"/>
  <c r="U25" i="49"/>
  <c r="T25" i="49"/>
  <c r="W25" i="49" s="1"/>
  <c r="R25" i="49"/>
  <c r="Q25" i="49"/>
  <c r="P25" i="49"/>
  <c r="S25" i="49"/>
  <c r="V22" i="49"/>
  <c r="N22" i="49"/>
  <c r="O22" i="49" s="1"/>
  <c r="U22" i="49"/>
  <c r="Q22" i="49"/>
  <c r="T22" i="49"/>
  <c r="W22" i="49" s="1"/>
  <c r="S22" i="49"/>
  <c r="R22" i="49"/>
  <c r="P22" i="49"/>
  <c r="L22" i="49"/>
  <c r="M19" i="49"/>
  <c r="V15" i="49"/>
  <c r="N15" i="49"/>
  <c r="O15" i="49" s="1"/>
  <c r="U15" i="49"/>
  <c r="P15" i="49"/>
  <c r="T15" i="49"/>
  <c r="W15" i="49" s="1"/>
  <c r="S15" i="49"/>
  <c r="R15" i="49"/>
  <c r="Q15" i="49"/>
  <c r="L15" i="49"/>
  <c r="V12" i="49"/>
  <c r="N12" i="49"/>
  <c r="O12" i="49" s="1"/>
  <c r="U12" i="49"/>
  <c r="T12" i="49"/>
  <c r="W12" i="49" s="1"/>
  <c r="S12" i="49"/>
  <c r="R12" i="49"/>
  <c r="Q12" i="49"/>
  <c r="P12" i="49"/>
  <c r="L12" i="49"/>
  <c r="F9" i="49"/>
  <c r="M9" i="49" s="1"/>
  <c r="V115" i="49"/>
  <c r="N115" i="49"/>
  <c r="O115" i="49" s="1"/>
  <c r="R115" i="49"/>
  <c r="U115" i="49"/>
  <c r="T115" i="49"/>
  <c r="W115" i="49" s="1"/>
  <c r="S115" i="49"/>
  <c r="Q115" i="49"/>
  <c r="P115" i="49"/>
  <c r="L115" i="49"/>
  <c r="M106" i="49"/>
  <c r="F102" i="49"/>
  <c r="M102" i="49" s="1"/>
  <c r="V96" i="49"/>
  <c r="N96" i="49"/>
  <c r="O96" i="49" s="1"/>
  <c r="R96" i="49"/>
  <c r="Q96" i="49"/>
  <c r="P96" i="49"/>
  <c r="U96" i="49"/>
  <c r="T96" i="49"/>
  <c r="W96" i="49" s="1"/>
  <c r="S96" i="49"/>
  <c r="L96" i="49"/>
  <c r="V89" i="49"/>
  <c r="N89" i="49"/>
  <c r="O89" i="49" s="1"/>
  <c r="Q89" i="49"/>
  <c r="P89" i="49"/>
  <c r="U89" i="49"/>
  <c r="T89" i="49"/>
  <c r="W89" i="49" s="1"/>
  <c r="S89" i="49"/>
  <c r="R89" i="49"/>
  <c r="L89" i="49"/>
  <c r="F83" i="49"/>
  <c r="M83" i="49" s="1"/>
  <c r="F77" i="49"/>
  <c r="M77" i="49" s="1"/>
  <c r="V71" i="49"/>
  <c r="M65" i="49"/>
  <c r="V60" i="49"/>
  <c r="N60" i="49"/>
  <c r="O60" i="49" s="1"/>
  <c r="U60" i="49"/>
  <c r="T60" i="49"/>
  <c r="W60" i="49" s="1"/>
  <c r="S60" i="49"/>
  <c r="R60" i="49"/>
  <c r="Q60" i="49"/>
  <c r="P60" i="49"/>
  <c r="L60" i="49"/>
  <c r="V55" i="49"/>
  <c r="N55" i="49"/>
  <c r="O55" i="49" s="1"/>
  <c r="P55" i="49"/>
  <c r="U55" i="49"/>
  <c r="T55" i="49"/>
  <c r="W55" i="49" s="1"/>
  <c r="R55" i="49"/>
  <c r="Q55" i="49"/>
  <c r="S55" i="49"/>
  <c r="L55" i="49"/>
  <c r="F51" i="49"/>
  <c r="M51" i="49" s="1"/>
  <c r="V47" i="49"/>
  <c r="N47" i="49"/>
  <c r="O47" i="49" s="1"/>
  <c r="U47" i="49"/>
  <c r="T47" i="49"/>
  <c r="W47" i="49" s="1"/>
  <c r="S47" i="49"/>
  <c r="R47" i="49"/>
  <c r="Q47" i="49"/>
  <c r="P47" i="49"/>
  <c r="L47" i="49"/>
  <c r="M44" i="49"/>
  <c r="V40" i="49"/>
  <c r="N40" i="49"/>
  <c r="O40" i="49" s="1"/>
  <c r="U40" i="49"/>
  <c r="T40" i="49"/>
  <c r="W40" i="49" s="1"/>
  <c r="S40" i="49"/>
  <c r="R40" i="49"/>
  <c r="Q40" i="49"/>
  <c r="P40" i="49"/>
  <c r="L40" i="49"/>
  <c r="V37" i="49"/>
  <c r="N37" i="49"/>
  <c r="O37" i="49" s="1"/>
  <c r="U37" i="49"/>
  <c r="T37" i="49"/>
  <c r="W37" i="49" s="1"/>
  <c r="S37" i="49"/>
  <c r="R37" i="49"/>
  <c r="Q37" i="49"/>
  <c r="P37" i="49"/>
  <c r="L37" i="49"/>
  <c r="V116" i="49"/>
  <c r="N116" i="49"/>
  <c r="O116" i="49" s="1"/>
  <c r="U116" i="49"/>
  <c r="T116" i="49"/>
  <c r="W116" i="49" s="1"/>
  <c r="S116" i="49"/>
  <c r="R116" i="49"/>
  <c r="Q116" i="49"/>
  <c r="P116" i="49"/>
  <c r="L116" i="49"/>
  <c r="M107" i="49"/>
  <c r="V103" i="49"/>
  <c r="N103" i="49"/>
  <c r="O103" i="49" s="1"/>
  <c r="R103" i="49"/>
  <c r="Q103" i="49"/>
  <c r="U103" i="49"/>
  <c r="T103" i="49"/>
  <c r="W103" i="49" s="1"/>
  <c r="P103" i="49"/>
  <c r="S103" i="49"/>
  <c r="L103" i="49"/>
  <c r="F97" i="49"/>
  <c r="M97" i="49" s="1"/>
  <c r="V90" i="49"/>
  <c r="N90" i="49"/>
  <c r="O90" i="49" s="1"/>
  <c r="U90" i="49"/>
  <c r="Q90" i="49"/>
  <c r="T90" i="49"/>
  <c r="W90" i="49" s="1"/>
  <c r="R90" i="49"/>
  <c r="P90" i="49"/>
  <c r="S90" i="49"/>
  <c r="L90" i="49"/>
  <c r="M16" i="49"/>
  <c r="L16" i="49"/>
  <c r="F10" i="49"/>
  <c r="L10" i="49" s="1"/>
  <c r="F13" i="49"/>
  <c r="L13" i="49" s="1"/>
  <c r="F20" i="49"/>
  <c r="M20" i="49" s="1"/>
  <c r="F23" i="49"/>
  <c r="M23" i="49" s="1"/>
  <c r="F26" i="49"/>
  <c r="M26" i="49" s="1"/>
  <c r="F29" i="49"/>
  <c r="M29" i="49" s="1"/>
  <c r="F32" i="49"/>
  <c r="M32" i="49" s="1"/>
  <c r="F35" i="49"/>
  <c r="M35" i="49" s="1"/>
  <c r="F38" i="49"/>
  <c r="M38" i="49" s="1"/>
  <c r="F41" i="49"/>
  <c r="L41" i="49" s="1"/>
  <c r="F48" i="49"/>
  <c r="M48" i="49" s="1"/>
  <c r="F52" i="49"/>
  <c r="M52" i="49" s="1"/>
  <c r="F56" i="49"/>
  <c r="M56" i="49" s="1"/>
  <c r="F61" i="49"/>
  <c r="M61" i="49" s="1"/>
  <c r="F66" i="49"/>
  <c r="M66" i="49" s="1"/>
  <c r="F72" i="49"/>
  <c r="L72" i="49" s="1"/>
  <c r="F78" i="49"/>
  <c r="M78" i="49" s="1"/>
  <c r="F84" i="49"/>
  <c r="M84" i="49" s="1"/>
  <c r="M45" i="49"/>
  <c r="AC35" i="49" l="1"/>
  <c r="AB35" i="49"/>
  <c r="Z35" i="49"/>
  <c r="Y35" i="49"/>
  <c r="AA35" i="49"/>
  <c r="AC66" i="49"/>
  <c r="AB66" i="49"/>
  <c r="AA66" i="49"/>
  <c r="Z66" i="49"/>
  <c r="Y66" i="49"/>
  <c r="AC32" i="49"/>
  <c r="AB32" i="49"/>
  <c r="AA32" i="49"/>
  <c r="Z32" i="49"/>
  <c r="Y32" i="49"/>
  <c r="AC16" i="49"/>
  <c r="AB16" i="49"/>
  <c r="AA16" i="49"/>
  <c r="Y16" i="49"/>
  <c r="Z16" i="49"/>
  <c r="AC44" i="49"/>
  <c r="AB44" i="49"/>
  <c r="AA44" i="49"/>
  <c r="Z44" i="49"/>
  <c r="Y44" i="49"/>
  <c r="AC77" i="49"/>
  <c r="AB77" i="49"/>
  <c r="AA77" i="49"/>
  <c r="Z77" i="49"/>
  <c r="Y77" i="49"/>
  <c r="AC9" i="49"/>
  <c r="AB9" i="49"/>
  <c r="AA9" i="49"/>
  <c r="Z9" i="49"/>
  <c r="Y9" i="49"/>
  <c r="AC29" i="49"/>
  <c r="AB29" i="49"/>
  <c r="AA29" i="49"/>
  <c r="Z29" i="49"/>
  <c r="Y29" i="49"/>
  <c r="AC56" i="49"/>
  <c r="AB56" i="49"/>
  <c r="AA56" i="49"/>
  <c r="Z56" i="49"/>
  <c r="Y56" i="49"/>
  <c r="AC26" i="49"/>
  <c r="AB26" i="49"/>
  <c r="AA26" i="49"/>
  <c r="Z26" i="49"/>
  <c r="Y26" i="49"/>
  <c r="AC97" i="49"/>
  <c r="AB97" i="49"/>
  <c r="AA97" i="49"/>
  <c r="Z97" i="49"/>
  <c r="Y97" i="49"/>
  <c r="AC51" i="49"/>
  <c r="AB51" i="49"/>
  <c r="Z51" i="49"/>
  <c r="Y51" i="49"/>
  <c r="AA51" i="49"/>
  <c r="AC19" i="49"/>
  <c r="AB19" i="49"/>
  <c r="Z19" i="49"/>
  <c r="Y19" i="49"/>
  <c r="AA19" i="49"/>
  <c r="AC52" i="49"/>
  <c r="AB52" i="49"/>
  <c r="AA52" i="49"/>
  <c r="Z52" i="49"/>
  <c r="Y52" i="49"/>
  <c r="AC23" i="49"/>
  <c r="AB23" i="49"/>
  <c r="AA23" i="49"/>
  <c r="Z23" i="49"/>
  <c r="Y23" i="49"/>
  <c r="AC61" i="49"/>
  <c r="AB61" i="49"/>
  <c r="AA61" i="49"/>
  <c r="Z61" i="49"/>
  <c r="Y61" i="49"/>
  <c r="AC83" i="49"/>
  <c r="AB83" i="49"/>
  <c r="Z83" i="49"/>
  <c r="Y83" i="49"/>
  <c r="AA83" i="49"/>
  <c r="T83" i="49"/>
  <c r="W83" i="49" s="1"/>
  <c r="AC48" i="49"/>
  <c r="AB48" i="49"/>
  <c r="AA48" i="49"/>
  <c r="Z48" i="49"/>
  <c r="Y48" i="49"/>
  <c r="AC20" i="49"/>
  <c r="AB20" i="49"/>
  <c r="AA20" i="49"/>
  <c r="Z20" i="49"/>
  <c r="Y20" i="49"/>
  <c r="AC107" i="49"/>
  <c r="AB107" i="49"/>
  <c r="AA107" i="49"/>
  <c r="Z107" i="49"/>
  <c r="Y107" i="49"/>
  <c r="AC102" i="49"/>
  <c r="AB102" i="49"/>
  <c r="AA102" i="49"/>
  <c r="Z102" i="49"/>
  <c r="Y102" i="49"/>
  <c r="U88" i="49"/>
  <c r="AC88" i="49"/>
  <c r="AB88" i="49"/>
  <c r="AA88" i="49"/>
  <c r="Z88" i="49"/>
  <c r="Y88" i="49"/>
  <c r="AC84" i="49"/>
  <c r="AB84" i="49"/>
  <c r="AA84" i="49"/>
  <c r="Z84" i="49"/>
  <c r="Y84" i="49"/>
  <c r="AC65" i="49"/>
  <c r="AB65" i="49"/>
  <c r="AA65" i="49"/>
  <c r="Z65" i="49"/>
  <c r="Y65" i="49"/>
  <c r="AC106" i="49"/>
  <c r="AB106" i="49"/>
  <c r="AA106" i="49"/>
  <c r="Z106" i="49"/>
  <c r="Y106" i="49"/>
  <c r="T71" i="49"/>
  <c r="W71" i="49" s="1"/>
  <c r="AC71" i="49"/>
  <c r="AB71" i="49"/>
  <c r="AA71" i="49"/>
  <c r="Z71" i="49"/>
  <c r="Y71" i="49"/>
  <c r="AC45" i="49"/>
  <c r="AB45" i="49"/>
  <c r="AA45" i="49"/>
  <c r="Z45" i="49"/>
  <c r="Y45" i="49"/>
  <c r="AC78" i="49"/>
  <c r="AB78" i="49"/>
  <c r="Y78" i="49"/>
  <c r="AA78" i="49"/>
  <c r="Z78" i="49"/>
  <c r="AC38" i="49"/>
  <c r="AB38" i="49"/>
  <c r="Y38" i="49"/>
  <c r="AA38" i="49"/>
  <c r="Z38" i="49"/>
  <c r="U71" i="49"/>
  <c r="N88" i="49"/>
  <c r="O88" i="49" s="1"/>
  <c r="Q71" i="49"/>
  <c r="N71" i="49"/>
  <c r="O71" i="49" s="1"/>
  <c r="R71" i="49"/>
  <c r="V88" i="49"/>
  <c r="P71" i="49"/>
  <c r="S71" i="49"/>
  <c r="P88" i="49"/>
  <c r="S88" i="49"/>
  <c r="Q88" i="49"/>
  <c r="T88" i="49"/>
  <c r="W88" i="49" s="1"/>
  <c r="R88" i="49"/>
  <c r="M7" i="49"/>
  <c r="V19" i="49"/>
  <c r="N19" i="49"/>
  <c r="O19" i="49" s="1"/>
  <c r="U19" i="49"/>
  <c r="T19" i="49"/>
  <c r="W19" i="49" s="1"/>
  <c r="S19" i="49"/>
  <c r="R19" i="49"/>
  <c r="Q19" i="49"/>
  <c r="P19" i="49"/>
  <c r="V9" i="49"/>
  <c r="N9" i="49"/>
  <c r="O9" i="49" s="1"/>
  <c r="U9" i="49"/>
  <c r="T9" i="49"/>
  <c r="W9" i="49" s="1"/>
  <c r="S9" i="49"/>
  <c r="R9" i="49"/>
  <c r="Q9" i="49"/>
  <c r="P9" i="49"/>
  <c r="L9" i="49"/>
  <c r="V106" i="49"/>
  <c r="N106" i="49"/>
  <c r="O106" i="49" s="1"/>
  <c r="R106" i="49"/>
  <c r="Q106" i="49"/>
  <c r="P106" i="49"/>
  <c r="U106" i="49"/>
  <c r="T106" i="49"/>
  <c r="W106" i="49" s="1"/>
  <c r="S106" i="49"/>
  <c r="V102" i="49"/>
  <c r="N102" i="49"/>
  <c r="O102" i="49" s="1"/>
  <c r="U102" i="49"/>
  <c r="T102" i="49"/>
  <c r="W102" i="49" s="1"/>
  <c r="S102" i="49"/>
  <c r="R102" i="49"/>
  <c r="Q102" i="49"/>
  <c r="P102" i="49"/>
  <c r="L102" i="49"/>
  <c r="V83" i="49"/>
  <c r="N83" i="49"/>
  <c r="O83" i="49" s="1"/>
  <c r="U83" i="49"/>
  <c r="S83" i="49"/>
  <c r="R83" i="49"/>
  <c r="Q83" i="49"/>
  <c r="P83" i="49"/>
  <c r="L83" i="49"/>
  <c r="V77" i="49"/>
  <c r="N77" i="49"/>
  <c r="O77" i="49" s="1"/>
  <c r="U77" i="49"/>
  <c r="T77" i="49"/>
  <c r="W77" i="49" s="1"/>
  <c r="S77" i="49"/>
  <c r="R77" i="49"/>
  <c r="Q77" i="49"/>
  <c r="P77" i="49"/>
  <c r="L77" i="49"/>
  <c r="V65" i="49"/>
  <c r="N65" i="49"/>
  <c r="O65" i="49" s="1"/>
  <c r="U65" i="49"/>
  <c r="T65" i="49"/>
  <c r="W65" i="49" s="1"/>
  <c r="S65" i="49"/>
  <c r="R65" i="49"/>
  <c r="Q65" i="49"/>
  <c r="P65" i="49"/>
  <c r="V51" i="49"/>
  <c r="N51" i="49"/>
  <c r="O51" i="49" s="1"/>
  <c r="U51" i="49"/>
  <c r="T51" i="49"/>
  <c r="W51" i="49" s="1"/>
  <c r="S51" i="49"/>
  <c r="R51" i="49"/>
  <c r="Q51" i="49"/>
  <c r="P51" i="49"/>
  <c r="L51" i="49"/>
  <c r="V44" i="49"/>
  <c r="N44" i="49"/>
  <c r="O44" i="49" s="1"/>
  <c r="U44" i="49"/>
  <c r="T44" i="49"/>
  <c r="W44" i="49" s="1"/>
  <c r="S44" i="49"/>
  <c r="R44" i="49"/>
  <c r="Q44" i="49"/>
  <c r="P44" i="49"/>
  <c r="M13" i="49"/>
  <c r="V107" i="49"/>
  <c r="N107" i="49"/>
  <c r="O107" i="49" s="1"/>
  <c r="U107" i="49"/>
  <c r="T107" i="49"/>
  <c r="W107" i="49" s="1"/>
  <c r="S107" i="49"/>
  <c r="R107" i="49"/>
  <c r="Q107" i="49"/>
  <c r="P107" i="49"/>
  <c r="V97" i="49"/>
  <c r="N97" i="49"/>
  <c r="O97" i="49" s="1"/>
  <c r="U97" i="49"/>
  <c r="T97" i="49"/>
  <c r="W97" i="49" s="1"/>
  <c r="S97" i="49"/>
  <c r="R97" i="49"/>
  <c r="Q97" i="49"/>
  <c r="P97" i="49"/>
  <c r="L97" i="49"/>
  <c r="V16" i="49"/>
  <c r="N16" i="49"/>
  <c r="O16" i="49" s="1"/>
  <c r="T16" i="49"/>
  <c r="W16" i="49" s="1"/>
  <c r="S16" i="49"/>
  <c r="R16" i="49"/>
  <c r="Q16" i="49"/>
  <c r="P16" i="49"/>
  <c r="U16" i="49"/>
  <c r="M10" i="49"/>
  <c r="V20" i="49"/>
  <c r="N20" i="49"/>
  <c r="O20" i="49" s="1"/>
  <c r="U20" i="49"/>
  <c r="S20" i="49"/>
  <c r="T20" i="49"/>
  <c r="W20" i="49" s="1"/>
  <c r="Q20" i="49"/>
  <c r="P20" i="49"/>
  <c r="L20" i="49"/>
  <c r="V23" i="49"/>
  <c r="N23" i="49"/>
  <c r="O23" i="49" s="1"/>
  <c r="U23" i="49"/>
  <c r="S23" i="49"/>
  <c r="T23" i="49"/>
  <c r="W23" i="49" s="1"/>
  <c r="R23" i="49"/>
  <c r="Q23" i="49"/>
  <c r="P23" i="49"/>
  <c r="L23" i="49"/>
  <c r="V26" i="49"/>
  <c r="N26" i="49"/>
  <c r="O26" i="49" s="1"/>
  <c r="U26" i="49"/>
  <c r="T26" i="49"/>
  <c r="W26" i="49" s="1"/>
  <c r="S26" i="49"/>
  <c r="R26" i="49"/>
  <c r="Q26" i="49"/>
  <c r="P26" i="49"/>
  <c r="L26" i="49"/>
  <c r="V29" i="49"/>
  <c r="N29" i="49"/>
  <c r="O29" i="49" s="1"/>
  <c r="U29" i="49"/>
  <c r="S29" i="49"/>
  <c r="T29" i="49"/>
  <c r="W29" i="49" s="1"/>
  <c r="R29" i="49"/>
  <c r="Q29" i="49"/>
  <c r="P29" i="49"/>
  <c r="L29" i="49"/>
  <c r="V32" i="49"/>
  <c r="N32" i="49"/>
  <c r="O32" i="49" s="1"/>
  <c r="U32" i="49"/>
  <c r="T32" i="49"/>
  <c r="W32" i="49" s="1"/>
  <c r="S32" i="49"/>
  <c r="R32" i="49"/>
  <c r="Q32" i="49"/>
  <c r="P32" i="49"/>
  <c r="L32" i="49"/>
  <c r="V35" i="49"/>
  <c r="N35" i="49"/>
  <c r="O35" i="49" s="1"/>
  <c r="U35" i="49"/>
  <c r="T35" i="49"/>
  <c r="W35" i="49" s="1"/>
  <c r="S35" i="49"/>
  <c r="R35" i="49"/>
  <c r="Q35" i="49"/>
  <c r="P35" i="49"/>
  <c r="L35" i="49"/>
  <c r="M72" i="49"/>
  <c r="V72" i="49" s="1"/>
  <c r="V38" i="49"/>
  <c r="N38" i="49"/>
  <c r="O38" i="49" s="1"/>
  <c r="U38" i="49"/>
  <c r="T38" i="49"/>
  <c r="W38" i="49" s="1"/>
  <c r="S38" i="49"/>
  <c r="R38" i="49"/>
  <c r="Q38" i="49"/>
  <c r="P38" i="49"/>
  <c r="L38" i="49"/>
  <c r="M41" i="49"/>
  <c r="V48" i="49"/>
  <c r="N48" i="49"/>
  <c r="O48" i="49" s="1"/>
  <c r="U48" i="49"/>
  <c r="T48" i="49"/>
  <c r="W48" i="49" s="1"/>
  <c r="S48" i="49"/>
  <c r="R48" i="49"/>
  <c r="Q48" i="49"/>
  <c r="P48" i="49"/>
  <c r="L48" i="49"/>
  <c r="V52" i="49"/>
  <c r="N52" i="49"/>
  <c r="O52" i="49" s="1"/>
  <c r="U52" i="49"/>
  <c r="T52" i="49"/>
  <c r="W52" i="49" s="1"/>
  <c r="S52" i="49"/>
  <c r="R52" i="49"/>
  <c r="Q52" i="49"/>
  <c r="P52" i="49"/>
  <c r="L52" i="49"/>
  <c r="V56" i="49"/>
  <c r="N56" i="49"/>
  <c r="O56" i="49" s="1"/>
  <c r="U56" i="49"/>
  <c r="T56" i="49"/>
  <c r="W56" i="49" s="1"/>
  <c r="S56" i="49"/>
  <c r="R56" i="49"/>
  <c r="Q56" i="49"/>
  <c r="P56" i="49"/>
  <c r="L56" i="49"/>
  <c r="V61" i="49"/>
  <c r="N61" i="49"/>
  <c r="O61" i="49" s="1"/>
  <c r="U61" i="49"/>
  <c r="T61" i="49"/>
  <c r="W61" i="49" s="1"/>
  <c r="S61" i="49"/>
  <c r="R61" i="49"/>
  <c r="Q61" i="49"/>
  <c r="P61" i="49"/>
  <c r="L61" i="49"/>
  <c r="V66" i="49"/>
  <c r="N66" i="49"/>
  <c r="O66" i="49" s="1"/>
  <c r="U66" i="49"/>
  <c r="T66" i="49"/>
  <c r="W66" i="49" s="1"/>
  <c r="S66" i="49"/>
  <c r="R66" i="49"/>
  <c r="Q66" i="49"/>
  <c r="P66" i="49"/>
  <c r="L66" i="49"/>
  <c r="V78" i="49"/>
  <c r="N78" i="49"/>
  <c r="O78" i="49" s="1"/>
  <c r="U78" i="49"/>
  <c r="T78" i="49"/>
  <c r="W78" i="49" s="1"/>
  <c r="S78" i="49"/>
  <c r="R78" i="49"/>
  <c r="Q78" i="49"/>
  <c r="P78" i="49"/>
  <c r="L78" i="49"/>
  <c r="V84" i="49"/>
  <c r="N84" i="49"/>
  <c r="O84" i="49" s="1"/>
  <c r="U84" i="49"/>
  <c r="T84" i="49"/>
  <c r="W84" i="49" s="1"/>
  <c r="S84" i="49"/>
  <c r="R84" i="49"/>
  <c r="Q84" i="49"/>
  <c r="P84" i="49"/>
  <c r="L84" i="49"/>
  <c r="V45" i="49"/>
  <c r="T45" i="49"/>
  <c r="W45" i="49" s="1"/>
  <c r="S45" i="49"/>
  <c r="R45" i="49"/>
  <c r="Q45" i="49"/>
  <c r="P45" i="49"/>
  <c r="U45" i="49"/>
  <c r="N45" i="49"/>
  <c r="O45" i="49" s="1"/>
  <c r="N13" i="49" l="1"/>
  <c r="O13" i="49" s="1"/>
  <c r="AC13" i="49"/>
  <c r="AB13" i="49"/>
  <c r="Z13" i="49"/>
  <c r="Y13" i="49"/>
  <c r="AA13" i="49"/>
  <c r="AC41" i="49"/>
  <c r="AB41" i="49"/>
  <c r="Y41" i="49"/>
  <c r="AA41" i="49"/>
  <c r="Z41" i="49"/>
  <c r="AC7" i="49"/>
  <c r="AB7" i="49"/>
  <c r="AA7" i="49"/>
  <c r="Z7" i="49"/>
  <c r="Y7" i="49"/>
  <c r="N72" i="49"/>
  <c r="O72" i="49" s="1"/>
  <c r="AC72" i="49"/>
  <c r="AB72" i="49"/>
  <c r="AA72" i="49"/>
  <c r="Z72" i="49"/>
  <c r="Y72" i="49"/>
  <c r="AC10" i="49"/>
  <c r="AB10" i="49"/>
  <c r="AA10" i="49"/>
  <c r="Z10" i="49"/>
  <c r="Y10" i="49"/>
  <c r="T72" i="49"/>
  <c r="W72" i="49" s="1"/>
  <c r="S13" i="49"/>
  <c r="T13" i="49"/>
  <c r="W13" i="49" s="1"/>
  <c r="U13" i="49"/>
  <c r="Q13" i="49"/>
  <c r="Q72" i="49"/>
  <c r="R13" i="49"/>
  <c r="R72" i="49"/>
  <c r="V13" i="49"/>
  <c r="P13" i="49"/>
  <c r="P72" i="49"/>
  <c r="S72" i="49"/>
  <c r="V7" i="49"/>
  <c r="N7" i="49"/>
  <c r="O7" i="49" s="1"/>
  <c r="T7" i="49"/>
  <c r="W7" i="49" s="1"/>
  <c r="S7" i="49"/>
  <c r="R7" i="49"/>
  <c r="Q7" i="49"/>
  <c r="P7" i="49"/>
  <c r="U7" i="49"/>
  <c r="U72" i="49"/>
  <c r="V10" i="49"/>
  <c r="N10" i="49"/>
  <c r="O10" i="49" s="1"/>
  <c r="U10" i="49"/>
  <c r="T10" i="49"/>
  <c r="W10" i="49" s="1"/>
  <c r="S10" i="49"/>
  <c r="R10" i="49"/>
  <c r="Q10" i="49"/>
  <c r="P10" i="49"/>
  <c r="V41" i="49"/>
  <c r="N41" i="49"/>
  <c r="O41" i="49" s="1"/>
  <c r="U41" i="49"/>
  <c r="T41" i="49"/>
  <c r="W41" i="49" s="1"/>
  <c r="R41" i="49"/>
  <c r="Q41" i="49"/>
  <c r="P41" i="49"/>
  <c r="S41" i="49"/>
  <c r="H117" i="49" l="1"/>
  <c r="B117" i="49"/>
  <c r="C117" i="49" s="1"/>
  <c r="E117" i="49" s="1"/>
  <c r="H108" i="49"/>
  <c r="B108" i="49"/>
  <c r="C108" i="49" s="1"/>
  <c r="E108" i="49" s="1"/>
  <c r="H104" i="49"/>
  <c r="B104" i="49"/>
  <c r="D104" i="49" s="1"/>
  <c r="H98" i="49"/>
  <c r="B98" i="49"/>
  <c r="D98" i="49" s="1"/>
  <c r="H91" i="49"/>
  <c r="B91" i="49"/>
  <c r="D91" i="49" s="1"/>
  <c r="H85" i="49"/>
  <c r="B85" i="49"/>
  <c r="H79" i="49"/>
  <c r="B79" i="49"/>
  <c r="D79" i="49" s="1"/>
  <c r="H73" i="49"/>
  <c r="B73" i="49"/>
  <c r="C73" i="49" s="1"/>
  <c r="E73" i="49" s="1"/>
  <c r="H67" i="49"/>
  <c r="B67" i="49"/>
  <c r="C67" i="49" s="1"/>
  <c r="E67" i="49" s="1"/>
  <c r="H62" i="49"/>
  <c r="B62" i="49"/>
  <c r="D62" i="49" s="1"/>
  <c r="H57" i="49"/>
  <c r="B57" i="49"/>
  <c r="C57" i="49" s="1"/>
  <c r="E57" i="49" s="1"/>
  <c r="H53" i="49"/>
  <c r="B53" i="49"/>
  <c r="D53" i="49" s="1"/>
  <c r="H49" i="49"/>
  <c r="B49" i="49"/>
  <c r="H46" i="49"/>
  <c r="B46" i="49"/>
  <c r="D46" i="49" s="1"/>
  <c r="H42" i="49"/>
  <c r="B42" i="49"/>
  <c r="D42" i="49" s="1"/>
  <c r="H39" i="49"/>
  <c r="B39" i="49"/>
  <c r="C39" i="49" s="1"/>
  <c r="E39" i="49" s="1"/>
  <c r="H36" i="49"/>
  <c r="B36" i="49"/>
  <c r="C36" i="49" s="1"/>
  <c r="E36" i="49" s="1"/>
  <c r="H33" i="49"/>
  <c r="B33" i="49"/>
  <c r="C33" i="49" s="1"/>
  <c r="E33" i="49" s="1"/>
  <c r="H30" i="49"/>
  <c r="B30" i="49"/>
  <c r="D30" i="49" s="1"/>
  <c r="H27" i="49"/>
  <c r="B27" i="49"/>
  <c r="D27" i="49" s="1"/>
  <c r="H24" i="49"/>
  <c r="B24" i="49"/>
  <c r="H21" i="49"/>
  <c r="B21" i="49"/>
  <c r="D21" i="49" s="1"/>
  <c r="H17" i="49"/>
  <c r="B17" i="49"/>
  <c r="C17" i="49" s="1"/>
  <c r="E17" i="49" s="1"/>
  <c r="H14" i="49"/>
  <c r="B14" i="49"/>
  <c r="C14" i="49" s="1"/>
  <c r="E14" i="49" s="1"/>
  <c r="H11" i="49"/>
  <c r="B11" i="49"/>
  <c r="C11" i="49" s="1"/>
  <c r="E11" i="49" s="1"/>
  <c r="C62" i="49" l="1"/>
  <c r="E62" i="49" s="1"/>
  <c r="D108" i="49"/>
  <c r="F108" i="49" s="1"/>
  <c r="C30" i="49"/>
  <c r="E30" i="49" s="1"/>
  <c r="F30" i="49" s="1"/>
  <c r="M30" i="49" s="1"/>
  <c r="D39" i="49"/>
  <c r="F39" i="49" s="1"/>
  <c r="L39" i="49" s="1"/>
  <c r="D17" i="49"/>
  <c r="F17" i="49" s="1"/>
  <c r="M17" i="49" s="1"/>
  <c r="D33" i="49"/>
  <c r="F33" i="49" s="1"/>
  <c r="L33" i="49" s="1"/>
  <c r="D73" i="49"/>
  <c r="F73" i="49" s="1"/>
  <c r="L73" i="49" s="1"/>
  <c r="C104" i="49"/>
  <c r="E104" i="49" s="1"/>
  <c r="F104" i="49" s="1"/>
  <c r="D14" i="49"/>
  <c r="F14" i="49" s="1"/>
  <c r="L14" i="49" s="1"/>
  <c r="C46" i="49"/>
  <c r="E46" i="49" s="1"/>
  <c r="F46" i="49" s="1"/>
  <c r="M46" i="49" s="1"/>
  <c r="D57" i="49"/>
  <c r="F57" i="49" s="1"/>
  <c r="M57" i="49" s="1"/>
  <c r="D117" i="49"/>
  <c r="F117" i="49" s="1"/>
  <c r="L117" i="49" s="1"/>
  <c r="D36" i="49"/>
  <c r="F36" i="49" s="1"/>
  <c r="M36" i="49" s="1"/>
  <c r="F62" i="49"/>
  <c r="M62" i="49" s="1"/>
  <c r="D11" i="49"/>
  <c r="F11" i="49" s="1"/>
  <c r="C85" i="49"/>
  <c r="E85" i="49" s="1"/>
  <c r="D85" i="49"/>
  <c r="C79" i="49"/>
  <c r="E79" i="49" s="1"/>
  <c r="D49" i="49"/>
  <c r="C49" i="49"/>
  <c r="E49" i="49" s="1"/>
  <c r="D67" i="49"/>
  <c r="F67" i="49" s="1"/>
  <c r="C42" i="49"/>
  <c r="E42" i="49" s="1"/>
  <c r="C21" i="49"/>
  <c r="E21" i="49" s="1"/>
  <c r="C24" i="49"/>
  <c r="E24" i="49" s="1"/>
  <c r="D24" i="49"/>
  <c r="C91" i="49"/>
  <c r="E91" i="49" s="1"/>
  <c r="C27" i="49"/>
  <c r="E27" i="49" s="1"/>
  <c r="C53" i="49"/>
  <c r="E53" i="49" s="1"/>
  <c r="C98" i="49"/>
  <c r="E98" i="49" s="1"/>
  <c r="AC62" i="49" l="1"/>
  <c r="AB62" i="49"/>
  <c r="Y62" i="49"/>
  <c r="AA62" i="49"/>
  <c r="Z62" i="49"/>
  <c r="AC36" i="49"/>
  <c r="AB36" i="49"/>
  <c r="AA36" i="49"/>
  <c r="Z36" i="49"/>
  <c r="Y36" i="49"/>
  <c r="AC17" i="49"/>
  <c r="AB17" i="49"/>
  <c r="AA17" i="49"/>
  <c r="Z17" i="49"/>
  <c r="Y17" i="49"/>
  <c r="AC57" i="49"/>
  <c r="AB57" i="49"/>
  <c r="AA57" i="49"/>
  <c r="Z57" i="49"/>
  <c r="Y57" i="49"/>
  <c r="AC46" i="49"/>
  <c r="AB46" i="49"/>
  <c r="Y46" i="49"/>
  <c r="AA46" i="49"/>
  <c r="Z46" i="49"/>
  <c r="S30" i="49"/>
  <c r="AC30" i="49"/>
  <c r="AB30" i="49"/>
  <c r="Y30" i="49"/>
  <c r="AA30" i="49"/>
  <c r="Z30" i="49"/>
  <c r="L30" i="49"/>
  <c r="R30" i="49"/>
  <c r="T30" i="49"/>
  <c r="W30" i="49" s="1"/>
  <c r="P30" i="49"/>
  <c r="U30" i="49"/>
  <c r="L108" i="49"/>
  <c r="M108" i="49"/>
  <c r="V30" i="49"/>
  <c r="M104" i="49"/>
  <c r="Q30" i="49"/>
  <c r="N30" i="49"/>
  <c r="O30" i="49" s="1"/>
  <c r="L62" i="49"/>
  <c r="M39" i="49"/>
  <c r="L104" i="49"/>
  <c r="L57" i="49"/>
  <c r="M117" i="49"/>
  <c r="L46" i="49"/>
  <c r="M67" i="49"/>
  <c r="L67" i="49"/>
  <c r="U36" i="49"/>
  <c r="S36" i="49"/>
  <c r="T36" i="49"/>
  <c r="W36" i="49" s="1"/>
  <c r="R36" i="49"/>
  <c r="P36" i="49"/>
  <c r="N36" i="49"/>
  <c r="O36" i="49" s="1"/>
  <c r="Q36" i="49"/>
  <c r="V36" i="49"/>
  <c r="L11" i="49"/>
  <c r="M11" i="49"/>
  <c r="R46" i="49"/>
  <c r="Q46" i="49"/>
  <c r="P46" i="49"/>
  <c r="T46" i="49"/>
  <c r="W46" i="49" s="1"/>
  <c r="V46" i="49"/>
  <c r="U46" i="49"/>
  <c r="S46" i="49"/>
  <c r="N46" i="49"/>
  <c r="O46" i="49" s="1"/>
  <c r="S17" i="49"/>
  <c r="Q17" i="49"/>
  <c r="R17" i="49"/>
  <c r="U17" i="49"/>
  <c r="V17" i="49"/>
  <c r="T17" i="49"/>
  <c r="W17" i="49" s="1"/>
  <c r="P17" i="49"/>
  <c r="N17" i="49"/>
  <c r="O17" i="49" s="1"/>
  <c r="V62" i="49"/>
  <c r="N62" i="49"/>
  <c r="O62" i="49" s="1"/>
  <c r="T62" i="49"/>
  <c r="W62" i="49" s="1"/>
  <c r="S62" i="49"/>
  <c r="U62" i="49"/>
  <c r="P62" i="49"/>
  <c r="Q62" i="49"/>
  <c r="R62" i="49"/>
  <c r="F53" i="49"/>
  <c r="M53" i="49" s="1"/>
  <c r="L36" i="49"/>
  <c r="M33" i="49"/>
  <c r="F27" i="49"/>
  <c r="M27" i="49" s="1"/>
  <c r="F98" i="49"/>
  <c r="L98" i="49" s="1"/>
  <c r="F91" i="49"/>
  <c r="L91" i="49" s="1"/>
  <c r="M73" i="49"/>
  <c r="F85" i="49"/>
  <c r="M85" i="49" s="1"/>
  <c r="L17" i="49"/>
  <c r="F42" i="49"/>
  <c r="M42" i="49" s="1"/>
  <c r="F49" i="49"/>
  <c r="L49" i="49" s="1"/>
  <c r="M14" i="49"/>
  <c r="F24" i="49"/>
  <c r="L24" i="49" s="1"/>
  <c r="U57" i="49"/>
  <c r="V57" i="49"/>
  <c r="N57" i="49"/>
  <c r="O57" i="49" s="1"/>
  <c r="T57" i="49"/>
  <c r="W57" i="49" s="1"/>
  <c r="Q57" i="49"/>
  <c r="S57" i="49"/>
  <c r="P57" i="49"/>
  <c r="R57" i="49"/>
  <c r="F21" i="49"/>
  <c r="L21" i="49" s="1"/>
  <c r="F79" i="49"/>
  <c r="M79" i="49" s="1"/>
  <c r="T104" i="49" l="1"/>
  <c r="W104" i="49" s="1"/>
  <c r="AC104" i="49"/>
  <c r="AB104" i="49"/>
  <c r="AA104" i="49"/>
  <c r="Z104" i="49"/>
  <c r="Y104" i="49"/>
  <c r="AC33" i="49"/>
  <c r="AB33" i="49"/>
  <c r="Z33" i="49"/>
  <c r="Y33" i="49"/>
  <c r="AA33" i="49"/>
  <c r="S117" i="49"/>
  <c r="AC117" i="49"/>
  <c r="AB117" i="49"/>
  <c r="AA117" i="49"/>
  <c r="Z117" i="49"/>
  <c r="Y117" i="49"/>
  <c r="AC42" i="49"/>
  <c r="AB42" i="49"/>
  <c r="AA42" i="49"/>
  <c r="Z42" i="49"/>
  <c r="Y42" i="49"/>
  <c r="AC27" i="49"/>
  <c r="AB27" i="49"/>
  <c r="Z27" i="49"/>
  <c r="Y27" i="49"/>
  <c r="AA27" i="49"/>
  <c r="AC53" i="49"/>
  <c r="AB53" i="49"/>
  <c r="AA53" i="49"/>
  <c r="Z53" i="49"/>
  <c r="Y53" i="49"/>
  <c r="AC85" i="49"/>
  <c r="AB85" i="49"/>
  <c r="AA85" i="49"/>
  <c r="Z85" i="49"/>
  <c r="Y85" i="49"/>
  <c r="AC79" i="49"/>
  <c r="AB79" i="49"/>
  <c r="AA79" i="49"/>
  <c r="Z79" i="49"/>
  <c r="Y79" i="49"/>
  <c r="AC14" i="49"/>
  <c r="AB14" i="49"/>
  <c r="Y14" i="49"/>
  <c r="AA14" i="49"/>
  <c r="Z14" i="49"/>
  <c r="N108" i="49"/>
  <c r="O108" i="49" s="1"/>
  <c r="AC108" i="49"/>
  <c r="AB108" i="49"/>
  <c r="Z108" i="49"/>
  <c r="Y108" i="49"/>
  <c r="AA108" i="49"/>
  <c r="AC11" i="49"/>
  <c r="AB11" i="49"/>
  <c r="Z11" i="49"/>
  <c r="AA11" i="49"/>
  <c r="Y11" i="49"/>
  <c r="P39" i="49"/>
  <c r="AC39" i="49"/>
  <c r="AB39" i="49"/>
  <c r="AA39" i="49"/>
  <c r="Z39" i="49"/>
  <c r="Y39" i="49"/>
  <c r="AC73" i="49"/>
  <c r="AB73" i="49"/>
  <c r="AA73" i="49"/>
  <c r="Z73" i="49"/>
  <c r="Y73" i="49"/>
  <c r="AC67" i="49"/>
  <c r="AB67" i="49"/>
  <c r="Z67" i="49"/>
  <c r="Y67" i="49"/>
  <c r="AA67" i="49"/>
  <c r="V108" i="49"/>
  <c r="Q108" i="49"/>
  <c r="R108" i="49"/>
  <c r="P108" i="49"/>
  <c r="T108" i="49"/>
  <c r="W108" i="49" s="1"/>
  <c r="S108" i="49"/>
  <c r="U108" i="49"/>
  <c r="P117" i="49"/>
  <c r="U117" i="49"/>
  <c r="R104" i="49"/>
  <c r="S104" i="49"/>
  <c r="U104" i="49"/>
  <c r="V39" i="49"/>
  <c r="P104" i="49"/>
  <c r="Q104" i="49"/>
  <c r="N104" i="49"/>
  <c r="O104" i="49" s="1"/>
  <c r="V104" i="49"/>
  <c r="Q39" i="49"/>
  <c r="U39" i="49"/>
  <c r="N39" i="49"/>
  <c r="O39" i="49" s="1"/>
  <c r="L85" i="49"/>
  <c r="M21" i="49"/>
  <c r="R39" i="49"/>
  <c r="N117" i="49"/>
  <c r="O117" i="49" s="1"/>
  <c r="S39" i="49"/>
  <c r="T39" i="49"/>
  <c r="W39" i="49" s="1"/>
  <c r="R117" i="49"/>
  <c r="Q117" i="49"/>
  <c r="T117" i="49"/>
  <c r="W117" i="49" s="1"/>
  <c r="L53" i="49"/>
  <c r="L27" i="49"/>
  <c r="V117" i="49"/>
  <c r="M98" i="49"/>
  <c r="M49" i="49"/>
  <c r="S79" i="49"/>
  <c r="P79" i="49"/>
  <c r="R79" i="49"/>
  <c r="Q79" i="49"/>
  <c r="U79" i="49"/>
  <c r="T79" i="49"/>
  <c r="W79" i="49" s="1"/>
  <c r="N79" i="49"/>
  <c r="O79" i="49" s="1"/>
  <c r="V79" i="49"/>
  <c r="S42" i="49"/>
  <c r="R42" i="49"/>
  <c r="Q42" i="49"/>
  <c r="U42" i="49"/>
  <c r="V42" i="49"/>
  <c r="T42" i="49"/>
  <c r="W42" i="49" s="1"/>
  <c r="P42" i="49"/>
  <c r="N42" i="49"/>
  <c r="O42" i="49" s="1"/>
  <c r="P27" i="49"/>
  <c r="V27" i="49"/>
  <c r="N27" i="49"/>
  <c r="O27" i="49" s="1"/>
  <c r="R27" i="49"/>
  <c r="S27" i="49"/>
  <c r="T27" i="49"/>
  <c r="W27" i="49" s="1"/>
  <c r="Q27" i="49"/>
  <c r="U27" i="49"/>
  <c r="R85" i="49"/>
  <c r="Q85" i="49"/>
  <c r="P85" i="49"/>
  <c r="T85" i="49"/>
  <c r="W85" i="49" s="1"/>
  <c r="S85" i="49"/>
  <c r="U85" i="49"/>
  <c r="N85" i="49"/>
  <c r="O85" i="49" s="1"/>
  <c r="V85" i="49"/>
  <c r="L79" i="49"/>
  <c r="M24" i="49"/>
  <c r="T14" i="49"/>
  <c r="W14" i="49" s="1"/>
  <c r="R14" i="49"/>
  <c r="S14" i="49"/>
  <c r="V14" i="49"/>
  <c r="N14" i="49"/>
  <c r="O14" i="49" s="1"/>
  <c r="U14" i="49"/>
  <c r="Q14" i="49"/>
  <c r="P14" i="49"/>
  <c r="U11" i="49"/>
  <c r="S11" i="49"/>
  <c r="T11" i="49"/>
  <c r="W11" i="49" s="1"/>
  <c r="Q11" i="49"/>
  <c r="N11" i="49"/>
  <c r="O11" i="49" s="1"/>
  <c r="P11" i="49"/>
  <c r="V11" i="49"/>
  <c r="R11" i="49"/>
  <c r="T73" i="49"/>
  <c r="W73" i="49" s="1"/>
  <c r="Q73" i="49"/>
  <c r="S73" i="49"/>
  <c r="R73" i="49"/>
  <c r="V73" i="49"/>
  <c r="N73" i="49"/>
  <c r="O73" i="49" s="1"/>
  <c r="P73" i="49"/>
  <c r="U73" i="49"/>
  <c r="P53" i="49"/>
  <c r="N53" i="49"/>
  <c r="O53" i="49" s="1"/>
  <c r="V53" i="49"/>
  <c r="U53" i="49"/>
  <c r="R53" i="49"/>
  <c r="S53" i="49"/>
  <c r="Q53" i="49"/>
  <c r="T53" i="49"/>
  <c r="W53" i="49" s="1"/>
  <c r="L42" i="49"/>
  <c r="M91" i="49"/>
  <c r="V33" i="49"/>
  <c r="N33" i="49"/>
  <c r="O33" i="49" s="1"/>
  <c r="T33" i="49"/>
  <c r="W33" i="49" s="1"/>
  <c r="U33" i="49"/>
  <c r="P33" i="49"/>
  <c r="R33" i="49"/>
  <c r="Q33" i="49"/>
  <c r="S33" i="49"/>
  <c r="U67" i="49"/>
  <c r="R67" i="49"/>
  <c r="T67" i="49"/>
  <c r="W67" i="49" s="1"/>
  <c r="S67" i="49"/>
  <c r="Q67" i="49"/>
  <c r="N67" i="49"/>
  <c r="O67" i="49" s="1"/>
  <c r="V67" i="49"/>
  <c r="P67" i="49"/>
  <c r="I5" i="69"/>
  <c r="E5" i="69"/>
  <c r="B5" i="69"/>
  <c r="C5" i="69" s="1"/>
  <c r="G5" i="69" s="1"/>
  <c r="I3" i="69"/>
  <c r="E3" i="69"/>
  <c r="B3" i="69"/>
  <c r="D3" i="69" s="1"/>
  <c r="J5" i="67"/>
  <c r="E5" i="67"/>
  <c r="B5" i="67"/>
  <c r="D5" i="67" s="1"/>
  <c r="J3" i="67"/>
  <c r="E3" i="67"/>
  <c r="B3" i="67"/>
  <c r="D3" i="67" s="1"/>
  <c r="H3" i="10"/>
  <c r="B3" i="10"/>
  <c r="D3" i="10" s="1"/>
  <c r="G4" i="13"/>
  <c r="B4" i="13"/>
  <c r="D4" i="13" s="1"/>
  <c r="J3" i="8"/>
  <c r="E3" i="8"/>
  <c r="B3" i="8"/>
  <c r="C3" i="8" s="1"/>
  <c r="G3" i="8" s="1"/>
  <c r="AC91" i="49" l="1"/>
  <c r="AB91" i="49"/>
  <c r="Z91" i="49"/>
  <c r="Y91" i="49"/>
  <c r="AA91" i="49"/>
  <c r="N21" i="49"/>
  <c r="O21" i="49" s="1"/>
  <c r="AC21" i="49"/>
  <c r="AB21" i="49"/>
  <c r="AA21" i="49"/>
  <c r="Z21" i="49"/>
  <c r="Y21" i="49"/>
  <c r="P49" i="49"/>
  <c r="AC49" i="49"/>
  <c r="AB49" i="49"/>
  <c r="AA49" i="49"/>
  <c r="Z49" i="49"/>
  <c r="Y49" i="49"/>
  <c r="Q98" i="49"/>
  <c r="AC98" i="49"/>
  <c r="AB98" i="49"/>
  <c r="AA98" i="49"/>
  <c r="Z98" i="49"/>
  <c r="Y98" i="49"/>
  <c r="AC24" i="49"/>
  <c r="AB24" i="49"/>
  <c r="AA24" i="49"/>
  <c r="Z24" i="49"/>
  <c r="Y24" i="49"/>
  <c r="V98" i="49"/>
  <c r="T98" i="49"/>
  <c r="W98" i="49" s="1"/>
  <c r="V21" i="49"/>
  <c r="S21" i="49"/>
  <c r="T21" i="49"/>
  <c r="W21" i="49" s="1"/>
  <c r="U21" i="49"/>
  <c r="U49" i="49"/>
  <c r="R49" i="49"/>
  <c r="Q49" i="49"/>
  <c r="N49" i="49"/>
  <c r="O49" i="49" s="1"/>
  <c r="S98" i="49"/>
  <c r="R98" i="49"/>
  <c r="V49" i="49"/>
  <c r="T49" i="49"/>
  <c r="W49" i="49" s="1"/>
  <c r="U98" i="49"/>
  <c r="S49" i="49"/>
  <c r="N98" i="49"/>
  <c r="O98" i="49" s="1"/>
  <c r="P98" i="49"/>
  <c r="Q91" i="49"/>
  <c r="P91" i="49"/>
  <c r="V91" i="49"/>
  <c r="N91" i="49"/>
  <c r="O91" i="49" s="1"/>
  <c r="S91" i="49"/>
  <c r="R91" i="49"/>
  <c r="U91" i="49"/>
  <c r="T91" i="49"/>
  <c r="W91" i="49" s="1"/>
  <c r="Q24" i="49"/>
  <c r="P24" i="49"/>
  <c r="S24" i="49"/>
  <c r="U24" i="49"/>
  <c r="R24" i="49"/>
  <c r="N24" i="49"/>
  <c r="O24" i="49" s="1"/>
  <c r="V24" i="49"/>
  <c r="T24" i="49"/>
  <c r="W24" i="49" s="1"/>
  <c r="D5" i="69"/>
  <c r="H5" i="69" s="1"/>
  <c r="C3" i="69"/>
  <c r="G3" i="69" s="1"/>
  <c r="C5" i="67"/>
  <c r="G5" i="67" s="1"/>
  <c r="C3" i="67"/>
  <c r="G3" i="67" s="1"/>
  <c r="C3" i="10"/>
  <c r="E3" i="10" s="1"/>
  <c r="C4" i="13"/>
  <c r="E4" i="13" s="1"/>
  <c r="D3" i="8"/>
  <c r="H3" i="8" s="1"/>
  <c r="I4" i="69"/>
  <c r="E4" i="69"/>
  <c r="B4" i="69"/>
  <c r="C4" i="69" s="1"/>
  <c r="G4" i="69" s="1"/>
  <c r="J4" i="67"/>
  <c r="E4" i="67"/>
  <c r="B4" i="67"/>
  <c r="D4" i="67" s="1"/>
  <c r="M5" i="69" l="1"/>
  <c r="L5" i="69"/>
  <c r="H3" i="69"/>
  <c r="L3" i="69" s="1"/>
  <c r="D4" i="69"/>
  <c r="H4" i="69" s="1"/>
  <c r="M4" i="69" s="1"/>
  <c r="H5" i="67"/>
  <c r="M5" i="67" s="1"/>
  <c r="H3" i="67"/>
  <c r="M3" i="67" s="1"/>
  <c r="F3" i="10"/>
  <c r="L3" i="10" s="1"/>
  <c r="F4" i="13"/>
  <c r="L4" i="13" s="1"/>
  <c r="L3" i="8"/>
  <c r="M3" i="8"/>
  <c r="C4" i="67"/>
  <c r="G4" i="67" s="1"/>
  <c r="V5" i="69" l="1"/>
  <c r="N5" i="69"/>
  <c r="U5" i="69"/>
  <c r="T5" i="69"/>
  <c r="S5" i="69"/>
  <c r="R5" i="69"/>
  <c r="Q5" i="69"/>
  <c r="P5" i="69"/>
  <c r="M3" i="69"/>
  <c r="T5" i="67"/>
  <c r="S5" i="67"/>
  <c r="R5" i="67"/>
  <c r="Q5" i="67"/>
  <c r="N5" i="67"/>
  <c r="U5" i="67"/>
  <c r="P5" i="67"/>
  <c r="V5" i="67"/>
  <c r="L5" i="67"/>
  <c r="T3" i="67"/>
  <c r="S3" i="67"/>
  <c r="R3" i="67"/>
  <c r="Q3" i="67"/>
  <c r="P3" i="67"/>
  <c r="V3" i="67"/>
  <c r="N3" i="67"/>
  <c r="U3" i="67"/>
  <c r="L3" i="67"/>
  <c r="M3" i="10"/>
  <c r="M4" i="13"/>
  <c r="V3" i="8"/>
  <c r="N3" i="8"/>
  <c r="U3" i="8"/>
  <c r="T3" i="8"/>
  <c r="S3" i="8"/>
  <c r="R3" i="8"/>
  <c r="Q3" i="8"/>
  <c r="P3" i="8"/>
  <c r="V4" i="69"/>
  <c r="N4" i="69"/>
  <c r="U4" i="69"/>
  <c r="T4" i="69"/>
  <c r="S4" i="69"/>
  <c r="R4" i="69"/>
  <c r="Q4" i="69"/>
  <c r="P4" i="69"/>
  <c r="L4" i="69"/>
  <c r="H4" i="67"/>
  <c r="M4" i="67" s="1"/>
  <c r="O4" i="69" l="1"/>
  <c r="O5" i="69"/>
  <c r="O3" i="67"/>
  <c r="O3" i="8"/>
  <c r="O5" i="67"/>
  <c r="T3" i="69"/>
  <c r="R3" i="69"/>
  <c r="S3" i="69"/>
  <c r="Q3" i="69"/>
  <c r="P3" i="69"/>
  <c r="V3" i="69"/>
  <c r="N3" i="69"/>
  <c r="U3" i="69"/>
  <c r="V3" i="10"/>
  <c r="N3" i="10"/>
  <c r="T3" i="10"/>
  <c r="S3" i="10"/>
  <c r="R3" i="10"/>
  <c r="Q3" i="10"/>
  <c r="P3" i="10"/>
  <c r="U3" i="10"/>
  <c r="Q4" i="13"/>
  <c r="R4" i="13"/>
  <c r="P4" i="13"/>
  <c r="N4" i="13"/>
  <c r="U4" i="13"/>
  <c r="T4" i="13"/>
  <c r="S4" i="13"/>
  <c r="V4" i="13"/>
  <c r="R4" i="67"/>
  <c r="Q4" i="67"/>
  <c r="P4" i="67"/>
  <c r="U4" i="67"/>
  <c r="V4" i="67"/>
  <c r="N4" i="67"/>
  <c r="T4" i="67"/>
  <c r="S4" i="67"/>
  <c r="L4" i="67"/>
  <c r="O3" i="10" l="1"/>
  <c r="O3" i="69"/>
  <c r="O4" i="67"/>
  <c r="O4" i="13"/>
  <c r="B2" i="67" l="1"/>
  <c r="D2" i="67" s="1"/>
  <c r="B2" i="69"/>
  <c r="C2" i="69" s="1"/>
  <c r="E2" i="69"/>
  <c r="E2" i="67"/>
  <c r="B2" i="10"/>
  <c r="D2" i="10" s="1"/>
  <c r="H4" i="10"/>
  <c r="B4" i="10"/>
  <c r="C4" i="10" s="1"/>
  <c r="E4" i="10" s="1"/>
  <c r="J4" i="8"/>
  <c r="E4" i="8"/>
  <c r="B4" i="8"/>
  <c r="D4" i="8" s="1"/>
  <c r="B2" i="49"/>
  <c r="C2" i="49" s="1"/>
  <c r="B2" i="18"/>
  <c r="D2" i="18" s="1"/>
  <c r="B2" i="50"/>
  <c r="D2" i="50" s="1"/>
  <c r="G3" i="13"/>
  <c r="B3" i="13"/>
  <c r="D3" i="13" s="1"/>
  <c r="B2" i="13"/>
  <c r="D2" i="13" s="1"/>
  <c r="B2" i="12"/>
  <c r="C2" i="12" s="1"/>
  <c r="B2" i="8"/>
  <c r="D2" i="8" s="1"/>
  <c r="B2" i="11"/>
  <c r="D2" i="11" s="1"/>
  <c r="H3" i="25"/>
  <c r="B3" i="25"/>
  <c r="C3" i="25" s="1"/>
  <c r="E3" i="25" s="1"/>
  <c r="G3" i="17"/>
  <c r="B3" i="17"/>
  <c r="C3" i="17" s="1"/>
  <c r="E3" i="17" s="1"/>
  <c r="I3" i="24"/>
  <c r="B3" i="24"/>
  <c r="C3" i="24" s="1"/>
  <c r="G3" i="24" s="1"/>
  <c r="J3" i="9"/>
  <c r="B3" i="9"/>
  <c r="D3" i="9" s="1"/>
  <c r="I3" i="27"/>
  <c r="B3" i="27"/>
  <c r="C3" i="27" s="1"/>
  <c r="G3" i="27" s="1"/>
  <c r="B2" i="25"/>
  <c r="D2" i="25" s="1"/>
  <c r="B2" i="17"/>
  <c r="C2" i="17" s="1"/>
  <c r="B2" i="24"/>
  <c r="C2" i="24" s="1"/>
  <c r="B2" i="9"/>
  <c r="C2" i="9" s="1"/>
  <c r="B2" i="27"/>
  <c r="C2" i="27" s="1"/>
  <c r="B2" i="5"/>
  <c r="D2" i="5" s="1"/>
  <c r="D3" i="24" l="1"/>
  <c r="D3" i="27"/>
  <c r="C3" i="9"/>
  <c r="G3" i="9" s="1"/>
  <c r="H3" i="9" s="1"/>
  <c r="M3" i="9" s="1"/>
  <c r="D2" i="69"/>
  <c r="C2" i="67"/>
  <c r="D4" i="10"/>
  <c r="F4" i="10" s="1"/>
  <c r="C4" i="8"/>
  <c r="G4" i="8" s="1"/>
  <c r="D2" i="49"/>
  <c r="C2" i="50"/>
  <c r="C3" i="13"/>
  <c r="E3" i="13" s="1"/>
  <c r="C2" i="8"/>
  <c r="C2" i="10"/>
  <c r="C2" i="13"/>
  <c r="D2" i="12"/>
  <c r="C2" i="11"/>
  <c r="D3" i="25"/>
  <c r="F3" i="25" s="1"/>
  <c r="C2" i="25"/>
  <c r="D3" i="17"/>
  <c r="F3" i="17" s="1"/>
  <c r="H3" i="24"/>
  <c r="L3" i="24" s="1"/>
  <c r="H3" i="27"/>
  <c r="L3" i="27" s="1"/>
  <c r="D2" i="17"/>
  <c r="D2" i="24"/>
  <c r="D2" i="9"/>
  <c r="D2" i="27"/>
  <c r="C2" i="18"/>
  <c r="C2" i="5"/>
  <c r="V3" i="9" l="1"/>
  <c r="M4" i="10"/>
  <c r="L4" i="10"/>
  <c r="H4" i="8"/>
  <c r="L4" i="8" s="1"/>
  <c r="F3" i="13"/>
  <c r="M3" i="13" s="1"/>
  <c r="M3" i="25"/>
  <c r="L3" i="25"/>
  <c r="M3" i="17"/>
  <c r="L3" i="17"/>
  <c r="M3" i="24"/>
  <c r="N3" i="9"/>
  <c r="U3" i="9"/>
  <c r="R3" i="9"/>
  <c r="T3" i="9"/>
  <c r="S3" i="9"/>
  <c r="Q3" i="9"/>
  <c r="P3" i="9"/>
  <c r="L3" i="9"/>
  <c r="M3" i="27"/>
  <c r="O3" i="9" l="1"/>
  <c r="V4" i="10"/>
  <c r="N4" i="10"/>
  <c r="U4" i="10"/>
  <c r="T4" i="10"/>
  <c r="S4" i="10"/>
  <c r="R4" i="10"/>
  <c r="Q4" i="10"/>
  <c r="P4" i="10"/>
  <c r="M4" i="8"/>
  <c r="V3" i="13"/>
  <c r="N3" i="13"/>
  <c r="S3" i="13"/>
  <c r="T3" i="13"/>
  <c r="R3" i="13"/>
  <c r="P3" i="13"/>
  <c r="Q3" i="13"/>
  <c r="U3" i="13"/>
  <c r="L3" i="13"/>
  <c r="V3" i="25"/>
  <c r="N3" i="25"/>
  <c r="T3" i="25"/>
  <c r="S3" i="25"/>
  <c r="R3" i="25"/>
  <c r="U3" i="25"/>
  <c r="Q3" i="25"/>
  <c r="P3" i="25"/>
  <c r="V3" i="17"/>
  <c r="N3" i="17"/>
  <c r="U3" i="17"/>
  <c r="T3" i="17"/>
  <c r="S3" i="17"/>
  <c r="R3" i="17"/>
  <c r="Q3" i="17"/>
  <c r="P3" i="17"/>
  <c r="V3" i="24"/>
  <c r="N3" i="24"/>
  <c r="U3" i="24"/>
  <c r="T3" i="24"/>
  <c r="R3" i="24"/>
  <c r="S3" i="24"/>
  <c r="Q3" i="24"/>
  <c r="P3" i="24"/>
  <c r="V3" i="27"/>
  <c r="N3" i="27"/>
  <c r="U3" i="27"/>
  <c r="T3" i="27"/>
  <c r="S3" i="27"/>
  <c r="R3" i="27"/>
  <c r="Q3" i="27"/>
  <c r="P3" i="27"/>
  <c r="O3" i="13" l="1"/>
  <c r="O3" i="27"/>
  <c r="O3" i="24"/>
  <c r="O3" i="17"/>
  <c r="O3" i="25"/>
  <c r="O4" i="10"/>
  <c r="T4" i="8"/>
  <c r="S4" i="8"/>
  <c r="Q4" i="8"/>
  <c r="P4" i="8"/>
  <c r="R4" i="8"/>
  <c r="V4" i="8"/>
  <c r="N4" i="8"/>
  <c r="U4" i="8"/>
  <c r="O4" i="8" l="1"/>
  <c r="G2" i="18" l="1"/>
  <c r="H2" i="18" s="1"/>
  <c r="E2" i="25" l="1"/>
  <c r="H2" i="25"/>
  <c r="G2" i="17"/>
  <c r="E2" i="17" l="1"/>
  <c r="F2" i="17" s="1"/>
  <c r="M2" i="17" s="1"/>
  <c r="F2" i="25"/>
  <c r="L2" i="17" l="1"/>
  <c r="N2" i="17"/>
  <c r="O2" i="17" s="1"/>
  <c r="V2" i="17"/>
  <c r="P2" i="17"/>
  <c r="Q2" i="17"/>
  <c r="R2" i="17"/>
  <c r="S2" i="17"/>
  <c r="U2" i="17"/>
  <c r="T2" i="17"/>
  <c r="G2" i="69" l="1"/>
  <c r="H2" i="69" s="1"/>
  <c r="I2" i="69"/>
  <c r="G2" i="67"/>
  <c r="J2" i="67"/>
  <c r="M2" i="69" l="1"/>
  <c r="H2" i="67"/>
  <c r="M2" i="67" s="1"/>
  <c r="H2" i="50"/>
  <c r="H2" i="10"/>
  <c r="G2" i="13"/>
  <c r="I2" i="12"/>
  <c r="I2" i="24"/>
  <c r="J2" i="8"/>
  <c r="J2" i="9"/>
  <c r="I2" i="11"/>
  <c r="I2" i="27"/>
  <c r="H2" i="49"/>
  <c r="H2" i="5"/>
  <c r="I2" i="18"/>
  <c r="L2" i="69" l="1"/>
  <c r="L2" i="67"/>
  <c r="R2" i="69" l="1"/>
  <c r="Q2" i="69"/>
  <c r="P2" i="69"/>
  <c r="N2" i="69"/>
  <c r="V2" i="69"/>
  <c r="S2" i="69"/>
  <c r="U2" i="69"/>
  <c r="T2" i="69"/>
  <c r="N2" i="67"/>
  <c r="V2" i="67"/>
  <c r="P2" i="67"/>
  <c r="Q2" i="67"/>
  <c r="S2" i="67"/>
  <c r="T2" i="67"/>
  <c r="U2" i="67"/>
  <c r="R2" i="67"/>
  <c r="O2" i="67" l="1"/>
  <c r="O2" i="69"/>
  <c r="E2" i="50" l="1"/>
  <c r="F2" i="50" s="1"/>
  <c r="E2" i="49"/>
  <c r="F2" i="49" s="1"/>
  <c r="F2" i="5"/>
  <c r="G2" i="5" s="1"/>
  <c r="M2" i="50" l="1"/>
  <c r="W2" i="50" s="1"/>
  <c r="M2" i="49"/>
  <c r="M2" i="5"/>
  <c r="T2" i="50" l="1"/>
  <c r="Q2" i="50"/>
  <c r="P2" i="50"/>
  <c r="R2" i="50"/>
  <c r="V2" i="50"/>
  <c r="U2" i="50"/>
  <c r="S2" i="50"/>
  <c r="N2" i="50"/>
  <c r="T2" i="49"/>
  <c r="R2" i="49"/>
  <c r="U2" i="49"/>
  <c r="Q2" i="49"/>
  <c r="V2" i="49"/>
  <c r="S2" i="49"/>
  <c r="P2" i="49"/>
  <c r="N2" i="49"/>
  <c r="T2" i="5"/>
  <c r="S2" i="5"/>
  <c r="N2" i="5"/>
  <c r="P2" i="5"/>
  <c r="Q2" i="5"/>
  <c r="R2" i="5"/>
  <c r="U2" i="5"/>
  <c r="V2" i="5"/>
  <c r="L2" i="5"/>
  <c r="L2" i="50"/>
  <c r="L2" i="49"/>
  <c r="AA2" i="49" l="1"/>
  <c r="Y2" i="49"/>
  <c r="Z2" i="49"/>
  <c r="O2" i="49"/>
  <c r="O2" i="50"/>
  <c r="O2" i="5"/>
  <c r="G2" i="27" l="1"/>
  <c r="H2" i="27" s="1"/>
  <c r="G2" i="24"/>
  <c r="H2" i="24" s="1"/>
  <c r="L2" i="25" l="1"/>
  <c r="M2" i="24"/>
  <c r="L2" i="27"/>
  <c r="M2" i="25" l="1"/>
  <c r="S2" i="24"/>
  <c r="T2" i="24"/>
  <c r="N2" i="24"/>
  <c r="Q2" i="24"/>
  <c r="R2" i="24"/>
  <c r="U2" i="24"/>
  <c r="V2" i="24"/>
  <c r="P2" i="24"/>
  <c r="L2" i="24"/>
  <c r="M2" i="27"/>
  <c r="O2" i="24" l="1"/>
  <c r="T2" i="25"/>
  <c r="U2" i="25"/>
  <c r="N2" i="25"/>
  <c r="Q2" i="25"/>
  <c r="R2" i="25"/>
  <c r="S2" i="25"/>
  <c r="P2" i="25"/>
  <c r="V2" i="25"/>
  <c r="V2" i="27"/>
  <c r="T2" i="27"/>
  <c r="S2" i="27"/>
  <c r="P2" i="27"/>
  <c r="N2" i="27"/>
  <c r="R2" i="27"/>
  <c r="Q2" i="27"/>
  <c r="U2" i="27"/>
  <c r="O2" i="27" l="1"/>
  <c r="O2" i="25"/>
  <c r="M2" i="18"/>
  <c r="L2" i="18" l="1"/>
  <c r="T2" i="18"/>
  <c r="V2" i="18"/>
  <c r="Q2" i="18"/>
  <c r="U2" i="18"/>
  <c r="N2" i="18"/>
  <c r="S2" i="18"/>
  <c r="R2" i="18"/>
  <c r="P2" i="18"/>
  <c r="O2" i="18" l="1"/>
  <c r="G2" i="8" l="1"/>
  <c r="H2" i="8" s="1"/>
  <c r="E2" i="8"/>
  <c r="M2" i="8" l="1"/>
  <c r="S2" i="8" l="1"/>
  <c r="P2" i="8"/>
  <c r="V2" i="8"/>
  <c r="T2" i="8"/>
  <c r="N2" i="8"/>
  <c r="Q2" i="8"/>
  <c r="R2" i="8"/>
  <c r="U2" i="8"/>
  <c r="L2" i="8"/>
  <c r="E2" i="13"/>
  <c r="F2" i="13" s="1"/>
  <c r="G2" i="12"/>
  <c r="H2" i="12" s="1"/>
  <c r="G2" i="11"/>
  <c r="H2" i="11" s="1"/>
  <c r="E2" i="10"/>
  <c r="F2" i="10" s="1"/>
  <c r="G2" i="9"/>
  <c r="H2" i="9" s="1"/>
  <c r="O2" i="8" l="1"/>
  <c r="M2" i="10"/>
  <c r="M2" i="13"/>
  <c r="M2" i="11"/>
  <c r="M2" i="12"/>
  <c r="M2" i="9"/>
  <c r="T2" i="10" l="1"/>
  <c r="V2" i="10"/>
  <c r="Q2" i="10"/>
  <c r="U2" i="10"/>
  <c r="S2" i="10"/>
  <c r="P2" i="10"/>
  <c r="N2" i="10"/>
  <c r="R2" i="10"/>
  <c r="T2" i="13"/>
  <c r="N2" i="13"/>
  <c r="P2" i="13"/>
  <c r="Q2" i="13"/>
  <c r="R2" i="13"/>
  <c r="U2" i="13"/>
  <c r="V2" i="13"/>
  <c r="S2" i="13"/>
  <c r="T2" i="11"/>
  <c r="S2" i="11"/>
  <c r="P2" i="11"/>
  <c r="V2" i="11"/>
  <c r="R2" i="11"/>
  <c r="Q2" i="11"/>
  <c r="U2" i="11"/>
  <c r="N2" i="11"/>
  <c r="L2" i="11"/>
  <c r="W2" i="12"/>
  <c r="S2" i="12"/>
  <c r="T2" i="12"/>
  <c r="Q2" i="12"/>
  <c r="V2" i="12"/>
  <c r="N2" i="12"/>
  <c r="P2" i="12"/>
  <c r="R2" i="12"/>
  <c r="V2" i="9"/>
  <c r="S2" i="9"/>
  <c r="U2" i="9"/>
  <c r="P2" i="9"/>
  <c r="N2" i="9"/>
  <c r="T2" i="9"/>
  <c r="Q2" i="9"/>
  <c r="R2" i="9"/>
  <c r="L2" i="10"/>
  <c r="L2" i="13"/>
  <c r="L2" i="12"/>
  <c r="L2" i="9"/>
  <c r="O2" i="12" l="1"/>
  <c r="O2" i="9"/>
  <c r="O2" i="13"/>
  <c r="O2" i="10"/>
  <c r="O2" i="11"/>
</calcChain>
</file>

<file path=xl/sharedStrings.xml><?xml version="1.0" encoding="utf-8"?>
<sst xmlns="http://schemas.openxmlformats.org/spreadsheetml/2006/main" count="1066" uniqueCount="689">
  <si>
    <t>#C</t>
  </si>
  <si>
    <t>#H</t>
  </si>
  <si>
    <t>#O</t>
  </si>
  <si>
    <t>Neutral Mass</t>
  </si>
  <si>
    <t>[M+NH4]+</t>
  </si>
  <si>
    <t>Sum Composition</t>
  </si>
  <si>
    <t>[M+Na]+</t>
  </si>
  <si>
    <t>[M+H]+</t>
  </si>
  <si>
    <t>#N</t>
  </si>
  <si>
    <t>#P</t>
  </si>
  <si>
    <t>[M+HCOO]-</t>
  </si>
  <si>
    <t>[M+CH3COO]-</t>
  </si>
  <si>
    <t>[M-H]-</t>
  </si>
  <si>
    <t>[M+H-H2O]+</t>
  </si>
  <si>
    <t>Formula</t>
  </si>
  <si>
    <t>PMe(16:0/18:1)</t>
  </si>
  <si>
    <t>Inputs: Compound Name, By total carbons and double bonds</t>
  </si>
  <si>
    <t>Inputs: Compound Name, By acyl constituents</t>
  </si>
  <si>
    <t>Start with the acronym found in the current worksheet (eg. TG, PC, PMe…)</t>
  </si>
  <si>
    <t>Follow with "(", and acyl chains, each denoted by total carbons and unsaturations</t>
  </si>
  <si>
    <t>Inputs: Oxidized Lipids</t>
  </si>
  <si>
    <t>add __O__ for ketone / epoxy addition</t>
  </si>
  <si>
    <t>add __OH__ for hydroxide addition</t>
  </si>
  <si>
    <t>add __OOH__ for hydrogen peroxide addition</t>
  </si>
  <si>
    <t>Just add __COOH__  for a short chain product ending in carboxylic acid</t>
  </si>
  <si>
    <t>Note that there are two underscores "_" on either side</t>
  </si>
  <si>
    <t>Note that there should be NO space after the lipid and the oxidization notation</t>
  </si>
  <si>
    <t>Note: Sheets without inputs</t>
  </si>
  <si>
    <t>This means you cannot put in new names and get new masses and formulas</t>
  </si>
  <si>
    <t>[M+K]+</t>
  </si>
  <si>
    <t>[M+Li]+</t>
  </si>
  <si>
    <t>candice.ulmer@nist.gov</t>
  </si>
  <si>
    <t>jeremykoelmel@gmail.com</t>
  </si>
  <si>
    <t>jared.ragland@nist.gov</t>
  </si>
  <si>
    <t>LipidPioneer</t>
  </si>
  <si>
    <t xml:space="preserve">  Candice Ulmer, PhD*</t>
  </si>
  <si>
    <t xml:space="preserve">  Jeremy Koelmel</t>
  </si>
  <si>
    <t xml:space="preserve">  Jared M. Ragland</t>
  </si>
  <si>
    <t>Please refer questions, bug reports, or suggestions to authors at:</t>
  </si>
  <si>
    <t>7 Sep 2016</t>
  </si>
  <si>
    <t>Instructions</t>
  </si>
  <si>
    <t>Introduction</t>
  </si>
  <si>
    <t>Identify which lipids will be targeted.</t>
  </si>
  <si>
    <t>Step 1</t>
  </si>
  <si>
    <t>Step 2</t>
  </si>
  <si>
    <t>Step 3</t>
  </si>
  <si>
    <t>Step 4</t>
  </si>
  <si>
    <t>Save a copy of this workbook with a meaningful name.  Overwriting the original file may have unintended side effects.</t>
  </si>
  <si>
    <t>Lipid classes are separated into worksheets for convenience.</t>
  </si>
  <si>
    <t>Please enable macros and content if necessary.</t>
  </si>
  <si>
    <t>-</t>
  </si>
  <si>
    <t>As lipids are added to the list on each worksheet, the exact mass of common adducts (listed in each column) are automatically filled using Visual Basic for Applications (VBA) scripting.</t>
  </si>
  <si>
    <t>A single column of names can be pasted without loss of function.</t>
  </si>
  <si>
    <t>Step 5</t>
  </si>
  <si>
    <t>For public beta release under the NIST Software Disclaimer.</t>
  </si>
  <si>
    <t>See the example(s) already populated in each worksheet.</t>
  </si>
  <si>
    <t>Exact masses are automatically calculated for several common adducts during data entry.</t>
  </si>
  <si>
    <t>Supplemental Information</t>
  </si>
  <si>
    <t>Fill each lipid name sequentially in column A of the appropriate lipid class worksheet.  Use the input guidelines listed below (scroll down).</t>
  </si>
  <si>
    <t>Lipid</t>
  </si>
  <si>
    <t>Version 0.9</t>
  </si>
  <si>
    <t>Additional columns should not be added; users doing so assume the responsibility of modifying formulae appropriately.</t>
  </si>
  <si>
    <t>add __CHO__ for a short chain product ending in aldehyde</t>
  </si>
  <si>
    <t>Inputs: Ether-Linked Lipids (Compound Name, By acyl constituents)</t>
  </si>
  <si>
    <t>Inputs: Ether-Linked Lipids (Compound Name,By total carbons and double bonds)</t>
  </si>
  <si>
    <t>Note that di- or tri-vinyl ether and ether linked lipids are not supported</t>
  </si>
  <si>
    <t>You can make ANY lipid a long chain or short chain oxidation product</t>
  </si>
  <si>
    <t>The worksheet titled extra, bile acids, and eicosanoids are static libraries</t>
  </si>
  <si>
    <t>DG(5:15/18:3)</t>
  </si>
  <si>
    <t xml:space="preserve">  John Bowden, PhD</t>
  </si>
  <si>
    <t>john.bowden@nist.gov</t>
  </si>
  <si>
    <t>CL(1'-[16:1/17:1],3'-[18:2/19:4])__O__</t>
  </si>
  <si>
    <t>tgarrett@ufl.edu</t>
  </si>
  <si>
    <t>To delete an entry, select the lipid species and delete the SHEET ROW using the home tab (Excel ribbon)</t>
  </si>
  <si>
    <t xml:space="preserve">  Timothy Garrett, PhD</t>
  </si>
  <si>
    <t>FA 16:0</t>
  </si>
  <si>
    <t>FA 12:1</t>
  </si>
  <si>
    <t>DG 34:0</t>
  </si>
  <si>
    <t>LPA 16:0</t>
  </si>
  <si>
    <t xml:space="preserve">LPA 18:0 </t>
  </si>
  <si>
    <t>LPE 12:0</t>
  </si>
  <si>
    <t>LPE 14:0</t>
  </si>
  <si>
    <t>LPG 16:0__O__</t>
  </si>
  <si>
    <t>LPG 18:0</t>
  </si>
  <si>
    <t>LPI 16:0</t>
  </si>
  <si>
    <t>LPI 16:1</t>
  </si>
  <si>
    <t>LPS 18:0</t>
  </si>
  <si>
    <t>LPS 18:1</t>
  </si>
  <si>
    <t>PA 48:7</t>
  </si>
  <si>
    <t>PA 32:0</t>
  </si>
  <si>
    <t>PE 19:2</t>
  </si>
  <si>
    <t>PG 32:1</t>
  </si>
  <si>
    <t>PI 32:0</t>
  </si>
  <si>
    <t>PI 32:1</t>
  </si>
  <si>
    <t>PS 32:1</t>
  </si>
  <si>
    <t>PMe 38:0</t>
  </si>
  <si>
    <t>MGDG 36:4__O__</t>
  </si>
  <si>
    <t>CL 68:2</t>
  </si>
  <si>
    <t>FA 20:0</t>
  </si>
  <si>
    <t>PE(16:0_18:1)</t>
  </si>
  <si>
    <t>PS(16:1/18:2)</t>
  </si>
  <si>
    <t>PE P-19:2</t>
  </si>
  <si>
    <t>PE(P-16:0/18:1)</t>
  </si>
  <si>
    <t>PE P-32:1</t>
  </si>
  <si>
    <t>PG O-32:1</t>
  </si>
  <si>
    <t>PG P-32:1</t>
  </si>
  <si>
    <t>PE(18:0/18:2)__CHO__</t>
  </si>
  <si>
    <t>PI (16:0/18:1)__CHO__</t>
  </si>
  <si>
    <t>PS(18:1_18:2)</t>
  </si>
  <si>
    <t>PMe(18:1/18:2)__COOH__</t>
  </si>
  <si>
    <t>PE(P-16:1_18:2)</t>
  </si>
  <si>
    <t>PG(O-16:0/18:2)</t>
  </si>
  <si>
    <t>PG(O-18:1_20:1)</t>
  </si>
  <si>
    <t xml:space="preserve">Start with the acronym found in the worksheet for that lipid type </t>
  </si>
  <si>
    <t>Then add a space, the total carbons and double bonds separated by a colon ":"</t>
  </si>
  <si>
    <t>Each acyl chain can be seperated by an "/" (known fatty acyl chain position)</t>
  </si>
  <si>
    <t>Each acyl chain can be seperated by an "_" (unknown fatty acyl chain position)</t>
  </si>
  <si>
    <t>Each acyl chain can be seperated by an "/" or "_" for known or unknown fatty acyl chain positions</t>
  </si>
  <si>
    <t xml:space="preserve">Start with the the acronym found in the worksheet for that lipid type </t>
  </si>
  <si>
    <t>Follow with the total carbons and double bonds separated by a colon ":"</t>
  </si>
  <si>
    <r>
      <rPr>
        <b/>
        <sz val="11"/>
        <color theme="1"/>
        <rFont val="Calibri"/>
        <family val="2"/>
        <scheme val="minor"/>
      </rPr>
      <t>For example</t>
    </r>
    <r>
      <rPr>
        <sz val="11"/>
        <color theme="1"/>
        <rFont val="Calibri"/>
        <family val="2"/>
        <scheme val="minor"/>
      </rPr>
      <t>: MG 18:0, PC 34:1, PE 34:2, TG 62:4, etc.</t>
    </r>
  </si>
  <si>
    <r>
      <rPr>
        <b/>
        <sz val="11"/>
        <color theme="1"/>
        <rFont val="Calibri"/>
        <family val="2"/>
        <scheme val="minor"/>
      </rPr>
      <t>For example</t>
    </r>
    <r>
      <rPr>
        <sz val="11"/>
        <color theme="1"/>
        <rFont val="Calibri"/>
        <family val="2"/>
        <scheme val="minor"/>
      </rPr>
      <t>: PC(18:0/16:0), PE(20:0_22:6), TG(16:0_18:1_20:1)</t>
    </r>
  </si>
  <si>
    <r>
      <rPr>
        <b/>
        <sz val="11"/>
        <color theme="1"/>
        <rFont val="Calibri"/>
        <family val="2"/>
        <scheme val="minor"/>
      </rPr>
      <t>For example</t>
    </r>
    <r>
      <rPr>
        <sz val="11"/>
        <color theme="1"/>
        <rFont val="Calibri"/>
        <family val="2"/>
        <scheme val="minor"/>
      </rPr>
      <t>: MG P-18:0, PC O-34:1, PE P-34:2, TG P-62:4, etc.</t>
    </r>
  </si>
  <si>
    <r>
      <t>F</t>
    </r>
    <r>
      <rPr>
        <b/>
        <sz val="11"/>
        <color theme="1"/>
        <rFont val="Calibri"/>
        <family val="2"/>
        <scheme val="minor"/>
      </rPr>
      <t>or example</t>
    </r>
    <r>
      <rPr>
        <sz val="11"/>
        <color theme="1"/>
        <rFont val="Calibri"/>
        <family val="2"/>
        <scheme val="minor"/>
      </rPr>
      <t>: PC(P-16:0_18:0), PE(O-16:1/18:2), TG(O-16:0_18:1_18:3)</t>
    </r>
  </si>
  <si>
    <r>
      <rPr>
        <b/>
        <sz val="11"/>
        <color theme="1"/>
        <rFont val="Calibri"/>
        <family val="2"/>
        <scheme val="minor"/>
      </rPr>
      <t>For example</t>
    </r>
    <r>
      <rPr>
        <sz val="11"/>
        <color theme="1"/>
        <rFont val="Calibri"/>
        <family val="2"/>
        <scheme val="minor"/>
      </rPr>
      <t>: PC(18:0/18:0)__OH__, PE(16:0/18:0)__COH, DG 34:1__OOH__O__</t>
    </r>
  </si>
  <si>
    <t>Then add a space and a "P-" for plasmenyl ethers and "O-" for plasmanyl ethers</t>
  </si>
  <si>
    <t>The first acyl chain should start with a "P-" for plasmenyl ethers and "O-" for plasmanyl ethers</t>
  </si>
  <si>
    <t xml:space="preserve">Disclaimer: </t>
  </si>
  <si>
    <t>It is possible to generate exact masses for lipids that are not biologically possible.</t>
  </si>
  <si>
    <t>A detailed review of the biology is critical to ensure that the lipid identified is possible.</t>
  </si>
  <si>
    <t>See the following references for biologically-relevant lipid restraints:</t>
  </si>
  <si>
    <t>Mammalian lipid fatty acyl chains generally contain 0-6 degrees of unsaturation and 12-22 carbons.</t>
  </si>
  <si>
    <t>Shevchenko, A. et. al. Nat. Rev. Mol. Cell Biol. 11, 593-598 (2010)</t>
  </si>
  <si>
    <t>Domingues, M.R.M. et. al. Chem. Phys. Lipids. 156, 1-12 (2008)</t>
  </si>
  <si>
    <t xml:space="preserve">LipidPioneer templates are fluid and user-modifiable to account for multiple sample matrices. </t>
  </si>
  <si>
    <t>Sparvero, L.J. et. al.  J. Neurochem. 115, 1322-1336 (2010)</t>
  </si>
  <si>
    <t>Spickett, C.M. et. al. Antioxid. Redox Signal. 22, 1646-1666 (2015)</t>
  </si>
  <si>
    <t>Stutts, W.L. et. al. Anal. Chem. 85, 11410-11419 (2013)</t>
  </si>
  <si>
    <t>CL 48:0</t>
  </si>
  <si>
    <t>CL 60:0</t>
  </si>
  <si>
    <t>CL 56:0</t>
  </si>
  <si>
    <t>CL 49:0</t>
  </si>
  <si>
    <t>CL 50:0</t>
  </si>
  <si>
    <t>CL 51:0</t>
  </si>
  <si>
    <t>CL 52:0</t>
  </si>
  <si>
    <t>CL 53:0</t>
  </si>
  <si>
    <t>CL 54:0</t>
  </si>
  <si>
    <t>CL 55:0</t>
  </si>
  <si>
    <t>CL 57:0</t>
  </si>
  <si>
    <t>CL 58:0</t>
  </si>
  <si>
    <t>CL 59:0</t>
  </si>
  <si>
    <t>CL 61:0</t>
  </si>
  <si>
    <t>CL 62:0</t>
  </si>
  <si>
    <t>CL 63:0</t>
  </si>
  <si>
    <t>CL 64:0</t>
  </si>
  <si>
    <t>CL 65:0</t>
  </si>
  <si>
    <t>CL 66:0</t>
  </si>
  <si>
    <t>CL 67:0</t>
  </si>
  <si>
    <t>CL 68:0</t>
  </si>
  <si>
    <t>CL 69:0</t>
  </si>
  <si>
    <t>CL 70:0</t>
  </si>
  <si>
    <t>CL 71:0</t>
  </si>
  <si>
    <t>CL 72:0</t>
  </si>
  <si>
    <t>CL 64:2</t>
  </si>
  <si>
    <t>[M-2H]-2</t>
  </si>
  <si>
    <t>CL 56:1</t>
  </si>
  <si>
    <t>CL 59:1</t>
  </si>
  <si>
    <t>CL 67:1</t>
  </si>
  <si>
    <t>CL 66:1</t>
  </si>
  <si>
    <t>CL 65:1</t>
  </si>
  <si>
    <t>CL 64:1</t>
  </si>
  <si>
    <t>CL 63:1</t>
  </si>
  <si>
    <t>CL 62:1</t>
  </si>
  <si>
    <t>CL 61:1</t>
  </si>
  <si>
    <t>CL 60:1</t>
  </si>
  <si>
    <t>CL 58:1</t>
  </si>
  <si>
    <t>CL 57:1</t>
  </si>
  <si>
    <t>CL 55:1</t>
  </si>
  <si>
    <t>CL 54:1</t>
  </si>
  <si>
    <t>CL 53:1</t>
  </si>
  <si>
    <t>CL 52:1</t>
  </si>
  <si>
    <t>CL 51:1</t>
  </si>
  <si>
    <t>CL 50:1</t>
  </si>
  <si>
    <t>CL 49:1</t>
  </si>
  <si>
    <t>CL 48:1</t>
  </si>
  <si>
    <t>CL 68:1</t>
  </si>
  <si>
    <t>CL 69:1</t>
  </si>
  <si>
    <t>CL 70:1</t>
  </si>
  <si>
    <t>CL 71:1</t>
  </si>
  <si>
    <t>CL 72:1</t>
  </si>
  <si>
    <t>CL 57:2</t>
  </si>
  <si>
    <t>CL 58:2</t>
  </si>
  <si>
    <t>CL 59:2</t>
  </si>
  <si>
    <t>CL 60:2</t>
  </si>
  <si>
    <t>CL 61:2</t>
  </si>
  <si>
    <t>CL 62:2</t>
  </si>
  <si>
    <t>CL 63:2</t>
  </si>
  <si>
    <t>CL 65:2</t>
  </si>
  <si>
    <t>CL 66:2</t>
  </si>
  <si>
    <t>CL 67:2</t>
  </si>
  <si>
    <t>CL 69:2</t>
  </si>
  <si>
    <t>CL 70:2</t>
  </si>
  <si>
    <t>CL 71:2</t>
  </si>
  <si>
    <t>CL 72:2</t>
  </si>
  <si>
    <t>CL 48:2</t>
  </si>
  <si>
    <t>CL 49:2</t>
  </si>
  <si>
    <t>CL 50:2</t>
  </si>
  <si>
    <t>CL 51:2</t>
  </si>
  <si>
    <t>CL 52:2</t>
  </si>
  <si>
    <t>CL 53:2</t>
  </si>
  <si>
    <t>CL 54:2</t>
  </si>
  <si>
    <t>CL 55:2</t>
  </si>
  <si>
    <t>CL 56:2</t>
  </si>
  <si>
    <t>CL 47:0</t>
  </si>
  <si>
    <t>CL 47:1</t>
  </si>
  <si>
    <t>CL 47:2</t>
  </si>
  <si>
    <t>CL 46:2</t>
  </si>
  <si>
    <t>CL 46:1</t>
  </si>
  <si>
    <t>CL 46:0</t>
  </si>
  <si>
    <t>CL 59:3</t>
  </si>
  <si>
    <t>CL 68:3</t>
  </si>
  <si>
    <t>CL 69:3</t>
  </si>
  <si>
    <t>CL 70:3</t>
  </si>
  <si>
    <t>CL 67:3</t>
  </si>
  <si>
    <t>CL 65:3</t>
  </si>
  <si>
    <t>CL 71:3</t>
  </si>
  <si>
    <t>CL 67:4</t>
  </si>
  <si>
    <t>CL 69:4</t>
  </si>
  <si>
    <t>CL 72:3</t>
  </si>
  <si>
    <t>CL 72:4</t>
  </si>
  <si>
    <t>CL 64:3</t>
  </si>
  <si>
    <t>CL 63:3</t>
  </si>
  <si>
    <t>CL 66:3</t>
  </si>
  <si>
    <t>CL 66:4</t>
  </si>
  <si>
    <t>CL 65:4</t>
  </si>
  <si>
    <t>CL 61:3</t>
  </si>
  <si>
    <t>CL 67:5</t>
  </si>
  <si>
    <t>CL 62:3</t>
  </si>
  <si>
    <t>CL 64:4</t>
  </si>
  <si>
    <t>CL 68:4</t>
  </si>
  <si>
    <t>CL 68:5</t>
  </si>
  <si>
    <t>CL 69:5</t>
  </si>
  <si>
    <t>CL 63:4</t>
  </si>
  <si>
    <t>CL 70:4</t>
  </si>
  <si>
    <t>CL 70:5</t>
  </si>
  <si>
    <t>CL 66:5</t>
  </si>
  <si>
    <t>CL 65:5</t>
  </si>
  <si>
    <t>CL 73:0</t>
  </si>
  <si>
    <t>CL 73:1</t>
  </si>
  <si>
    <t>CL 73:2</t>
  </si>
  <si>
    <t>CL 73:3</t>
  </si>
  <si>
    <t>CL 51:3</t>
  </si>
  <si>
    <t>MGDG 25:0</t>
  </si>
  <si>
    <t>MGDG 26:0</t>
  </si>
  <si>
    <t>MGDG 27:0</t>
  </si>
  <si>
    <t>MGDG 28:2</t>
  </si>
  <si>
    <t>MGDG 28:1</t>
  </si>
  <si>
    <t>MGDG 28:0</t>
  </si>
  <si>
    <t>MGDG 29:2</t>
  </si>
  <si>
    <t>MGDG 29:1</t>
  </si>
  <si>
    <t>MGDG 29:0</t>
  </si>
  <si>
    <t>MGDG 30:0</t>
  </si>
  <si>
    <t>MGDG 31:0</t>
  </si>
  <si>
    <t>MGDG 32:0</t>
  </si>
  <si>
    <t>MGDG 33:0</t>
  </si>
  <si>
    <t>MGDG 34:0</t>
  </si>
  <si>
    <t>MGDG 35:0</t>
  </si>
  <si>
    <t>MGDG 36:0</t>
  </si>
  <si>
    <t>MGDG 37:0</t>
  </si>
  <si>
    <t>MGDG 38:0</t>
  </si>
  <si>
    <t>PG P-35:1</t>
  </si>
  <si>
    <t>PG P-36:0</t>
  </si>
  <si>
    <t>PG P-32:2</t>
  </si>
  <si>
    <t>PG P-34:1</t>
  </si>
  <si>
    <t>PG P-36:2</t>
  </si>
  <si>
    <t>PG P-29:0</t>
  </si>
  <si>
    <t>PG P-30:0</t>
  </si>
  <si>
    <t>PG P-31:0</t>
  </si>
  <si>
    <t>PG P-32:0</t>
  </si>
  <si>
    <t>PG P-33:0</t>
  </si>
  <si>
    <t>PG P-34:0</t>
  </si>
  <si>
    <t>PG P-35:0</t>
  </si>
  <si>
    <t>PG P-31:1</t>
  </si>
  <si>
    <t>PG P-31:2</t>
  </si>
  <si>
    <t>PG P-31:3</t>
  </si>
  <si>
    <t>PG P-35:2</t>
  </si>
  <si>
    <t>PG P-35:3</t>
  </si>
  <si>
    <t>PG P-33:1</t>
  </si>
  <si>
    <t>PG 28:0</t>
  </si>
  <si>
    <t>PG 29:0</t>
  </si>
  <si>
    <t>PG 30:0</t>
  </si>
  <si>
    <t>PG 31:0</t>
  </si>
  <si>
    <t>PG 32:0</t>
  </si>
  <si>
    <t>PG 33:0</t>
  </si>
  <si>
    <t>PG 34:0</t>
  </si>
  <si>
    <t>PG 35:0</t>
  </si>
  <si>
    <t>PG 36:0</t>
  </si>
  <si>
    <t>PG 37:0</t>
  </si>
  <si>
    <t>PG 38:0</t>
  </si>
  <si>
    <t>PG 27:0</t>
  </si>
  <si>
    <t>PG 26:0</t>
  </si>
  <si>
    <t>FA 10:0</t>
  </si>
  <si>
    <t>FA 11:0</t>
  </si>
  <si>
    <t>FA 12:0</t>
  </si>
  <si>
    <t>FA 13:0</t>
  </si>
  <si>
    <t>FA 14:0</t>
  </si>
  <si>
    <t>FA 15:0</t>
  </si>
  <si>
    <t>FA 17:0</t>
  </si>
  <si>
    <t>FA 18:0</t>
  </si>
  <si>
    <t>FA 19:0</t>
  </si>
  <si>
    <t>FA 21:0</t>
  </si>
  <si>
    <t>FA 22:0</t>
  </si>
  <si>
    <t>FA 16:1</t>
  </si>
  <si>
    <t>FA 17:1</t>
  </si>
  <si>
    <t>FA 18:1</t>
  </si>
  <si>
    <t>FA 19:1</t>
  </si>
  <si>
    <t>FA 20:1</t>
  </si>
  <si>
    <t>FA 21:1</t>
  </si>
  <si>
    <t>FA 22:1</t>
  </si>
  <si>
    <t>FA 15:1</t>
  </si>
  <si>
    <t>FA 14:1</t>
  </si>
  <si>
    <t>FA 10:1</t>
  </si>
  <si>
    <t>FA 11:1</t>
  </si>
  <si>
    <t>FA 13:1</t>
  </si>
  <si>
    <t>LysylPG (14:0/16:0)</t>
  </si>
  <si>
    <t>LysylPG 37:0</t>
  </si>
  <si>
    <t>DGDG 34:0</t>
  </si>
  <si>
    <t>DGDG 25:0</t>
  </si>
  <si>
    <t>DGDG 26:0</t>
  </si>
  <si>
    <t>DGDG 27:0</t>
  </si>
  <si>
    <t>DGDG 28:2</t>
  </si>
  <si>
    <t>DGDG 28:1</t>
  </si>
  <si>
    <t>DGDG 28:0</t>
  </si>
  <si>
    <t>DGDG 29:2</t>
  </si>
  <si>
    <t>DGDG 29:1</t>
  </si>
  <si>
    <t>DGDG 29:0</t>
  </si>
  <si>
    <t>DGDG 30:2</t>
  </si>
  <si>
    <t>DGDG 30:1</t>
  </si>
  <si>
    <t>DGDG 30:0</t>
  </si>
  <si>
    <t>DGDG 31:3</t>
  </si>
  <si>
    <t>DGDG 31:2</t>
  </si>
  <si>
    <t>DGDG 31:1</t>
  </si>
  <si>
    <t>DGDG 31:0</t>
  </si>
  <si>
    <t>DGDG 32:2</t>
  </si>
  <si>
    <t>DGDG 32:1</t>
  </si>
  <si>
    <t>DGDG 32:0</t>
  </si>
  <si>
    <t>DGDG 33:2</t>
  </si>
  <si>
    <t>DGDG 33:1</t>
  </si>
  <si>
    <t>DGDG 33:0</t>
  </si>
  <si>
    <t>DGDG 34:2</t>
  </si>
  <si>
    <t>DGDG 34:1</t>
  </si>
  <si>
    <t>DGDG 35:2</t>
  </si>
  <si>
    <t>DGDG 35:1</t>
  </si>
  <si>
    <t>DGDG 35:0</t>
  </si>
  <si>
    <t>DGDG 36:2</t>
  </si>
  <si>
    <t>DGDG 36:1</t>
  </si>
  <si>
    <t>DGDG 36:0</t>
  </si>
  <si>
    <t>DGDG 37:2</t>
  </si>
  <si>
    <t>DGDG 37:1</t>
  </si>
  <si>
    <t>DGDG 37:0</t>
  </si>
  <si>
    <t>DGDG 38:2</t>
  </si>
  <si>
    <t>DGDG 38:1</t>
  </si>
  <si>
    <t>DGDG 38:0</t>
  </si>
  <si>
    <t>LysylPG 38:0</t>
  </si>
  <si>
    <t>LysylPG 28:0</t>
  </si>
  <si>
    <t>LysylPG 29:0</t>
  </si>
  <si>
    <t>LysylPG 30:0</t>
  </si>
  <si>
    <t>LysylPG 31:0</t>
  </si>
  <si>
    <t>LysylPG 32:0</t>
  </si>
  <si>
    <t>LysylPG 33:0</t>
  </si>
  <si>
    <t>LysylPG 34:0</t>
  </si>
  <si>
    <t>LysylPG 35:0</t>
  </si>
  <si>
    <t>LysylPG 36:0</t>
  </si>
  <si>
    <t>DGDG 39:0</t>
  </si>
  <si>
    <t>LysylPG 27:0</t>
  </si>
  <si>
    <t>LysylPG 26:0</t>
  </si>
  <si>
    <t>LysylPG 25:0</t>
  </si>
  <si>
    <t>LysylPG 24:0</t>
  </si>
  <si>
    <t>LysylPG 23:0</t>
  </si>
  <si>
    <t>LysylPG 22:0</t>
  </si>
  <si>
    <t>LysylPG 25:1</t>
  </si>
  <si>
    <t>LysylPG 32:1</t>
  </si>
  <si>
    <t>LysylPG 35:1</t>
  </si>
  <si>
    <t>LysylPG 30:1</t>
  </si>
  <si>
    <t>PG 25:0</t>
  </si>
  <si>
    <t>PG 24:0</t>
  </si>
  <si>
    <t>PE 24:0</t>
  </si>
  <si>
    <t>PE 25:0</t>
  </si>
  <si>
    <t>PE 26:0</t>
  </si>
  <si>
    <t>PE 27:0</t>
  </si>
  <si>
    <t>PE 28:0</t>
  </si>
  <si>
    <t>PE 29:0</t>
  </si>
  <si>
    <t>PE 30:0</t>
  </si>
  <si>
    <t>PE 31:0</t>
  </si>
  <si>
    <t>PE 32:0</t>
  </si>
  <si>
    <t>PE 33:0</t>
  </si>
  <si>
    <t>PE 34:0</t>
  </si>
  <si>
    <t>PE 35:0</t>
  </si>
  <si>
    <t>PE 36:0</t>
  </si>
  <si>
    <t>PE 37:0</t>
  </si>
  <si>
    <t>PE 38:0</t>
  </si>
  <si>
    <t>PE 35:1</t>
  </si>
  <si>
    <t>LPA 12:0</t>
  </si>
  <si>
    <t>LPA 13:0</t>
  </si>
  <si>
    <t>LPA 14:0</t>
  </si>
  <si>
    <t>LPA 15:0</t>
  </si>
  <si>
    <t>LPA 17:0</t>
  </si>
  <si>
    <t>LPA 18:0</t>
  </si>
  <si>
    <t>LPA 19:0</t>
  </si>
  <si>
    <t>LPA 20:0</t>
  </si>
  <si>
    <t>LPA 17:1</t>
  </si>
  <si>
    <t>LPE 21:0</t>
  </si>
  <si>
    <t>LPE 21:1</t>
  </si>
  <si>
    <t>[M+Cl]-</t>
  </si>
  <si>
    <t>LPE 13:0</t>
  </si>
  <si>
    <t>LPE 15:0</t>
  </si>
  <si>
    <t>LPE 16:0</t>
  </si>
  <si>
    <t>LPE 17:0</t>
  </si>
  <si>
    <t>LPE 17:1</t>
  </si>
  <si>
    <t>LPE 18:0</t>
  </si>
  <si>
    <t>LPE 18:1</t>
  </si>
  <si>
    <t>LPE 19:0</t>
  </si>
  <si>
    <t>LPE 19:1</t>
  </si>
  <si>
    <t>LPE 20:0</t>
  </si>
  <si>
    <t>LPE 20:1</t>
  </si>
  <si>
    <t>LPE 22:0</t>
  </si>
  <si>
    <t>LPE 22:1</t>
  </si>
  <si>
    <t>LPE 23:0</t>
  </si>
  <si>
    <t>LPG 16:0</t>
  </si>
  <si>
    <t>LPG 16:1</t>
  </si>
  <si>
    <t>LPG 18:1</t>
  </si>
  <si>
    <t>LPG 14:0</t>
  </si>
  <si>
    <t>LPE 23:1</t>
  </si>
  <si>
    <t>LPE 24:1</t>
  </si>
  <si>
    <t>LPE 24:2</t>
  </si>
  <si>
    <t>LPE 25:0</t>
  </si>
  <si>
    <t>LPE 24:4</t>
  </si>
  <si>
    <t>LPE 22:6</t>
  </si>
  <si>
    <t>LPE 20:4</t>
  </si>
  <si>
    <t>PA 33:0</t>
  </si>
  <si>
    <t>FA 23:0</t>
  </si>
  <si>
    <t>FA 24:0</t>
  </si>
  <si>
    <t>CL 72:8</t>
  </si>
  <si>
    <t>CL 72:7</t>
  </si>
  <si>
    <t>CL 72:6</t>
  </si>
  <si>
    <t>CL 72:5</t>
  </si>
  <si>
    <t>PA 24:0</t>
  </si>
  <si>
    <t>PS 24:0</t>
  </si>
  <si>
    <t>PG 34:2</t>
  </si>
  <si>
    <t>PE 34:2</t>
  </si>
  <si>
    <t>PE 32:1</t>
  </si>
  <si>
    <t>PE 36:2</t>
  </si>
  <si>
    <t>PE 38:2</t>
  </si>
  <si>
    <t>LPE 16:1</t>
  </si>
  <si>
    <t>PG 29:1</t>
  </si>
  <si>
    <t>PG 30:1</t>
  </si>
  <si>
    <t>PG 31:1</t>
  </si>
  <si>
    <t>PG 33:1</t>
  </si>
  <si>
    <t>PG 34:1</t>
  </si>
  <si>
    <t>PG 35:1</t>
  </si>
  <si>
    <t>PG 36:1</t>
  </si>
  <si>
    <t>PG 29:2</t>
  </si>
  <si>
    <t>PG 30:2</t>
  </si>
  <si>
    <t>PG 31:2</t>
  </si>
  <si>
    <t>PG 32:2</t>
  </si>
  <si>
    <t>PG 33:2</t>
  </si>
  <si>
    <t>PG 35:2</t>
  </si>
  <si>
    <t>PG 36:2</t>
  </si>
  <si>
    <t>PG 37:1</t>
  </si>
  <si>
    <t>PG 38:1</t>
  </si>
  <si>
    <t>PG 37:2</t>
  </si>
  <si>
    <t>PG 38:2</t>
  </si>
  <si>
    <t>PG 29:3</t>
  </si>
  <si>
    <t>PG 30:3</t>
  </si>
  <si>
    <t>PG 31:3</t>
  </si>
  <si>
    <t>PG 33:3</t>
  </si>
  <si>
    <t>PG 34:3</t>
  </si>
  <si>
    <t>PG 35:3</t>
  </si>
  <si>
    <t>PG 36:3</t>
  </si>
  <si>
    <t>PG 37:3</t>
  </si>
  <si>
    <t>PG 38:3</t>
  </si>
  <si>
    <t>PE 28:2</t>
  </si>
  <si>
    <t>PE 28:1</t>
  </si>
  <si>
    <t>PE 29:2</t>
  </si>
  <si>
    <t>PE 29:1</t>
  </si>
  <si>
    <t>PE 30:2</t>
  </si>
  <si>
    <t>PE 30:1</t>
  </si>
  <si>
    <t>PE 31:2</t>
  </si>
  <si>
    <t>PE 31:1</t>
  </si>
  <si>
    <t>PE 32:2</t>
  </si>
  <si>
    <t>PE 33:2</t>
  </si>
  <si>
    <t>PE 33:1</t>
  </si>
  <si>
    <t>PE 34:1</t>
  </si>
  <si>
    <t>PE 35:2</t>
  </si>
  <si>
    <t>PE 36:1</t>
  </si>
  <si>
    <t>PE 37:2</t>
  </si>
  <si>
    <t>PE 37:1</t>
  </si>
  <si>
    <t>PE 38:1</t>
  </si>
  <si>
    <t>PA 20:0</t>
  </si>
  <si>
    <t>PA 21:0</t>
  </si>
  <si>
    <t>PA 22:0</t>
  </si>
  <si>
    <t>PA 23:0</t>
  </si>
  <si>
    <t>PA 25:0</t>
  </si>
  <si>
    <t>PA 26:0</t>
  </si>
  <si>
    <t>PA 27:0</t>
  </si>
  <si>
    <t>PA 28:0</t>
  </si>
  <si>
    <t>PA 29:0</t>
  </si>
  <si>
    <t>PA 30:0</t>
  </si>
  <si>
    <t>PA 31:0</t>
  </si>
  <si>
    <t>PA 34:0</t>
  </si>
  <si>
    <t>PA 35:0</t>
  </si>
  <si>
    <t>PA 36:0</t>
  </si>
  <si>
    <t>PA 30:1</t>
  </si>
  <si>
    <t>PA 31:1</t>
  </si>
  <si>
    <t>PA 32:1</t>
  </si>
  <si>
    <t>PA 33:1</t>
  </si>
  <si>
    <t>PA 34:1</t>
  </si>
  <si>
    <t>PA 35:1</t>
  </si>
  <si>
    <t>PA 36:1</t>
  </si>
  <si>
    <t>PA 30:2</t>
  </si>
  <si>
    <t>PA 31:2</t>
  </si>
  <si>
    <t>PA 32:2</t>
  </si>
  <si>
    <t>PA 33:2</t>
  </si>
  <si>
    <t>PA 34:2</t>
  </si>
  <si>
    <t>PA 35:2</t>
  </si>
  <si>
    <t>PA 36:2</t>
  </si>
  <si>
    <t>PA 32:3</t>
  </si>
  <si>
    <t>LPG 15:0</t>
  </si>
  <si>
    <t>LPG 17:0</t>
  </si>
  <si>
    <t>LPG 17:1</t>
  </si>
  <si>
    <t>LPG 15:1</t>
  </si>
  <si>
    <t>LPG 14:1</t>
  </si>
  <si>
    <t>LysylPG 31:1</t>
  </si>
  <si>
    <t>LysylPG 33:1</t>
  </si>
  <si>
    <t>LysylPG 34:1</t>
  </si>
  <si>
    <t>LysylPG 36:1</t>
  </si>
  <si>
    <t>LysylPG 37:1</t>
  </si>
  <si>
    <t>LysylPG 38:1</t>
  </si>
  <si>
    <t>LysylPG 30:2</t>
  </si>
  <si>
    <t>LysylPG 31:2</t>
  </si>
  <si>
    <t>LysylPG 32:2</t>
  </si>
  <si>
    <t>LysylPG 33:2</t>
  </si>
  <si>
    <t>LysylPG 34:2</t>
  </si>
  <si>
    <t>LysylPG 35:2</t>
  </si>
  <si>
    <t>LysylPG 36:2</t>
  </si>
  <si>
    <t>[M-H-H2O]-</t>
  </si>
  <si>
    <t>FA 14:2</t>
  </si>
  <si>
    <t>FA 15:2</t>
  </si>
  <si>
    <t>FA 16:2</t>
  </si>
  <si>
    <t>FA 17:2</t>
  </si>
  <si>
    <t>FA 18:2</t>
  </si>
  <si>
    <t>FA 19:2</t>
  </si>
  <si>
    <t>FA 20:2</t>
  </si>
  <si>
    <t>FA 20:4</t>
  </si>
  <si>
    <t>MGDG 32:1</t>
  </si>
  <si>
    <t>LPG 19:0</t>
  </si>
  <si>
    <t>LPG 20:0</t>
  </si>
  <si>
    <t>LPG 21:0</t>
  </si>
  <si>
    <t>LPG 22:0</t>
  </si>
  <si>
    <t>LPG 19:1</t>
  </si>
  <si>
    <t>DG 30:2</t>
  </si>
  <si>
    <t>DG 30:1</t>
  </si>
  <si>
    <t>DG 30:0</t>
  </si>
  <si>
    <t>DG 31:2</t>
  </si>
  <si>
    <t>DG 31:1</t>
  </si>
  <si>
    <t>DG 31:0</t>
  </si>
  <si>
    <t>DG 32:2</t>
  </si>
  <si>
    <t>DG 32:1</t>
  </si>
  <si>
    <t>DG 32:0</t>
  </si>
  <si>
    <t>DG 33:2</t>
  </si>
  <si>
    <t>DG 33:1</t>
  </si>
  <si>
    <t>DG 33:0</t>
  </si>
  <si>
    <t>DG 34:2</t>
  </si>
  <si>
    <t>DG 34:1</t>
  </si>
  <si>
    <t>DG 35:2</t>
  </si>
  <si>
    <t>DG 35:1</t>
  </si>
  <si>
    <t>DG 35:0</t>
  </si>
  <si>
    <t>DG 36:2</t>
  </si>
  <si>
    <t>DG 36:1</t>
  </si>
  <si>
    <t>DG 36:0</t>
  </si>
  <si>
    <t>AcylPG 54:1</t>
  </si>
  <si>
    <t>AcylPG 54:2</t>
  </si>
  <si>
    <t>AcylPG 52:2</t>
  </si>
  <si>
    <t>AcylPG 50:2</t>
  </si>
  <si>
    <t>AcylPG 50:1</t>
  </si>
  <si>
    <t>AcylPG 48:2</t>
  </si>
  <si>
    <t>AcylPG 49:2</t>
  </si>
  <si>
    <t>AcylPG 47:2</t>
  </si>
  <si>
    <t>AcylPG 46:2</t>
  </si>
  <si>
    <t>AcylPG 45:2</t>
  </si>
  <si>
    <t>AcylPG 45:1</t>
  </si>
  <si>
    <t>AcylPG 51:2</t>
  </si>
  <si>
    <t>AcylPG 53:2</t>
  </si>
  <si>
    <t>AcylPG 54:3</t>
  </si>
  <si>
    <t>AcylPG 53:3</t>
  </si>
  <si>
    <t>AcylPG 52:3</t>
  </si>
  <si>
    <t>FA 20:3</t>
  </si>
  <si>
    <t>AcylPG 48:1</t>
  </si>
  <si>
    <t>AcylPG 46:1</t>
  </si>
  <si>
    <t>AcylPG 47:1</t>
  </si>
  <si>
    <t>AcylPG 49:1</t>
  </si>
  <si>
    <t>AcylPG 51:1</t>
  </si>
  <si>
    <t>AcylPG 51:3</t>
  </si>
  <si>
    <t>AcylPE 49:1</t>
  </si>
  <si>
    <t>AcylPE 46:1</t>
  </si>
  <si>
    <t>AcylPE 47:1</t>
  </si>
  <si>
    <t>AcylPE 48:1</t>
  </si>
  <si>
    <t>AcylPE 50:1</t>
  </si>
  <si>
    <t>AcylPE 51:1</t>
  </si>
  <si>
    <t>AcylPE 52:1</t>
  </si>
  <si>
    <t>AcylPE 52:2</t>
  </si>
  <si>
    <t>AcylPE 51:2</t>
  </si>
  <si>
    <t>AcylPE 50:2</t>
  </si>
  <si>
    <t>PE 32:3</t>
  </si>
  <si>
    <t>PE 36:3</t>
  </si>
  <si>
    <t>PE 37:3</t>
  </si>
  <si>
    <t>LPE 15:1</t>
  </si>
  <si>
    <t>[M+2NH4]2+</t>
  </si>
  <si>
    <t>[M+2Na]2+</t>
  </si>
  <si>
    <t>[M+2K]2+</t>
  </si>
  <si>
    <t>[M+H+Na]2+</t>
  </si>
  <si>
    <t>[M+H+K]2+</t>
  </si>
  <si>
    <t>CL 69:6</t>
  </si>
  <si>
    <t>PI 36:1</t>
  </si>
  <si>
    <t>PI 38:1</t>
  </si>
  <si>
    <t>FA 22:2</t>
  </si>
  <si>
    <t>PE P-36:2</t>
  </si>
  <si>
    <t>PE P-38:2</t>
  </si>
  <si>
    <t>PE 36:4</t>
  </si>
  <si>
    <t>LPS 14:0</t>
  </si>
  <si>
    <t>MGDG 30:1</t>
  </si>
  <si>
    <t>MGDG 32:2</t>
  </si>
  <si>
    <t>MGDG 34:2</t>
  </si>
  <si>
    <t>MGDG 34:1</t>
  </si>
  <si>
    <t>MGDG 35:2</t>
  </si>
  <si>
    <t>MGDG 35:1</t>
  </si>
  <si>
    <t>MGDG 36:2</t>
  </si>
  <si>
    <t>MGDG 36:1</t>
  </si>
  <si>
    <t>MGDG 37:2</t>
  </si>
  <si>
    <t>MGDG 37:1</t>
  </si>
  <si>
    <t>MGDG 38:2</t>
  </si>
  <si>
    <t>MGDG 38:1</t>
  </si>
  <si>
    <t>LysylPG 37:2</t>
  </si>
  <si>
    <t>LysylPG 38:2</t>
  </si>
  <si>
    <t>FA 9:0</t>
  </si>
  <si>
    <t>PA 37:0</t>
  </si>
  <si>
    <t>FA 18:0__OH__</t>
  </si>
  <si>
    <t>LPG 23:0</t>
  </si>
  <si>
    <t>LPG 24:0</t>
  </si>
  <si>
    <t>LPG 25:0</t>
  </si>
  <si>
    <t>PS(18:1/18:1)</t>
  </si>
  <si>
    <t>MGDG 33:1</t>
  </si>
  <si>
    <t>PG 28:1</t>
  </si>
  <si>
    <t>LysylPG 29:1</t>
  </si>
  <si>
    <t>FA 20:0__OH__</t>
  </si>
  <si>
    <t>FA 22:0__OH__</t>
  </si>
  <si>
    <t>PI 30:0</t>
  </si>
  <si>
    <t>PI 31:0</t>
  </si>
  <si>
    <t>PI 33:0</t>
  </si>
  <si>
    <t>PI 34:0</t>
  </si>
  <si>
    <t>PI 35:0</t>
  </si>
  <si>
    <t>BACTERIA VERSION</t>
  </si>
  <si>
    <t>Modified by Kelly M. Hines</t>
  </si>
  <si>
    <r>
      <t xml:space="preserve">A community data tool to support lipidomics data workflows, used to generate exact masses for common adducts resulting from MS and MS/MS analysis of targeted lipids. 
</t>
    </r>
    <r>
      <rPr>
        <sz val="10"/>
        <color rgb="FFFF0000"/>
        <rFont val="Arial Rounded MT Bold"/>
        <family val="2"/>
      </rPr>
      <t xml:space="preserve">Please cite:  C. Z. Ulmer et al., </t>
    </r>
    <r>
      <rPr>
        <i/>
        <sz val="10"/>
        <color rgb="FFFF0000"/>
        <rFont val="Arial Rounded MT Bold"/>
        <family val="2"/>
      </rPr>
      <t>J. Am. Soc. Mass Spectrom.</t>
    </r>
    <r>
      <rPr>
        <sz val="10"/>
        <color rgb="FFFF0000"/>
        <rFont val="Arial Rounded MT Bold"/>
        <family val="2"/>
      </rPr>
      <t xml:space="preserve"> 2017, 28, 3, 562–565. doi.org/10.1007/s13361-016-1579-6</t>
    </r>
  </si>
  <si>
    <t>kelly.hines@uga.edu</t>
  </si>
  <si>
    <t>University of Georgia</t>
  </si>
  <si>
    <t>DG 28:0</t>
  </si>
  <si>
    <t>DG 29:0</t>
  </si>
  <si>
    <t>AcylPG 52:1</t>
  </si>
  <si>
    <t>AcylPG 53:1</t>
  </si>
  <si>
    <t>AcylPE 45:2</t>
  </si>
  <si>
    <t>AcylPE 45:1</t>
  </si>
  <si>
    <t>AcylPE 46:2</t>
  </si>
  <si>
    <t>AcylPE 47:2</t>
  </si>
  <si>
    <t>AcylPE 48:2</t>
  </si>
  <si>
    <t>AcylPE 49:2</t>
  </si>
  <si>
    <t>AcylPE 51:3</t>
  </si>
  <si>
    <t>AcylPE 52:3</t>
  </si>
  <si>
    <t>AcylPE 53:3</t>
  </si>
  <si>
    <t>AcylPE 53:2</t>
  </si>
  <si>
    <t>AcylPE 53:1</t>
  </si>
  <si>
    <t>AcylPE 54:3</t>
  </si>
  <si>
    <t>AcylPE 54:2</t>
  </si>
  <si>
    <t>AcylPE 54:1</t>
  </si>
  <si>
    <t>MGDG 30:2</t>
  </si>
  <si>
    <t>MGDG 31:2</t>
  </si>
  <si>
    <t>MGDG 31:1</t>
  </si>
  <si>
    <t>MGDG 33:2</t>
  </si>
  <si>
    <t>Associated with [publication DOI: 10.1007/s13361-016-1579-6]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</si>
</sst>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"/>
    <numFmt numFmtId="165" formatCode="0.0000000"/>
    <numFmt numFmtId="166" formatCode="0.0000"/>
    <numFmt numFmtId="167" formatCode="0.000000"/>
  </numFmts>
  <fonts count="28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Arial Rounded MT Bold"/>
      <family val="2"/>
    </font>
    <font>
      <b/>
      <sz val="20"/>
      <color theme="3"/>
      <name val="Arial Black"/>
      <family val="2"/>
    </font>
    <font>
      <sz val="14"/>
      <color rgb="FFFFFFFF"/>
      <name val="Calibri"/>
      <family val="2"/>
      <scheme val="minor"/>
    </font>
    <font>
      <b/>
      <sz val="18"/>
      <color theme="3"/>
      <name val="Calibri"/>
      <family val="2"/>
      <scheme val="minor"/>
    </font>
    <font>
      <b/>
      <sz val="12"/>
      <color theme="0"/>
      <name val="Arial"/>
      <family val="2"/>
    </font>
    <font>
      <i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4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0"/>
      <color rgb="FFFF0000"/>
      <name val="Arial Rounded MT Bold"/>
      <family val="2"/>
    </font>
    <font>
      <i/>
      <sz val="10"/>
      <color rgb="FFFF0000"/>
      <name val="Arial Rounded MT Bold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2">
    <xf numFmtId="0" fontId="0" fillId="0" borderId="0" xfId="0"/>
    <xf numFmtId="164" fontId="1" fillId="3" borderId="0" xfId="0" applyNumberFormat="1" applyFont="1" applyFill="1"/>
    <xf numFmtId="164" fontId="1" fillId="2" borderId="0" xfId="0" applyNumberFormat="1" applyFont="1" applyFill="1"/>
    <xf numFmtId="0" fontId="0" fillId="0" borderId="0" xfId="0" applyAlignment="1">
      <alignment wrapText="1"/>
    </xf>
    <xf numFmtId="0" fontId="0" fillId="0" borderId="0" xfId="0" quotePrefix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 applyAlignment="1">
      <alignment horizontal="center" wrapText="1"/>
    </xf>
    <xf numFmtId="0" fontId="4" fillId="0" borderId="0" xfId="0" applyFont="1" applyAlignment="1">
      <alignment wrapText="1"/>
    </xf>
    <xf numFmtId="0" fontId="5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5" xfId="0" applyBorder="1" applyAlignment="1">
      <alignment wrapText="1"/>
    </xf>
    <xf numFmtId="0" fontId="0" fillId="0" borderId="7" xfId="0" applyBorder="1" applyAlignment="1">
      <alignment wrapText="1"/>
    </xf>
    <xf numFmtId="164" fontId="1" fillId="0" borderId="0" xfId="0" applyNumberFormat="1" applyFont="1"/>
    <xf numFmtId="0" fontId="1" fillId="0" borderId="0" xfId="0" applyFont="1"/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1" fillId="3" borderId="0" xfId="0" applyNumberFormat="1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2" fontId="17" fillId="4" borderId="7" xfId="0" applyNumberFormat="1" applyFont="1" applyFill="1" applyBorder="1"/>
    <xf numFmtId="0" fontId="17" fillId="4" borderId="7" xfId="0" applyFont="1" applyFill="1" applyBorder="1"/>
    <xf numFmtId="0" fontId="17" fillId="4" borderId="7" xfId="0" applyFont="1" applyFill="1" applyBorder="1" applyAlignment="1">
      <alignment horizontal="center"/>
    </xf>
    <xf numFmtId="164" fontId="17" fillId="4" borderId="7" xfId="0" applyNumberFormat="1" applyFont="1" applyFill="1" applyBorder="1"/>
    <xf numFmtId="0" fontId="3" fillId="4" borderId="7" xfId="0" applyFont="1" applyFill="1" applyBorder="1"/>
    <xf numFmtId="164" fontId="17" fillId="4" borderId="7" xfId="0" applyNumberFormat="1" applyFont="1" applyFill="1" applyBorder="1" applyAlignment="1">
      <alignment horizontal="center"/>
    </xf>
    <xf numFmtId="0" fontId="12" fillId="0" borderId="5" xfId="0" applyFont="1" applyBorder="1" applyAlignment="1">
      <alignment horizontal="right" wrapText="1"/>
    </xf>
    <xf numFmtId="49" fontId="12" fillId="0" borderId="8" xfId="0" applyNumberFormat="1" applyFont="1" applyBorder="1" applyAlignment="1">
      <alignment horizontal="right" vertical="top" wrapText="1"/>
    </xf>
    <xf numFmtId="0" fontId="2" fillId="2" borderId="0" xfId="0" applyFont="1" applyFill="1"/>
    <xf numFmtId="0" fontId="1" fillId="2" borderId="0" xfId="0" applyFont="1" applyFill="1"/>
    <xf numFmtId="0" fontId="0" fillId="2" borderId="0" xfId="0" applyFill="1"/>
    <xf numFmtId="2" fontId="1" fillId="2" borderId="0" xfId="0" applyNumberFormat="1" applyFont="1" applyFill="1"/>
    <xf numFmtId="0" fontId="1" fillId="2" borderId="0" xfId="0" applyFont="1" applyFill="1" applyAlignment="1">
      <alignment horizontal="center"/>
    </xf>
    <xf numFmtId="164" fontId="17" fillId="4" borderId="7" xfId="0" applyNumberFormat="1" applyFont="1" applyFill="1" applyBorder="1" applyProtection="1">
      <protection locked="0" hidden="1"/>
    </xf>
    <xf numFmtId="0" fontId="18" fillId="0" borderId="0" xfId="0" applyFont="1"/>
    <xf numFmtId="0" fontId="19" fillId="0" borderId="0" xfId="0" quotePrefix="1" applyFont="1" applyAlignment="1">
      <alignment horizontal="right"/>
    </xf>
    <xf numFmtId="166" fontId="17" fillId="4" borderId="7" xfId="0" applyNumberFormat="1" applyFont="1" applyFill="1" applyBorder="1" applyAlignment="1">
      <alignment horizontal="center"/>
    </xf>
    <xf numFmtId="166" fontId="1" fillId="0" borderId="0" xfId="0" applyNumberFormat="1" applyFont="1"/>
    <xf numFmtId="166" fontId="1" fillId="0" borderId="0" xfId="0" applyNumberFormat="1" applyFont="1" applyAlignment="1">
      <alignment horizontal="center"/>
    </xf>
    <xf numFmtId="164" fontId="23" fillId="3" borderId="0" xfId="0" applyNumberFormat="1" applyFont="1" applyFill="1"/>
    <xf numFmtId="166" fontId="23" fillId="0" borderId="0" xfId="0" applyNumberFormat="1" applyFont="1" applyAlignment="1">
      <alignment horizontal="center"/>
    </xf>
    <xf numFmtId="166" fontId="1" fillId="3" borderId="0" xfId="0" applyNumberFormat="1" applyFont="1" applyFill="1" applyAlignment="1">
      <alignment horizontal="center"/>
    </xf>
    <xf numFmtId="166" fontId="1" fillId="2" borderId="0" xfId="0" applyNumberFormat="1" applyFont="1" applyFill="1" applyAlignment="1">
      <alignment horizontal="center"/>
    </xf>
    <xf numFmtId="166" fontId="0" fillId="0" borderId="0" xfId="0" applyNumberFormat="1"/>
    <xf numFmtId="165" fontId="17" fillId="4" borderId="7" xfId="0" applyNumberFormat="1" applyFont="1" applyFill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17" fillId="4" borderId="7" xfId="0" applyNumberFormat="1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left" vertical="center"/>
    </xf>
    <xf numFmtId="0" fontId="24" fillId="0" borderId="0" xfId="0" applyFont="1" applyAlignment="1">
      <alignment horizontal="left"/>
    </xf>
    <xf numFmtId="0" fontId="8" fillId="0" borderId="0" xfId="1" applyAlignment="1"/>
    <xf numFmtId="0" fontId="0" fillId="0" borderId="0" xfId="0"/>
    <xf numFmtId="164" fontId="1" fillId="0" borderId="0" xfId="0" applyNumberFormat="1" applyFont="1" applyFill="1"/>
    <xf numFmtId="164" fontId="1" fillId="0" borderId="0" xfId="0" applyNumberFormat="1" applyFont="1" applyFill="1" applyAlignment="1">
      <alignment horizontal="center"/>
    </xf>
    <xf numFmtId="166" fontId="1" fillId="0" borderId="0" xfId="0" applyNumberFormat="1" applyFont="1" applyFill="1" applyAlignment="1">
      <alignment horizontal="center"/>
    </xf>
    <xf numFmtId="167" fontId="1" fillId="0" borderId="0" xfId="0" applyNumberFormat="1" applyFont="1" applyFill="1" applyAlignment="1">
      <alignment horizontal="center"/>
    </xf>
    <xf numFmtId="0" fontId="0" fillId="0" borderId="0" xfId="0" applyFill="1"/>
    <xf numFmtId="0" fontId="13" fillId="0" borderId="0" xfId="0" applyFont="1" applyAlignment="1">
      <alignment horizontal="left" vertical="center" wrapText="1"/>
    </xf>
    <xf numFmtId="0" fontId="22" fillId="0" borderId="6" xfId="0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0" xfId="0"/>
    <xf numFmtId="0" fontId="0" fillId="0" borderId="4" xfId="0" applyBorder="1"/>
    <xf numFmtId="0" fontId="0" fillId="0" borderId="5" xfId="0" applyBorder="1"/>
    <xf numFmtId="0" fontId="21" fillId="0" borderId="4" xfId="0" applyFont="1" applyBorder="1"/>
    <xf numFmtId="0" fontId="21" fillId="0" borderId="0" xfId="0" applyFont="1"/>
    <xf numFmtId="0" fontId="21" fillId="0" borderId="5" xfId="0" applyFont="1" applyBorder="1"/>
    <xf numFmtId="0" fontId="22" fillId="0" borderId="4" xfId="0" applyFont="1" applyBorder="1"/>
    <xf numFmtId="0" fontId="22" fillId="0" borderId="0" xfId="0" applyFont="1"/>
    <xf numFmtId="0" fontId="22" fillId="0" borderId="5" xfId="0" applyFont="1" applyBorder="1"/>
    <xf numFmtId="0" fontId="9" fillId="0" borderId="0" xfId="1" applyFont="1" applyFill="1" applyBorder="1" applyAlignment="1">
      <alignment horizontal="left" wrapText="1" indent="5"/>
    </xf>
    <xf numFmtId="0" fontId="7" fillId="4" borderId="1" xfId="0" applyFont="1" applyFill="1" applyBorder="1"/>
    <xf numFmtId="0" fontId="7" fillId="4" borderId="2" xfId="0" applyFont="1" applyFill="1" applyBorder="1"/>
    <xf numFmtId="0" fontId="7" fillId="4" borderId="3" xfId="0" applyFont="1" applyFill="1" applyBorder="1"/>
    <xf numFmtId="0" fontId="0" fillId="0" borderId="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20" fillId="0" borderId="4" xfId="0" applyFont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5" xfId="0" applyFont="1" applyBorder="1" applyAlignment="1">
      <alignment horizontal="left"/>
    </xf>
    <xf numFmtId="0" fontId="6" fillId="5" borderId="1" xfId="0" applyFont="1" applyFill="1" applyBorder="1"/>
    <xf numFmtId="0" fontId="6" fillId="5" borderId="2" xfId="0" applyFont="1" applyFill="1" applyBorder="1"/>
    <xf numFmtId="0" fontId="6" fillId="5" borderId="3" xfId="0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7" fillId="4" borderId="1" xfId="0" applyFont="1" applyFill="1" applyBorder="1" applyAlignment="1">
      <alignment horizontal="left"/>
    </xf>
    <xf numFmtId="0" fontId="7" fillId="4" borderId="2" xfId="0" applyFont="1" applyFill="1" applyBorder="1" applyAlignment="1">
      <alignment horizontal="left"/>
    </xf>
    <xf numFmtId="0" fontId="7" fillId="4" borderId="3" xfId="0" applyFont="1" applyFill="1" applyBorder="1" applyAlignment="1">
      <alignment horizontal="left"/>
    </xf>
    <xf numFmtId="0" fontId="16" fillId="0" borderId="0" xfId="0" applyFont="1" applyAlignment="1">
      <alignment vertical="top"/>
    </xf>
    <xf numFmtId="0" fontId="16" fillId="0" borderId="7" xfId="0" applyFont="1" applyBorder="1" applyAlignment="1">
      <alignment vertical="top"/>
    </xf>
    <xf numFmtId="0" fontId="9" fillId="0" borderId="7" xfId="1" applyFont="1" applyFill="1" applyBorder="1" applyAlignment="1">
      <alignment horizontal="left" wrapText="1" indent="5"/>
    </xf>
    <xf numFmtId="0" fontId="11" fillId="0" borderId="4" xfId="0" applyFont="1" applyBorder="1"/>
    <xf numFmtId="0" fontId="11" fillId="0" borderId="0" xfId="0" applyFont="1"/>
    <xf numFmtId="0" fontId="11" fillId="0" borderId="5" xfId="0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0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14" fillId="0" borderId="0" xfId="0" applyFont="1" applyAlignment="1">
      <alignment vertical="center"/>
    </xf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15" fillId="4" borderId="1" xfId="1" applyFont="1" applyFill="1" applyBorder="1" applyAlignment="1"/>
    <xf numFmtId="0" fontId="15" fillId="4" borderId="2" xfId="1" applyFont="1" applyFill="1" applyBorder="1" applyAlignment="1"/>
    <xf numFmtId="0" fontId="15" fillId="4" borderId="3" xfId="1" applyFont="1" applyFill="1" applyBorder="1" applyAlignment="1"/>
    <xf numFmtId="0" fontId="19" fillId="0" borderId="0" xfId="0" applyFont="1" applyAlignment="1">
      <alignment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447675</xdr:colOff>
      <xdr:row>79</xdr:row>
      <xdr:rowOff>73882</xdr:rowOff>
    </xdr:from>
    <xdr:to>
      <xdr:col>10</xdr:col>
      <xdr:colOff>1</xdr:colOff>
      <xdr:row>81</xdr:row>
      <xdr:rowOff>144015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05275" y="15075757"/>
          <a:ext cx="1343026" cy="451133"/>
        </a:xfrm>
        <a:prstGeom prst="rect">
          <a:avLst/>
        </a:prstGeom>
      </xdr:spPr>
    </xdr:pic>
    <xdr:clientData/>
  </xdr:twoCellAnchor>
  <xdr:twoCellAnchor>
    <xdr:from>
      <xdr:col>3</xdr:col>
      <xdr:colOff>247650</xdr:colOff>
      <xdr:row>2</xdr:row>
      <xdr:rowOff>95249</xdr:rowOff>
    </xdr:from>
    <xdr:to>
      <xdr:col>6</xdr:col>
      <xdr:colOff>190500</xdr:colOff>
      <xdr:row>2</xdr:row>
      <xdr:rowOff>628649</xdr:rowOff>
    </xdr:to>
    <xdr:sp macro="" textlink="">
      <xdr:nvSpPr>
        <xdr:cNvPr id="4" name="Arc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10800000">
          <a:off x="1028700" y="476249"/>
          <a:ext cx="1790700" cy="533400"/>
        </a:xfrm>
        <a:prstGeom prst="arc">
          <a:avLst>
            <a:gd name="adj1" fmla="val 2373947"/>
            <a:gd name="adj2" fmla="val 21159529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19050</xdr:colOff>
      <xdr:row>32</xdr:row>
      <xdr:rowOff>0</xdr:rowOff>
    </xdr:from>
    <xdr:to>
      <xdr:col>9</xdr:col>
      <xdr:colOff>876300</xdr:colOff>
      <xdr:row>33</xdr:row>
      <xdr:rowOff>161925</xdr:rowOff>
    </xdr:to>
    <xdr:sp macro="[0]!ThisWorkbook.generate_summary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95375" y="6496050"/>
          <a:ext cx="419100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/>
            <a:t>Click to </a:t>
          </a:r>
          <a:r>
            <a:rPr lang="en-US" sz="1100" b="1">
              <a:latin typeface="+mn-lt"/>
            </a:rPr>
            <a:t>generate</a:t>
          </a:r>
          <a:r>
            <a:rPr lang="en-US" sz="1100" b="1" baseline="0"/>
            <a:t> a summary of requested exact masses.</a:t>
          </a:r>
          <a:endParaRPr lang="en-US" sz="1100" b="1"/>
        </a:p>
      </xdr:txBody>
    </xdr:sp>
    <xdr:clientData/>
  </xdr:twoCellAnchor>
  <xdr:twoCellAnchor>
    <xdr:from>
      <xdr:col>0</xdr:col>
      <xdr:colOff>238124</xdr:colOff>
      <xdr:row>1</xdr:row>
      <xdr:rowOff>66675</xdr:rowOff>
    </xdr:from>
    <xdr:to>
      <xdr:col>11</xdr:col>
      <xdr:colOff>228599</xdr:colOff>
      <xdr:row>36</xdr:row>
      <xdr:rowOff>76200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38124" y="257175"/>
          <a:ext cx="6048375" cy="7077075"/>
        </a:xfrm>
        <a:prstGeom prst="rect">
          <a:avLst/>
        </a:prstGeom>
        <a:noFill/>
        <a:ln w="38100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85725</xdr:colOff>
      <xdr:row>79</xdr:row>
      <xdr:rowOff>66676</xdr:rowOff>
    </xdr:from>
    <xdr:to>
      <xdr:col>5</xdr:col>
      <xdr:colOff>523875</xdr:colOff>
      <xdr:row>81</xdr:row>
      <xdr:rowOff>130324</xdr:rowOff>
    </xdr:to>
    <xdr:pic>
      <xdr:nvPicPr>
        <xdr:cNvPr id="10" name="Picture 9" descr="https://ctsi-secim.sites.medinfo.ufl.edu/files/2014/08/SECIM_pf_awards4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66667"/>
        <a:stretch/>
      </xdr:blipFill>
      <xdr:spPr bwMode="auto">
        <a:xfrm>
          <a:off x="561975" y="15068551"/>
          <a:ext cx="1762125" cy="444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john.bowden@nist.gov" TargetMode="External"/><Relationship Id="rId7" Type="http://schemas.openxmlformats.org/officeDocument/2006/relationships/hyperlink" Target="mailto:kelly.hines@uga.edu" TargetMode="External"/><Relationship Id="rId2" Type="http://schemas.openxmlformats.org/officeDocument/2006/relationships/hyperlink" Target="mailto:jeremykoelmel@gmail.com" TargetMode="External"/><Relationship Id="rId1" Type="http://schemas.openxmlformats.org/officeDocument/2006/relationships/hyperlink" Target="mailto:candice.ulmer@nist.gov" TargetMode="External"/><Relationship Id="rId6" Type="http://schemas.openxmlformats.org/officeDocument/2006/relationships/hyperlink" Target="mailto:tgarrett@ufl.edu" TargetMode="External"/><Relationship Id="rId5" Type="http://schemas.openxmlformats.org/officeDocument/2006/relationships/hyperlink" Target="mailto:jared.ragland@nist.gov" TargetMode="External"/><Relationship Id="rId4" Type="http://schemas.openxmlformats.org/officeDocument/2006/relationships/hyperlink" Target="https://www.nist.gov/disclaimer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"/>
  <dimension ref="B3:S79"/>
  <sheetViews>
    <sheetView showGridLines="0" tabSelected="1" zoomScaleNormal="100" workbookViewId="0">
      <selection activeCell="L78" sqref="L78"/>
    </sheetView>
  </sheetViews>
  <sheetFormatPr defaultColWidth="9.140625" defaultRowHeight="15" x14ac:dyDescent="0.25"/>
  <cols>
    <col min="1" max="1" width="4.28515625" customWidth="1"/>
    <col min="2" max="2" width="2.85546875" customWidth="1"/>
    <col min="3" max="3" width="2.5703125" customWidth="1"/>
    <col min="4" max="4" width="6.42578125" style="3" customWidth="1"/>
    <col min="5" max="5" width="10.85546875" style="3" customWidth="1"/>
    <col min="6" max="6" width="9.5703125" style="3" customWidth="1"/>
    <col min="7" max="8" width="9.140625" style="3"/>
    <col min="9" max="9" width="11.28515625" style="3" customWidth="1"/>
    <col min="10" max="10" width="15.5703125" style="3" customWidth="1"/>
    <col min="12" max="12" width="22.7109375" customWidth="1"/>
  </cols>
  <sheetData>
    <row r="3" spans="3:10" ht="49.5" customHeight="1" x14ac:dyDescent="0.25">
      <c r="C3" s="114" t="s">
        <v>34</v>
      </c>
      <c r="D3" s="114"/>
      <c r="E3" s="114"/>
      <c r="F3" s="114"/>
      <c r="H3" s="55" t="s">
        <v>661</v>
      </c>
    </row>
    <row r="4" spans="3:10" s="52" customFormat="1" ht="22.5" customHeight="1" x14ac:dyDescent="0.3">
      <c r="C4" s="54"/>
      <c r="D4" s="54"/>
      <c r="E4" s="54"/>
      <c r="F4" s="54"/>
      <c r="G4" s="53"/>
      <c r="H4" s="56" t="s">
        <v>662</v>
      </c>
      <c r="I4" s="53"/>
      <c r="J4" s="53"/>
    </row>
    <row r="5" spans="3:10" s="52" customFormat="1" ht="22.5" customHeight="1" x14ac:dyDescent="0.3">
      <c r="C5" s="54"/>
      <c r="D5" s="54"/>
      <c r="E5" s="54"/>
      <c r="F5" s="54"/>
      <c r="G5" s="53"/>
      <c r="H5" s="56" t="s">
        <v>665</v>
      </c>
      <c r="I5" s="53"/>
      <c r="J5" s="53"/>
    </row>
    <row r="6" spans="3:10" s="52" customFormat="1" ht="22.5" customHeight="1" x14ac:dyDescent="0.25">
      <c r="C6" s="54"/>
      <c r="D6" s="54"/>
      <c r="E6" s="54"/>
      <c r="F6" s="54"/>
      <c r="G6" s="53"/>
      <c r="H6" s="57" t="s">
        <v>664</v>
      </c>
      <c r="I6" s="53"/>
      <c r="J6" s="53"/>
    </row>
    <row r="8" spans="3:10" ht="18.75" customHeight="1" x14ac:dyDescent="0.25">
      <c r="D8" s="64" t="s">
        <v>663</v>
      </c>
      <c r="E8" s="64"/>
      <c r="F8" s="64"/>
      <c r="G8" s="64"/>
      <c r="H8" s="64"/>
      <c r="I8" s="64"/>
      <c r="J8" s="64"/>
    </row>
    <row r="9" spans="3:10" ht="15.75" customHeight="1" x14ac:dyDescent="0.25">
      <c r="D9" s="64"/>
      <c r="E9" s="64"/>
      <c r="F9" s="64"/>
      <c r="G9" s="64"/>
      <c r="H9" s="64"/>
      <c r="I9" s="64"/>
      <c r="J9" s="64"/>
    </row>
    <row r="10" spans="3:10" ht="39" customHeight="1" x14ac:dyDescent="0.25">
      <c r="D10" s="64"/>
      <c r="E10" s="64"/>
      <c r="F10" s="64"/>
      <c r="G10" s="64"/>
      <c r="H10" s="64"/>
      <c r="I10" s="64"/>
      <c r="J10" s="64"/>
    </row>
    <row r="11" spans="3:10" ht="15" customHeight="1" x14ac:dyDescent="0.25">
      <c r="D11" s="64"/>
      <c r="E11" s="64"/>
      <c r="F11" s="64"/>
      <c r="G11" s="64"/>
      <c r="H11" s="64"/>
      <c r="I11" s="64"/>
      <c r="J11" s="64"/>
    </row>
    <row r="13" spans="3:10" ht="18.75" x14ac:dyDescent="0.3">
      <c r="C13" s="111" t="s">
        <v>41</v>
      </c>
      <c r="D13" s="111"/>
      <c r="E13" s="111"/>
      <c r="F13" s="111"/>
      <c r="G13" s="111"/>
      <c r="H13" s="111"/>
      <c r="I13" s="111"/>
      <c r="J13" s="111"/>
    </row>
    <row r="14" spans="3:10" x14ac:dyDescent="0.25">
      <c r="C14" s="4" t="s">
        <v>50</v>
      </c>
      <c r="D14" s="112" t="s">
        <v>48</v>
      </c>
      <c r="E14" s="112"/>
      <c r="F14" s="112"/>
      <c r="G14" s="112"/>
      <c r="H14" s="112"/>
      <c r="I14" s="112"/>
      <c r="J14" s="112"/>
    </row>
    <row r="15" spans="3:10" ht="15" customHeight="1" x14ac:dyDescent="0.25">
      <c r="C15" s="39" t="s">
        <v>50</v>
      </c>
      <c r="D15" s="121" t="s">
        <v>49</v>
      </c>
      <c r="E15" s="121"/>
      <c r="F15" s="121"/>
      <c r="G15" s="121"/>
      <c r="H15" s="121"/>
      <c r="I15" s="121"/>
      <c r="J15" s="121"/>
    </row>
    <row r="16" spans="3:10" ht="15" customHeight="1" x14ac:dyDescent="0.25">
      <c r="C16" s="4" t="s">
        <v>50</v>
      </c>
      <c r="D16" s="113" t="s">
        <v>51</v>
      </c>
      <c r="E16" s="113"/>
      <c r="F16" s="113"/>
      <c r="G16" s="113"/>
      <c r="H16" s="113"/>
      <c r="I16" s="113"/>
      <c r="J16" s="113"/>
    </row>
    <row r="17" spans="3:10" x14ac:dyDescent="0.25">
      <c r="C17" s="5"/>
      <c r="D17" s="113"/>
      <c r="E17" s="113"/>
      <c r="F17" s="113"/>
      <c r="G17" s="113"/>
      <c r="H17" s="113"/>
      <c r="I17" s="113"/>
      <c r="J17" s="113"/>
    </row>
    <row r="18" spans="3:10" ht="15" customHeight="1" x14ac:dyDescent="0.25">
      <c r="C18" s="5"/>
      <c r="D18" s="113"/>
      <c r="E18" s="113"/>
      <c r="F18" s="113"/>
      <c r="G18" s="113"/>
      <c r="H18" s="113"/>
      <c r="I18" s="113"/>
      <c r="J18" s="113"/>
    </row>
    <row r="19" spans="3:10" x14ac:dyDescent="0.25">
      <c r="D19" s="6"/>
      <c r="E19" s="6"/>
      <c r="F19" s="6"/>
      <c r="G19" s="6"/>
      <c r="H19" s="6"/>
      <c r="I19" s="6"/>
      <c r="J19" s="6"/>
    </row>
    <row r="20" spans="3:10" x14ac:dyDescent="0.25">
      <c r="D20" s="7"/>
      <c r="E20" s="7"/>
      <c r="F20" s="7"/>
      <c r="G20" s="7"/>
      <c r="H20" s="7"/>
      <c r="I20" s="7"/>
      <c r="J20" s="7"/>
    </row>
    <row r="21" spans="3:10" ht="18.75" x14ac:dyDescent="0.3">
      <c r="C21" s="111" t="s">
        <v>40</v>
      </c>
      <c r="D21" s="111"/>
      <c r="E21" s="111"/>
      <c r="F21" s="111"/>
      <c r="G21" s="111"/>
      <c r="H21" s="111"/>
      <c r="I21" s="111"/>
      <c r="J21" s="111"/>
    </row>
    <row r="22" spans="3:10" ht="15" customHeight="1" x14ac:dyDescent="0.25">
      <c r="C22" s="4" t="s">
        <v>50</v>
      </c>
      <c r="D22" s="8" t="s">
        <v>43</v>
      </c>
      <c r="E22" s="112" t="s">
        <v>42</v>
      </c>
      <c r="F22" s="112"/>
      <c r="G22" s="112"/>
      <c r="H22" s="112"/>
      <c r="I22" s="112"/>
      <c r="J22" s="112"/>
    </row>
    <row r="23" spans="3:10" x14ac:dyDescent="0.25">
      <c r="C23" s="4" t="s">
        <v>50</v>
      </c>
      <c r="D23" s="8" t="s">
        <v>44</v>
      </c>
      <c r="E23" s="112" t="s">
        <v>47</v>
      </c>
      <c r="F23" s="112"/>
      <c r="G23" s="112"/>
      <c r="H23" s="112"/>
      <c r="I23" s="112"/>
      <c r="J23" s="112"/>
    </row>
    <row r="24" spans="3:10" ht="15" customHeight="1" x14ac:dyDescent="0.25">
      <c r="D24" s="8"/>
      <c r="E24" s="112"/>
      <c r="F24" s="112"/>
      <c r="G24" s="112"/>
      <c r="H24" s="112"/>
      <c r="I24" s="112"/>
      <c r="J24" s="112"/>
    </row>
    <row r="25" spans="3:10" x14ac:dyDescent="0.25">
      <c r="C25" s="4" t="s">
        <v>50</v>
      </c>
      <c r="D25" s="8" t="s">
        <v>45</v>
      </c>
      <c r="E25" s="112" t="s">
        <v>58</v>
      </c>
      <c r="F25" s="112"/>
      <c r="G25" s="112"/>
      <c r="H25" s="112"/>
      <c r="I25" s="112"/>
      <c r="J25" s="112"/>
    </row>
    <row r="26" spans="3:10" x14ac:dyDescent="0.25">
      <c r="D26" s="8"/>
      <c r="E26" s="112"/>
      <c r="F26" s="112"/>
      <c r="G26" s="112"/>
      <c r="H26" s="112"/>
      <c r="I26" s="112"/>
      <c r="J26" s="112"/>
    </row>
    <row r="27" spans="3:10" x14ac:dyDescent="0.25">
      <c r="D27" s="8"/>
      <c r="E27" s="112" t="s">
        <v>55</v>
      </c>
      <c r="F27" s="112"/>
      <c r="G27" s="112"/>
      <c r="H27" s="112"/>
      <c r="I27" s="112"/>
      <c r="J27" s="112"/>
    </row>
    <row r="28" spans="3:10" x14ac:dyDescent="0.25">
      <c r="E28" s="112" t="s">
        <v>52</v>
      </c>
      <c r="F28" s="112"/>
      <c r="G28" s="112"/>
      <c r="H28" s="112"/>
      <c r="I28" s="112"/>
      <c r="J28" s="112"/>
    </row>
    <row r="29" spans="3:10" ht="15" customHeight="1" x14ac:dyDescent="0.25">
      <c r="C29" s="4" t="s">
        <v>50</v>
      </c>
      <c r="D29" s="8" t="s">
        <v>46</v>
      </c>
      <c r="E29" s="112" t="s">
        <v>56</v>
      </c>
      <c r="F29" s="112"/>
      <c r="G29" s="112"/>
      <c r="H29" s="112"/>
      <c r="I29" s="112"/>
      <c r="J29" s="112"/>
    </row>
    <row r="30" spans="3:10" x14ac:dyDescent="0.25">
      <c r="E30" s="112"/>
      <c r="F30" s="112"/>
      <c r="G30" s="112"/>
      <c r="H30" s="112"/>
      <c r="I30" s="112"/>
      <c r="J30" s="112"/>
    </row>
    <row r="31" spans="3:10" ht="15" customHeight="1" x14ac:dyDescent="0.25">
      <c r="E31" s="112" t="s">
        <v>61</v>
      </c>
      <c r="F31" s="112"/>
      <c r="G31" s="112"/>
      <c r="H31" s="112"/>
      <c r="I31" s="112"/>
      <c r="J31" s="112"/>
    </row>
    <row r="32" spans="3:10" x14ac:dyDescent="0.25">
      <c r="E32" s="112"/>
      <c r="F32" s="112"/>
      <c r="G32" s="112"/>
      <c r="H32" s="112"/>
      <c r="I32" s="112"/>
      <c r="J32" s="112"/>
    </row>
    <row r="33" spans="2:19" x14ac:dyDescent="0.25">
      <c r="C33" s="4" t="s">
        <v>50</v>
      </c>
      <c r="D33" s="8" t="s">
        <v>53</v>
      </c>
    </row>
    <row r="36" spans="2:19" x14ac:dyDescent="0.25">
      <c r="B36" s="38" t="s">
        <v>73</v>
      </c>
    </row>
    <row r="37" spans="2:19" ht="15" customHeight="1" x14ac:dyDescent="0.25"/>
    <row r="41" spans="2:19" x14ac:dyDescent="0.25">
      <c r="C41" s="102" t="s">
        <v>57</v>
      </c>
      <c r="D41" s="102"/>
      <c r="E41" s="102"/>
      <c r="F41" s="102"/>
      <c r="G41" s="102"/>
      <c r="H41" s="102"/>
      <c r="I41" s="102"/>
      <c r="J41" s="102"/>
    </row>
    <row r="42" spans="2:19" x14ac:dyDescent="0.25">
      <c r="C42" s="103"/>
      <c r="D42" s="103"/>
      <c r="E42" s="103"/>
      <c r="F42" s="103"/>
      <c r="G42" s="103"/>
      <c r="H42" s="103"/>
      <c r="I42" s="103"/>
      <c r="J42" s="103"/>
    </row>
    <row r="43" spans="2:19" ht="18.75" x14ac:dyDescent="0.3">
      <c r="C43" s="78" t="s">
        <v>16</v>
      </c>
      <c r="D43" s="79"/>
      <c r="E43" s="79"/>
      <c r="F43" s="79"/>
      <c r="G43" s="79"/>
      <c r="H43" s="79"/>
      <c r="I43" s="79"/>
      <c r="J43" s="80"/>
      <c r="L43" s="99" t="s">
        <v>64</v>
      </c>
      <c r="M43" s="100"/>
      <c r="N43" s="100"/>
      <c r="O43" s="100"/>
      <c r="P43" s="100"/>
      <c r="Q43" s="100"/>
      <c r="R43" s="100"/>
      <c r="S43" s="101"/>
    </row>
    <row r="44" spans="2:19" x14ac:dyDescent="0.25">
      <c r="C44" s="96" t="s">
        <v>113</v>
      </c>
      <c r="D44" s="97"/>
      <c r="E44" s="97"/>
      <c r="F44" s="97"/>
      <c r="G44" s="97"/>
      <c r="H44" s="97"/>
      <c r="I44" s="97"/>
      <c r="J44" s="98"/>
      <c r="L44" s="84" t="s">
        <v>118</v>
      </c>
      <c r="M44" s="85"/>
      <c r="N44" s="85"/>
      <c r="O44" s="85"/>
      <c r="P44" s="85"/>
      <c r="Q44" s="85"/>
      <c r="R44" s="85"/>
      <c r="S44" s="86"/>
    </row>
    <row r="45" spans="2:19" x14ac:dyDescent="0.25">
      <c r="C45" s="69" t="s">
        <v>114</v>
      </c>
      <c r="D45" s="68"/>
      <c r="E45" s="68"/>
      <c r="F45" s="68"/>
      <c r="G45" s="68"/>
      <c r="H45" s="68"/>
      <c r="I45" s="68"/>
      <c r="J45" s="70"/>
      <c r="L45" s="81" t="s">
        <v>125</v>
      </c>
      <c r="M45" s="82"/>
      <c r="N45" s="82"/>
      <c r="O45" s="82"/>
      <c r="P45" s="82"/>
      <c r="Q45" s="82"/>
      <c r="R45" s="82"/>
      <c r="S45" s="83"/>
    </row>
    <row r="46" spans="2:19" x14ac:dyDescent="0.25">
      <c r="C46" s="81" t="s">
        <v>120</v>
      </c>
      <c r="D46" s="82"/>
      <c r="E46" s="82"/>
      <c r="F46" s="82"/>
      <c r="G46" s="82"/>
      <c r="H46" s="82"/>
      <c r="I46" s="82"/>
      <c r="J46" s="83"/>
      <c r="L46" s="81" t="s">
        <v>119</v>
      </c>
      <c r="M46" s="82"/>
      <c r="N46" s="82"/>
      <c r="O46" s="82"/>
      <c r="P46" s="82"/>
      <c r="Q46" s="82"/>
      <c r="R46" s="82"/>
      <c r="S46" s="83"/>
    </row>
    <row r="47" spans="2:19" x14ac:dyDescent="0.25">
      <c r="C47" s="108"/>
      <c r="D47" s="109"/>
      <c r="E47" s="109"/>
      <c r="F47" s="109"/>
      <c r="G47" s="109"/>
      <c r="H47" s="109"/>
      <c r="I47" s="109"/>
      <c r="J47" s="110"/>
      <c r="L47" s="87" t="s">
        <v>122</v>
      </c>
      <c r="M47" s="88"/>
      <c r="N47" s="88"/>
      <c r="O47" s="88"/>
      <c r="P47" s="88"/>
      <c r="Q47" s="88"/>
      <c r="R47" s="88"/>
      <c r="S47" s="89"/>
    </row>
    <row r="48" spans="2:19" x14ac:dyDescent="0.25">
      <c r="D48"/>
      <c r="E48"/>
      <c r="F48"/>
      <c r="G48"/>
      <c r="H48"/>
      <c r="I48"/>
      <c r="J48"/>
    </row>
    <row r="49" spans="3:19" ht="18.75" x14ac:dyDescent="0.3">
      <c r="C49" s="78" t="s">
        <v>17</v>
      </c>
      <c r="D49" s="79"/>
      <c r="E49" s="79"/>
      <c r="F49" s="79"/>
      <c r="G49" s="79"/>
      <c r="H49" s="79"/>
      <c r="I49" s="79"/>
      <c r="J49" s="80"/>
      <c r="L49" s="78" t="s">
        <v>63</v>
      </c>
      <c r="M49" s="79"/>
      <c r="N49" s="79"/>
      <c r="O49" s="79"/>
      <c r="P49" s="79"/>
      <c r="Q49" s="79"/>
      <c r="R49" s="79"/>
      <c r="S49" s="80"/>
    </row>
    <row r="50" spans="3:19" x14ac:dyDescent="0.25">
      <c r="C50" s="96" t="s">
        <v>18</v>
      </c>
      <c r="D50" s="97"/>
      <c r="E50" s="97"/>
      <c r="F50" s="97"/>
      <c r="G50" s="97"/>
      <c r="H50" s="97"/>
      <c r="I50" s="97"/>
      <c r="J50" s="98"/>
      <c r="L50" s="84" t="s">
        <v>18</v>
      </c>
      <c r="M50" s="85"/>
      <c r="N50" s="85"/>
      <c r="O50" s="85"/>
      <c r="P50" s="85"/>
      <c r="Q50" s="85"/>
      <c r="R50" s="85"/>
      <c r="S50" s="86"/>
    </row>
    <row r="51" spans="3:19" x14ac:dyDescent="0.25">
      <c r="C51" s="69" t="s">
        <v>19</v>
      </c>
      <c r="D51" s="68"/>
      <c r="E51" s="68"/>
      <c r="F51" s="68"/>
      <c r="G51" s="68"/>
      <c r="H51" s="68"/>
      <c r="I51" s="68"/>
      <c r="J51" s="70"/>
      <c r="L51" s="81" t="s">
        <v>19</v>
      </c>
      <c r="M51" s="82"/>
      <c r="N51" s="82"/>
      <c r="O51" s="82"/>
      <c r="P51" s="82"/>
      <c r="Q51" s="82"/>
      <c r="R51" s="82"/>
      <c r="S51" s="83"/>
    </row>
    <row r="52" spans="3:19" x14ac:dyDescent="0.25">
      <c r="C52" s="69" t="s">
        <v>115</v>
      </c>
      <c r="D52" s="68"/>
      <c r="E52" s="68"/>
      <c r="F52" s="68"/>
      <c r="G52" s="68"/>
      <c r="H52" s="68"/>
      <c r="I52" s="68"/>
      <c r="J52" s="70"/>
      <c r="L52" s="81" t="s">
        <v>126</v>
      </c>
      <c r="M52" s="82"/>
      <c r="N52" s="82"/>
      <c r="O52" s="82"/>
      <c r="P52" s="82"/>
      <c r="Q52" s="82"/>
      <c r="R52" s="82"/>
      <c r="S52" s="83"/>
    </row>
    <row r="53" spans="3:19" x14ac:dyDescent="0.25">
      <c r="C53" s="69" t="s">
        <v>116</v>
      </c>
      <c r="D53" s="68"/>
      <c r="E53" s="68"/>
      <c r="F53" s="68"/>
      <c r="G53" s="68"/>
      <c r="H53" s="68"/>
      <c r="I53" s="68"/>
      <c r="J53" s="70"/>
      <c r="L53" s="81" t="s">
        <v>117</v>
      </c>
      <c r="M53" s="82"/>
      <c r="N53" s="82"/>
      <c r="O53" s="82"/>
      <c r="P53" s="82"/>
      <c r="Q53" s="82"/>
      <c r="R53" s="82"/>
      <c r="S53" s="83"/>
    </row>
    <row r="54" spans="3:19" x14ac:dyDescent="0.25">
      <c r="C54" s="81" t="s">
        <v>121</v>
      </c>
      <c r="D54" s="82"/>
      <c r="E54" s="82"/>
      <c r="F54" s="82"/>
      <c r="G54" s="82"/>
      <c r="H54" s="82"/>
      <c r="I54" s="82"/>
      <c r="J54" s="83"/>
      <c r="L54" s="90" t="s">
        <v>65</v>
      </c>
      <c r="M54" s="91"/>
      <c r="N54" s="91"/>
      <c r="O54" s="91"/>
      <c r="P54" s="91"/>
      <c r="Q54" s="91"/>
      <c r="R54" s="91"/>
      <c r="S54" s="92"/>
    </row>
    <row r="55" spans="3:19" x14ac:dyDescent="0.25">
      <c r="C55" s="108"/>
      <c r="D55" s="109"/>
      <c r="E55" s="109"/>
      <c r="F55" s="109"/>
      <c r="G55" s="109"/>
      <c r="H55" s="109"/>
      <c r="I55" s="109"/>
      <c r="J55" s="110"/>
      <c r="L55" s="87" t="s">
        <v>123</v>
      </c>
      <c r="M55" s="88"/>
      <c r="N55" s="88"/>
      <c r="O55" s="88"/>
      <c r="P55" s="88"/>
      <c r="Q55" s="88"/>
      <c r="R55" s="88"/>
      <c r="S55" s="89"/>
    </row>
    <row r="56" spans="3:19" x14ac:dyDescent="0.25">
      <c r="D56"/>
      <c r="E56"/>
      <c r="F56"/>
      <c r="G56"/>
      <c r="H56"/>
      <c r="I56"/>
      <c r="J56"/>
    </row>
    <row r="57" spans="3:19" ht="18.75" x14ac:dyDescent="0.3">
      <c r="C57" s="78" t="s">
        <v>20</v>
      </c>
      <c r="D57" s="79"/>
      <c r="E57" s="79"/>
      <c r="F57" s="79"/>
      <c r="G57" s="79"/>
      <c r="H57" s="79"/>
      <c r="I57" s="79"/>
      <c r="J57" s="80"/>
      <c r="L57" s="93" t="s">
        <v>127</v>
      </c>
      <c r="M57" s="94"/>
      <c r="N57" s="94"/>
      <c r="O57" s="94"/>
      <c r="P57" s="94"/>
      <c r="Q57" s="94"/>
      <c r="R57" s="94"/>
      <c r="S57" s="95"/>
    </row>
    <row r="58" spans="3:19" x14ac:dyDescent="0.25">
      <c r="C58" s="96" t="s">
        <v>66</v>
      </c>
      <c r="D58" s="97"/>
      <c r="E58" s="97"/>
      <c r="F58" s="97"/>
      <c r="G58" s="97"/>
      <c r="H58" s="97"/>
      <c r="I58" s="97"/>
      <c r="J58" s="98"/>
      <c r="L58" s="96" t="s">
        <v>134</v>
      </c>
      <c r="M58" s="97"/>
      <c r="N58" s="97"/>
      <c r="O58" s="97"/>
      <c r="P58" s="97"/>
      <c r="Q58" s="97"/>
      <c r="R58" s="97"/>
      <c r="S58" s="98"/>
    </row>
    <row r="59" spans="3:19" x14ac:dyDescent="0.25">
      <c r="C59" s="69" t="s">
        <v>21</v>
      </c>
      <c r="D59" s="68"/>
      <c r="E59" s="68"/>
      <c r="F59" s="68"/>
      <c r="G59" s="68"/>
      <c r="H59" s="68"/>
      <c r="I59" s="68"/>
      <c r="J59" s="70"/>
      <c r="L59" s="69" t="s">
        <v>128</v>
      </c>
      <c r="M59" s="68"/>
      <c r="N59" s="68"/>
      <c r="O59" s="68"/>
      <c r="P59" s="68"/>
      <c r="Q59" s="68"/>
      <c r="R59" s="68"/>
      <c r="S59" s="70"/>
    </row>
    <row r="60" spans="3:19" x14ac:dyDescent="0.25">
      <c r="C60" s="69" t="s">
        <v>22</v>
      </c>
      <c r="D60" s="68"/>
      <c r="E60" s="68"/>
      <c r="F60" s="68"/>
      <c r="G60" s="68"/>
      <c r="H60" s="68"/>
      <c r="I60" s="68"/>
      <c r="J60" s="70"/>
      <c r="L60" s="69" t="s">
        <v>129</v>
      </c>
      <c r="M60" s="68"/>
      <c r="N60" s="68"/>
      <c r="O60" s="68"/>
      <c r="P60" s="68"/>
      <c r="Q60" s="68"/>
      <c r="R60" s="68"/>
      <c r="S60" s="70"/>
    </row>
    <row r="61" spans="3:19" x14ac:dyDescent="0.25">
      <c r="C61" s="69" t="s">
        <v>23</v>
      </c>
      <c r="D61" s="68"/>
      <c r="E61" s="68"/>
      <c r="F61" s="68"/>
      <c r="G61" s="68"/>
      <c r="H61" s="68"/>
      <c r="I61" s="68"/>
      <c r="J61" s="70"/>
      <c r="L61" s="69" t="s">
        <v>131</v>
      </c>
      <c r="M61" s="68"/>
      <c r="N61" s="68"/>
      <c r="O61" s="68"/>
      <c r="P61" s="68"/>
      <c r="Q61" s="68"/>
      <c r="R61" s="68"/>
      <c r="S61" s="70"/>
    </row>
    <row r="62" spans="3:19" x14ac:dyDescent="0.25">
      <c r="C62" s="69" t="s">
        <v>62</v>
      </c>
      <c r="D62" s="68"/>
      <c r="E62" s="68"/>
      <c r="F62" s="68"/>
      <c r="G62" s="68"/>
      <c r="H62" s="68"/>
      <c r="I62" s="68"/>
      <c r="J62" s="70"/>
      <c r="L62" s="10"/>
      <c r="S62" s="11"/>
    </row>
    <row r="63" spans="3:19" x14ac:dyDescent="0.25">
      <c r="C63" s="69" t="s">
        <v>24</v>
      </c>
      <c r="D63" s="68"/>
      <c r="E63" s="68"/>
      <c r="F63" s="68"/>
      <c r="G63" s="68"/>
      <c r="H63" s="68"/>
      <c r="I63" s="68"/>
      <c r="J63" s="70"/>
      <c r="L63" s="71" t="s">
        <v>130</v>
      </c>
      <c r="M63" s="72"/>
      <c r="N63" s="72"/>
      <c r="O63" s="72"/>
      <c r="P63" s="72"/>
      <c r="Q63" s="72"/>
      <c r="R63" s="72"/>
      <c r="S63" s="73"/>
    </row>
    <row r="64" spans="3:19" x14ac:dyDescent="0.25">
      <c r="C64" s="69" t="s">
        <v>25</v>
      </c>
      <c r="D64" s="68"/>
      <c r="E64" s="68"/>
      <c r="F64" s="68"/>
      <c r="G64" s="68"/>
      <c r="H64" s="68"/>
      <c r="I64" s="68"/>
      <c r="J64" s="70"/>
      <c r="L64" s="74" t="s">
        <v>132</v>
      </c>
      <c r="M64" s="75"/>
      <c r="N64" s="75"/>
      <c r="O64" s="75"/>
      <c r="P64" s="75"/>
      <c r="Q64" s="75"/>
      <c r="R64" s="75"/>
      <c r="S64" s="76"/>
    </row>
    <row r="65" spans="2:19" x14ac:dyDescent="0.25">
      <c r="C65" s="69" t="s">
        <v>26</v>
      </c>
      <c r="D65" s="68"/>
      <c r="E65" s="68"/>
      <c r="F65" s="68"/>
      <c r="G65" s="68"/>
      <c r="H65" s="68"/>
      <c r="I65" s="68"/>
      <c r="J65" s="70"/>
      <c r="L65" s="74" t="s">
        <v>133</v>
      </c>
      <c r="M65" s="75"/>
      <c r="N65" s="75"/>
      <c r="O65" s="75"/>
      <c r="P65" s="75"/>
      <c r="Q65" s="75"/>
      <c r="R65" s="75"/>
      <c r="S65" s="76"/>
    </row>
    <row r="66" spans="2:19" ht="15.75" x14ac:dyDescent="0.25">
      <c r="B66" s="9"/>
      <c r="C66" s="108" t="s">
        <v>124</v>
      </c>
      <c r="D66" s="109"/>
      <c r="E66" s="109"/>
      <c r="F66" s="109"/>
      <c r="G66" s="109"/>
      <c r="H66" s="109"/>
      <c r="I66" s="109"/>
      <c r="J66" s="110"/>
      <c r="L66" s="74" t="s">
        <v>135</v>
      </c>
      <c r="M66" s="75"/>
      <c r="N66" s="75"/>
      <c r="O66" s="75"/>
      <c r="P66" s="75"/>
      <c r="Q66" s="75"/>
      <c r="R66" s="75"/>
      <c r="S66" s="76"/>
    </row>
    <row r="67" spans="2:19" x14ac:dyDescent="0.25">
      <c r="D67"/>
      <c r="E67"/>
      <c r="F67"/>
      <c r="G67"/>
      <c r="H67"/>
      <c r="I67"/>
      <c r="J67"/>
      <c r="L67" s="74" t="s">
        <v>136</v>
      </c>
      <c r="M67" s="75"/>
      <c r="N67" s="75"/>
      <c r="O67" s="75"/>
      <c r="P67" s="75"/>
      <c r="Q67" s="75"/>
      <c r="R67" s="75"/>
      <c r="S67" s="76"/>
    </row>
    <row r="68" spans="2:19" ht="18.75" x14ac:dyDescent="0.3">
      <c r="C68" s="78" t="s">
        <v>27</v>
      </c>
      <c r="D68" s="79"/>
      <c r="E68" s="79"/>
      <c r="F68" s="79"/>
      <c r="G68" s="79"/>
      <c r="H68" s="79"/>
      <c r="I68" s="79"/>
      <c r="J68" s="80"/>
      <c r="L68" s="65" t="s">
        <v>137</v>
      </c>
      <c r="M68" s="66"/>
      <c r="N68" s="66"/>
      <c r="O68" s="66"/>
      <c r="P68" s="66"/>
      <c r="Q68" s="66"/>
      <c r="R68" s="66"/>
      <c r="S68" s="67"/>
    </row>
    <row r="69" spans="2:19" x14ac:dyDescent="0.25">
      <c r="C69" s="10" t="s">
        <v>67</v>
      </c>
      <c r="D69"/>
      <c r="E69"/>
      <c r="F69"/>
      <c r="G69"/>
      <c r="H69"/>
      <c r="I69"/>
      <c r="J69" s="11"/>
      <c r="L69" s="68"/>
      <c r="M69" s="68"/>
      <c r="N69" s="68"/>
      <c r="O69" s="68"/>
      <c r="P69" s="68"/>
      <c r="Q69" s="68"/>
      <c r="R69" s="68"/>
      <c r="S69" s="68"/>
    </row>
    <row r="70" spans="2:19" ht="15" customHeight="1" x14ac:dyDescent="0.25">
      <c r="C70" s="12" t="s">
        <v>28</v>
      </c>
      <c r="D70" s="13"/>
      <c r="E70" s="13"/>
      <c r="F70" s="13"/>
      <c r="G70" s="13"/>
      <c r="H70" s="13"/>
      <c r="I70" s="13"/>
      <c r="J70" s="14"/>
      <c r="L70" s="68"/>
      <c r="M70" s="68"/>
      <c r="N70" s="68"/>
      <c r="O70" s="68"/>
      <c r="P70" s="68"/>
      <c r="Q70" s="68"/>
      <c r="R70" s="68"/>
      <c r="S70" s="68"/>
    </row>
    <row r="71" spans="2:19" ht="15" customHeight="1" x14ac:dyDescent="0.25">
      <c r="D71"/>
      <c r="E71"/>
      <c r="F71"/>
      <c r="G71"/>
      <c r="H71"/>
      <c r="I71"/>
      <c r="J71"/>
    </row>
    <row r="72" spans="2:19" ht="15" customHeight="1" x14ac:dyDescent="0.3">
      <c r="C72" s="118" t="s">
        <v>54</v>
      </c>
      <c r="D72" s="119"/>
      <c r="E72" s="119"/>
      <c r="F72" s="119"/>
      <c r="G72" s="119"/>
      <c r="H72" s="119"/>
      <c r="I72" s="119"/>
      <c r="J72" s="120"/>
    </row>
    <row r="73" spans="2:19" ht="18.75" x14ac:dyDescent="0.3">
      <c r="C73" s="115" t="s">
        <v>688</v>
      </c>
      <c r="D73" s="116"/>
      <c r="E73" s="116"/>
      <c r="F73" s="116"/>
      <c r="G73" s="116"/>
      <c r="H73" s="116"/>
      <c r="I73" s="116"/>
      <c r="J73" s="117"/>
    </row>
    <row r="74" spans="2:19" ht="15.75" x14ac:dyDescent="0.25">
      <c r="C74" s="105" t="s">
        <v>38</v>
      </c>
      <c r="D74" s="106"/>
      <c r="E74" s="106"/>
      <c r="F74" s="106"/>
      <c r="G74" s="106"/>
      <c r="H74" s="106"/>
      <c r="I74" s="106"/>
      <c r="J74" s="107"/>
    </row>
    <row r="75" spans="2:19" x14ac:dyDescent="0.25">
      <c r="C75" s="10" t="s">
        <v>35</v>
      </c>
      <c r="F75" s="77" t="s">
        <v>31</v>
      </c>
      <c r="G75" s="77"/>
      <c r="H75" s="77"/>
      <c r="I75" s="77"/>
      <c r="J75" s="15"/>
    </row>
    <row r="76" spans="2:19" x14ac:dyDescent="0.25">
      <c r="C76" s="10" t="s">
        <v>36</v>
      </c>
      <c r="F76" s="77" t="s">
        <v>32</v>
      </c>
      <c r="G76" s="77"/>
      <c r="H76" s="77"/>
      <c r="I76" s="77"/>
      <c r="J76" s="15"/>
    </row>
    <row r="77" spans="2:19" x14ac:dyDescent="0.25">
      <c r="C77" s="10" t="s">
        <v>37</v>
      </c>
      <c r="F77" s="77" t="s">
        <v>33</v>
      </c>
      <c r="G77" s="77"/>
      <c r="H77" s="77"/>
      <c r="I77" s="77"/>
      <c r="J77" s="30"/>
    </row>
    <row r="78" spans="2:19" x14ac:dyDescent="0.25">
      <c r="C78" s="10" t="s">
        <v>74</v>
      </c>
      <c r="F78" s="77" t="s">
        <v>72</v>
      </c>
      <c r="G78" s="77"/>
      <c r="H78" s="77"/>
      <c r="I78" s="77"/>
      <c r="J78" s="30" t="s">
        <v>60</v>
      </c>
    </row>
    <row r="79" spans="2:19" x14ac:dyDescent="0.25">
      <c r="C79" s="12" t="s">
        <v>69</v>
      </c>
      <c r="D79" s="16"/>
      <c r="E79" s="16"/>
      <c r="F79" s="104" t="s">
        <v>70</v>
      </c>
      <c r="G79" s="104"/>
      <c r="H79" s="104"/>
      <c r="I79" s="104"/>
      <c r="J79" s="31" t="s">
        <v>39</v>
      </c>
    </row>
  </sheetData>
  <mergeCells count="71">
    <mergeCell ref="C3:F3"/>
    <mergeCell ref="D14:J14"/>
    <mergeCell ref="C73:J73"/>
    <mergeCell ref="C47:J47"/>
    <mergeCell ref="C45:J45"/>
    <mergeCell ref="C44:J44"/>
    <mergeCell ref="C72:J72"/>
    <mergeCell ref="C58:J58"/>
    <mergeCell ref="C55:J55"/>
    <mergeCell ref="C52:J52"/>
    <mergeCell ref="C51:J51"/>
    <mergeCell ref="C50:J50"/>
    <mergeCell ref="C49:J49"/>
    <mergeCell ref="C43:J43"/>
    <mergeCell ref="D15:J15"/>
    <mergeCell ref="C59:J59"/>
    <mergeCell ref="C57:J57"/>
    <mergeCell ref="C54:J54"/>
    <mergeCell ref="F77:I77"/>
    <mergeCell ref="C13:J13"/>
    <mergeCell ref="C21:J21"/>
    <mergeCell ref="E22:J22"/>
    <mergeCell ref="D16:J18"/>
    <mergeCell ref="E31:J32"/>
    <mergeCell ref="E28:J28"/>
    <mergeCell ref="E29:J30"/>
    <mergeCell ref="E23:J24"/>
    <mergeCell ref="E25:J26"/>
    <mergeCell ref="E27:J27"/>
    <mergeCell ref="C64:J64"/>
    <mergeCell ref="C63:J63"/>
    <mergeCell ref="C62:J62"/>
    <mergeCell ref="C61:J61"/>
    <mergeCell ref="C60:J60"/>
    <mergeCell ref="F75:I75"/>
    <mergeCell ref="F76:I76"/>
    <mergeCell ref="F79:I79"/>
    <mergeCell ref="C74:J74"/>
    <mergeCell ref="C66:J66"/>
    <mergeCell ref="F78:I78"/>
    <mergeCell ref="C68:J68"/>
    <mergeCell ref="C46:J46"/>
    <mergeCell ref="L49:S49"/>
    <mergeCell ref="L50:S50"/>
    <mergeCell ref="L51:S51"/>
    <mergeCell ref="L52:S52"/>
    <mergeCell ref="L55:S55"/>
    <mergeCell ref="L54:S54"/>
    <mergeCell ref="L53:S53"/>
    <mergeCell ref="C53:J53"/>
    <mergeCell ref="L57:S57"/>
    <mergeCell ref="L58:S58"/>
    <mergeCell ref="L59:S59"/>
    <mergeCell ref="L60:S60"/>
    <mergeCell ref="L67:S67"/>
    <mergeCell ref="D8:J11"/>
    <mergeCell ref="L68:S68"/>
    <mergeCell ref="L69:S69"/>
    <mergeCell ref="L70:S70"/>
    <mergeCell ref="L61:S61"/>
    <mergeCell ref="L63:S63"/>
    <mergeCell ref="L64:S64"/>
    <mergeCell ref="L65:S65"/>
    <mergeCell ref="L66:S66"/>
    <mergeCell ref="L43:S43"/>
    <mergeCell ref="L44:S44"/>
    <mergeCell ref="L45:S45"/>
    <mergeCell ref="L46:S46"/>
    <mergeCell ref="L47:S47"/>
    <mergeCell ref="C41:J42"/>
    <mergeCell ref="C65:J65"/>
  </mergeCells>
  <hyperlinks>
    <hyperlink ref="F75" r:id="rId1" xr:uid="{00000000-0004-0000-0000-000000000000}"/>
    <hyperlink ref="F76" r:id="rId2" xr:uid="{00000000-0004-0000-0000-000001000000}"/>
    <hyperlink ref="F79" r:id="rId3" xr:uid="{00000000-0004-0000-0000-000002000000}"/>
    <hyperlink ref="C72:J72" r:id="rId4" display="For public beta release under the NIST Software Disclaimer." xr:uid="{00000000-0004-0000-0000-000003000000}"/>
    <hyperlink ref="F77" r:id="rId5" xr:uid="{00000000-0004-0000-0000-000004000000}"/>
    <hyperlink ref="F78" r:id="rId6" xr:uid="{00000000-0004-0000-0000-000005000000}"/>
    <hyperlink ref="H6" r:id="rId7" xr:uid="{CC37D8E4-FC29-4A0C-8216-3367B1BC3E3D}"/>
  </hyperlinks>
  <pageMargins left="0.7" right="0.7" top="0.75" bottom="0.75" header="0.3" footer="0.3"/>
  <pageSetup orientation="portrait" r:id="rId8"/>
  <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Z54"/>
  <sheetViews>
    <sheetView showGridLines="0" zoomScale="90" zoomScaleNormal="90" workbookViewId="0">
      <pane xSplit="11" ySplit="2" topLeftCell="L3" activePane="bottomRight" state="frozen"/>
      <selection pane="topRight"/>
      <selection pane="bottomLeft"/>
      <selection pane="bottomRight" activeCell="M7" sqref="M7"/>
    </sheetView>
  </sheetViews>
  <sheetFormatPr defaultColWidth="9.140625" defaultRowHeight="15.75" x14ac:dyDescent="0.25"/>
  <cols>
    <col min="1" max="1" width="18" style="2" customWidth="1"/>
    <col min="2" max="2" width="0.28515625" style="2" customWidth="1"/>
    <col min="3" max="3" width="3.85546875" style="2" hidden="1" customWidth="1"/>
    <col min="4" max="4" width="2.5703125" style="2" hidden="1" customWidth="1"/>
    <col min="5" max="6" width="9.140625" style="2" hidden="1" customWidth="1"/>
    <col min="7" max="7" width="4.28515625" style="2" hidden="1" customWidth="1"/>
    <col min="8" max="8" width="10.85546875" style="2" hidden="1" customWidth="1"/>
    <col min="9" max="9" width="9.5703125" style="2" hidden="1" customWidth="1"/>
    <col min="10" max="11" width="9.140625" style="2" hidden="1" customWidth="1"/>
    <col min="12" max="12" width="12.7109375" style="23" bestFit="1" customWidth="1"/>
    <col min="13" max="13" width="15.85546875" style="23" bestFit="1" customWidth="1"/>
    <col min="14" max="14" width="12.140625" style="23" bestFit="1" customWidth="1"/>
    <col min="15" max="15" width="14.42578125" style="23" bestFit="1" customWidth="1"/>
    <col min="16" max="19" width="12.140625" style="23" bestFit="1" customWidth="1"/>
    <col min="20" max="20" width="10.85546875" style="46" bestFit="1" customWidth="1"/>
    <col min="21" max="21" width="13.5703125" style="23" bestFit="1" customWidth="1"/>
    <col min="22" max="22" width="16.5703125" style="23" bestFit="1" customWidth="1"/>
    <col min="23" max="23" width="16.140625" style="2" bestFit="1" customWidth="1"/>
  </cols>
  <sheetData>
    <row r="1" spans="1:23" s="28" customFormat="1" x14ac:dyDescent="0.25">
      <c r="A1" s="37" t="s">
        <v>59</v>
      </c>
      <c r="B1" s="27" t="s">
        <v>5</v>
      </c>
      <c r="C1" s="27"/>
      <c r="D1" s="27"/>
      <c r="E1" s="27"/>
      <c r="F1" s="27"/>
      <c r="G1" s="27" t="s">
        <v>0</v>
      </c>
      <c r="H1" s="27" t="s">
        <v>1</v>
      </c>
      <c r="I1" s="27" t="s">
        <v>2</v>
      </c>
      <c r="J1" s="27"/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40" t="s">
        <v>12</v>
      </c>
      <c r="U1" s="29" t="s">
        <v>10</v>
      </c>
      <c r="V1" s="29" t="s">
        <v>11</v>
      </c>
      <c r="W1" s="27"/>
    </row>
    <row r="2" spans="1:23" ht="15.75" hidden="1" customHeight="1" x14ac:dyDescent="0.25">
      <c r="A2" s="1" t="s">
        <v>76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FA 12:1</v>
      </c>
      <c r="C2" s="1" t="str">
        <f t="shared" ref="C2" si="0">MID(B2,4,FIND(":",B2)-FIND(" ",B2)-1)</f>
        <v>12</v>
      </c>
      <c r="D2" s="1" t="str">
        <f t="shared" ref="D2" si="1">IF(ISNUMBER(SEARCH("__",B2)),MID(B2,FIND(":",B2)+1,FIND("__",B2)-FIND(":",B2)-1),MID(B2,FIND(":",B2)+1,7))</f>
        <v>1</v>
      </c>
      <c r="E2" s="1"/>
      <c r="F2" s="1"/>
      <c r="G2" s="1" t="str">
        <f t="shared" ref="G2" si="2">C2</f>
        <v>12</v>
      </c>
      <c r="H2" s="1">
        <f t="shared" ref="H2" si="3">2*G2-(2*D2)-((LEN(A2)-LEN(SUBSTITUTE(A2,"_O_","")))/LEN("_O_"))*2-((LEN(A2)-LEN(SUBSTITUTE(A2,"_CHO_","")))/LEN("_CHO_"))*2-((LEN(A2)-LEN(SUBSTITUTE(A2,"_COOH_","")))/LEN("_COOH_"))*2</f>
        <v>22</v>
      </c>
      <c r="I2" s="1">
        <f t="shared" ref="I2" si="4">2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2</v>
      </c>
      <c r="J2" s="1"/>
      <c r="K2" s="1"/>
      <c r="L2" s="22" t="str">
        <f t="shared" ref="L2" si="5">CONCATENATE("C",G2,"H",H2,"O",I2)</f>
        <v>C12H22O2</v>
      </c>
      <c r="M2" s="22">
        <f t="shared" ref="M2" si="6">(G2*12)+(H2*1.0078246)+(I2*15.994915)</f>
        <v>198.16197120000001</v>
      </c>
      <c r="N2" s="22">
        <f t="shared" ref="N2" si="7">M2+1.0078246-0.00055</f>
        <v>199.1692458</v>
      </c>
      <c r="O2" s="19">
        <f t="shared" ref="O2" si="8">N2-18.01057-0.00055</f>
        <v>181.15812579999999</v>
      </c>
      <c r="P2" s="22">
        <f t="shared" ref="P2" si="9">M2+18.03437-0.00055</f>
        <v>216.1957912</v>
      </c>
      <c r="Q2" s="22">
        <f t="shared" ref="Q2" si="10">M2+22.98977-0.00055</f>
        <v>221.1511912</v>
      </c>
      <c r="R2" s="22">
        <f t="shared" ref="R2" si="11">M2+38.96371-0.00055</f>
        <v>237.1251312</v>
      </c>
      <c r="S2" s="22">
        <f t="shared" ref="S2" si="12">M2+7.01601-0.00055</f>
        <v>205.1774312</v>
      </c>
      <c r="T2" s="45">
        <f t="shared" ref="T2" si="13">M2-1.0078246+0.00055</f>
        <v>197.15469660000002</v>
      </c>
      <c r="U2" s="22">
        <f t="shared" ref="U2" si="14">M2+44.99767+0.00055</f>
        <v>243.16019120000001</v>
      </c>
      <c r="V2" s="22">
        <f t="shared" ref="V2" si="15">M2+59.01332+0.00055</f>
        <v>257.17584119999998</v>
      </c>
      <c r="W2" s="1"/>
    </row>
    <row r="3" spans="1:23" x14ac:dyDescent="0.25">
      <c r="A3" s="2" t="s">
        <v>644</v>
      </c>
      <c r="B3" s="17" t="str">
        <f>IF(ISNUMBER(SEARCH("(",A3)),IF(ISNUMBER(SEARCH("/",A3)),CONCATENATE(MID(A3,1,2),"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3,1,2)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>FA 9:0</v>
      </c>
      <c r="C3" s="1" t="str">
        <f t="shared" ref="C3" si="16">MID(B3,4,FIND(":",B3)-FIND(" ",B3)-1)</f>
        <v>9</v>
      </c>
      <c r="D3" s="1" t="str">
        <f t="shared" ref="D3" si="17">IF(ISNUMBER(SEARCH("__",B3)),MID(B3,FIND(":",B3)+1,FIND("__",B3)-FIND(":",B3)-1),MID(B3,FIND(":",B3)+1,7))</f>
        <v>0</v>
      </c>
      <c r="E3" s="1"/>
      <c r="F3" s="1"/>
      <c r="G3" s="1" t="str">
        <f t="shared" ref="G3" si="18">C3</f>
        <v>9</v>
      </c>
      <c r="H3" s="1">
        <f t="shared" ref="H3" si="19">2*G3-(2*D3)-((LEN(A3)-LEN(SUBSTITUTE(A3,"_O_","")))/LEN("_O_"))*2-((LEN(A3)-LEN(SUBSTITUTE(A3,"_CHO_","")))/LEN("_CHO_"))*2-((LEN(A3)-LEN(SUBSTITUTE(A3,"_COOH_","")))/LEN("_COOH_"))*2</f>
        <v>18</v>
      </c>
      <c r="I3" s="1">
        <f t="shared" ref="I3" si="20">2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2</v>
      </c>
      <c r="J3" s="1"/>
      <c r="K3" s="1"/>
      <c r="L3" s="22" t="str">
        <f t="shared" ref="L3" si="21">CONCATENATE("C",G3,"H",H3,"O",I3)</f>
        <v>C9H18O2</v>
      </c>
      <c r="M3" s="22">
        <f t="shared" ref="M3" si="22">(G3*12)+(H3*1.0078246)+(I3*15.994915)</f>
        <v>158.13067280000001</v>
      </c>
      <c r="N3" s="22">
        <f t="shared" ref="N3" si="23">M3+1.0078246-0.00055</f>
        <v>159.1379474</v>
      </c>
      <c r="O3" s="19">
        <f t="shared" ref="O3" si="24">N3-18.01057-0.00055</f>
        <v>141.1268274</v>
      </c>
      <c r="P3" s="22">
        <f t="shared" ref="P3" si="25">M3+18.03437-0.00055</f>
        <v>176.1644928</v>
      </c>
      <c r="Q3" s="22">
        <f t="shared" ref="Q3" si="26">M3+22.98977-0.00055</f>
        <v>181.1198928</v>
      </c>
      <c r="R3" s="22">
        <f t="shared" ref="R3" si="27">M3+38.96371-0.00055</f>
        <v>197.0938328</v>
      </c>
      <c r="S3" s="22">
        <f t="shared" ref="S3" si="28">M3+7.01601-0.00055</f>
        <v>165.1461328</v>
      </c>
      <c r="T3" s="45">
        <f t="shared" ref="T3" si="29">M3-1.0078246+0.00055</f>
        <v>157.12339820000003</v>
      </c>
      <c r="U3" s="22">
        <f t="shared" ref="U3" si="30">M3+44.99767+0.00055</f>
        <v>203.12889280000002</v>
      </c>
      <c r="V3" s="22">
        <f t="shared" ref="V3" si="31">M3+59.01332+0.00055</f>
        <v>217.14454280000001</v>
      </c>
      <c r="W3" s="1"/>
    </row>
    <row r="4" spans="1:23" x14ac:dyDescent="0.25">
      <c r="A4" s="2" t="s">
        <v>321</v>
      </c>
      <c r="B4" s="17" t="str">
        <f t="shared" ref="B4:B41" si="32">IF(ISNUMBER(SEARCH("(",A4)),IF(ISNUMBER(SEARCH("/",A4)),CONCATENATE(MID(A4,1,2)," ",(SUM(MID(A4,FIND("(",A4)+1,FIND(":",A4)-FIND("(",A4)-1),MID(A4,FIND("/",A4)+1,FIND(":",A4,FIND("/",A4))-FIND("/",A4)-1))),":",SUM(MID(A4,FIND(":",A4)+1,FIND("/",A4)-FIND(":",A4)-1),MID(A4,FIND(":",A4,FIND("/",A4))+1,FIND(")",A4)-FIND(":",A4,FIND("/",A4))-1)),MID(A4,(FIND(")",A4)+1),100)),CONCATENATE(MID(A4,1,2)," ",(SUM(MID(A4,FIND("(",A4)+1,FIND(":",A4)-FIND("(",A4)-1),MID(A4,FIND("_",A4)+1,FIND(":",A4,FIND("_",A4))-FIND("_",A4)-1))),":",SUM(MID(A4,FIND(":",A4)+1,FIND("_",A4)-FIND(":",A4)-1),MID(A4,FIND(":",A4,FIND("_",A4))+1,FIND(")",A4)-FIND(":",A4,FIND("_",A4))-1)),MID(A4,(FIND(")",A4)+1),100))),A4)</f>
        <v>FA 10:1</v>
      </c>
      <c r="C4" s="1" t="str">
        <f t="shared" ref="C4:C30" si="33">MID(B4,4,FIND(":",B4)-FIND(" ",B4)-1)</f>
        <v>10</v>
      </c>
      <c r="D4" s="1" t="str">
        <f t="shared" ref="D4:D30" si="34">IF(ISNUMBER(SEARCH("__",B4)),MID(B4,FIND(":",B4)+1,FIND("__",B4)-FIND(":",B4)-1),MID(B4,FIND(":",B4)+1,7))</f>
        <v>1</v>
      </c>
      <c r="E4" s="1"/>
      <c r="F4" s="1"/>
      <c r="G4" s="1" t="str">
        <f t="shared" ref="G4:G30" si="35">C4</f>
        <v>10</v>
      </c>
      <c r="H4" s="1">
        <f t="shared" ref="H4:H30" si="36">2*G4-(2*D4)-((LEN(A4)-LEN(SUBSTITUTE(A4,"_O_","")))/LEN("_O_"))*2-((LEN(A4)-LEN(SUBSTITUTE(A4,"_CHO_","")))/LEN("_CHO_"))*2-((LEN(A4)-LEN(SUBSTITUTE(A4,"_COOH_","")))/LEN("_COOH_"))*2</f>
        <v>18</v>
      </c>
      <c r="I4" s="1">
        <f t="shared" ref="I4:I30" si="37">2+((LEN(A4)-LEN(SUBSTITUTE(A4,"_OH_","")))/LEN("_OH_"))*1+((LEN(A4)-LEN(SUBSTITUTE(A4,"_OOH_","")))/LEN("_OOH_"))*2+((LEN(A4)-LEN(SUBSTITUTE(A4,"_O_","")))/LEN("_O_"))*1+((LEN(A4)-LEN(SUBSTITUTE(A4,"_CHO_","")))/LEN("_CHO_"))*1+((LEN(A4)-LEN(SUBSTITUTE(A4,"_COOH_","")))/LEN("_COOH_"))*2</f>
        <v>2</v>
      </c>
      <c r="J4" s="1"/>
      <c r="K4" s="1"/>
      <c r="L4" s="22" t="str">
        <f t="shared" ref="L4:L30" si="38">CONCATENATE("C",G4,"H",H4,"O",I4)</f>
        <v>C10H18O2</v>
      </c>
      <c r="M4" s="22">
        <f t="shared" ref="M4:M30" si="39">(G4*12)+(H4*1.0078246)+(I4*15.994915)</f>
        <v>170.13067280000001</v>
      </c>
      <c r="N4" s="22">
        <f t="shared" ref="N4:N30" si="40">M4+1.0078246-0.00055</f>
        <v>171.1379474</v>
      </c>
      <c r="O4" s="19">
        <f t="shared" ref="O4:O30" si="41">N4-18.01057-0.00055</f>
        <v>153.1268274</v>
      </c>
      <c r="P4" s="22">
        <f t="shared" ref="P4:P30" si="42">M4+18.03437-0.00055</f>
        <v>188.1644928</v>
      </c>
      <c r="Q4" s="22">
        <f t="shared" ref="Q4:Q30" si="43">M4+22.98977-0.00055</f>
        <v>193.1198928</v>
      </c>
      <c r="R4" s="22">
        <f t="shared" ref="R4:R30" si="44">M4+38.96371-0.00055</f>
        <v>209.0938328</v>
      </c>
      <c r="S4" s="22">
        <f t="shared" ref="S4:S30" si="45">M4+7.01601-0.00055</f>
        <v>177.1461328</v>
      </c>
      <c r="T4" s="45">
        <f t="shared" ref="T4:T30" si="46">M4-1.0078246+0.00055</f>
        <v>169.12339820000003</v>
      </c>
      <c r="U4" s="22">
        <f t="shared" ref="U4:U30" si="47">M4+44.99767+0.00055</f>
        <v>215.12889280000002</v>
      </c>
      <c r="V4" s="22">
        <f t="shared" ref="V4:V30" si="48">M4+59.01332+0.00055</f>
        <v>229.14454280000001</v>
      </c>
      <c r="W4" s="1"/>
    </row>
    <row r="5" spans="1:23" x14ac:dyDescent="0.25">
      <c r="A5" s="2" t="s">
        <v>301</v>
      </c>
      <c r="B5" s="17" t="str">
        <f t="shared" si="32"/>
        <v>FA 10:0</v>
      </c>
      <c r="C5" s="1" t="str">
        <f t="shared" si="33"/>
        <v>10</v>
      </c>
      <c r="D5" s="1" t="str">
        <f t="shared" si="34"/>
        <v>0</v>
      </c>
      <c r="E5" s="1"/>
      <c r="F5" s="1"/>
      <c r="G5" s="1" t="str">
        <f t="shared" si="35"/>
        <v>10</v>
      </c>
      <c r="H5" s="1">
        <f t="shared" si="36"/>
        <v>20</v>
      </c>
      <c r="I5" s="1">
        <f t="shared" si="37"/>
        <v>2</v>
      </c>
      <c r="J5" s="1"/>
      <c r="K5" s="1"/>
      <c r="L5" s="22" t="str">
        <f t="shared" si="38"/>
        <v>C10H20O2</v>
      </c>
      <c r="M5" s="22">
        <f t="shared" si="39"/>
        <v>172.14632200000003</v>
      </c>
      <c r="N5" s="22">
        <f t="shared" si="40"/>
        <v>173.15359660000001</v>
      </c>
      <c r="O5" s="19">
        <f t="shared" si="41"/>
        <v>155.14247660000001</v>
      </c>
      <c r="P5" s="22">
        <f t="shared" si="42"/>
        <v>190.18014200000002</v>
      </c>
      <c r="Q5" s="22">
        <f t="shared" si="43"/>
        <v>195.13554200000002</v>
      </c>
      <c r="R5" s="22">
        <f t="shared" si="44"/>
        <v>211.10948200000001</v>
      </c>
      <c r="S5" s="22">
        <f t="shared" si="45"/>
        <v>179.16178200000002</v>
      </c>
      <c r="T5" s="45">
        <f t="shared" si="46"/>
        <v>171.13904740000004</v>
      </c>
      <c r="U5" s="22">
        <f t="shared" si="47"/>
        <v>217.14454200000003</v>
      </c>
      <c r="V5" s="22">
        <f t="shared" si="48"/>
        <v>231.16019200000002</v>
      </c>
      <c r="W5" s="1"/>
    </row>
    <row r="6" spans="1:23" x14ac:dyDescent="0.25">
      <c r="A6" s="2" t="s">
        <v>322</v>
      </c>
      <c r="B6" s="17" t="str">
        <f t="shared" si="32"/>
        <v>FA 11:1</v>
      </c>
      <c r="C6" s="1" t="str">
        <f t="shared" si="33"/>
        <v>11</v>
      </c>
      <c r="D6" s="1" t="str">
        <f t="shared" si="34"/>
        <v>1</v>
      </c>
      <c r="E6" s="1"/>
      <c r="F6" s="1"/>
      <c r="G6" s="1" t="str">
        <f t="shared" si="35"/>
        <v>11</v>
      </c>
      <c r="H6" s="1">
        <f t="shared" si="36"/>
        <v>20</v>
      </c>
      <c r="I6" s="1">
        <f t="shared" si="37"/>
        <v>2</v>
      </c>
      <c r="J6" s="1"/>
      <c r="K6" s="1"/>
      <c r="L6" s="22" t="str">
        <f t="shared" si="38"/>
        <v>C11H20O2</v>
      </c>
      <c r="M6" s="22">
        <f t="shared" si="39"/>
        <v>184.14632200000003</v>
      </c>
      <c r="N6" s="22">
        <f t="shared" si="40"/>
        <v>185.15359660000001</v>
      </c>
      <c r="O6" s="19">
        <f t="shared" si="41"/>
        <v>167.14247660000001</v>
      </c>
      <c r="P6" s="22">
        <f t="shared" si="42"/>
        <v>202.18014200000002</v>
      </c>
      <c r="Q6" s="22">
        <f t="shared" si="43"/>
        <v>207.13554200000002</v>
      </c>
      <c r="R6" s="22">
        <f t="shared" si="44"/>
        <v>223.10948200000001</v>
      </c>
      <c r="S6" s="22">
        <f t="shared" si="45"/>
        <v>191.16178200000002</v>
      </c>
      <c r="T6" s="45">
        <f t="shared" si="46"/>
        <v>183.13904740000004</v>
      </c>
      <c r="U6" s="22">
        <f t="shared" si="47"/>
        <v>229.14454200000003</v>
      </c>
      <c r="V6" s="22">
        <f t="shared" si="48"/>
        <v>243.16019200000002</v>
      </c>
      <c r="W6" s="1"/>
    </row>
    <row r="7" spans="1:23" x14ac:dyDescent="0.25">
      <c r="A7" s="2" t="s">
        <v>302</v>
      </c>
      <c r="B7" s="17" t="str">
        <f t="shared" si="32"/>
        <v>FA 11:0</v>
      </c>
      <c r="C7" s="1" t="str">
        <f t="shared" si="33"/>
        <v>11</v>
      </c>
      <c r="D7" s="1" t="str">
        <f t="shared" si="34"/>
        <v>0</v>
      </c>
      <c r="E7" s="1"/>
      <c r="F7" s="1"/>
      <c r="G7" s="1" t="str">
        <f t="shared" si="35"/>
        <v>11</v>
      </c>
      <c r="H7" s="1">
        <f t="shared" si="36"/>
        <v>22</v>
      </c>
      <c r="I7" s="1">
        <f t="shared" si="37"/>
        <v>2</v>
      </c>
      <c r="J7" s="1"/>
      <c r="K7" s="1"/>
      <c r="L7" s="22" t="str">
        <f t="shared" si="38"/>
        <v>C11H22O2</v>
      </c>
      <c r="M7" s="22">
        <f t="shared" si="39"/>
        <v>186.16197120000001</v>
      </c>
      <c r="N7" s="22">
        <f t="shared" si="40"/>
        <v>187.1692458</v>
      </c>
      <c r="O7" s="19">
        <f t="shared" si="41"/>
        <v>169.15812579999999</v>
      </c>
      <c r="P7" s="22">
        <f t="shared" si="42"/>
        <v>204.1957912</v>
      </c>
      <c r="Q7" s="22">
        <f t="shared" si="43"/>
        <v>209.1511912</v>
      </c>
      <c r="R7" s="22">
        <f t="shared" si="44"/>
        <v>225.1251312</v>
      </c>
      <c r="S7" s="22">
        <f t="shared" si="45"/>
        <v>193.1774312</v>
      </c>
      <c r="T7" s="45">
        <f t="shared" si="46"/>
        <v>185.15469660000002</v>
      </c>
      <c r="U7" s="22">
        <f t="shared" si="47"/>
        <v>231.16019120000001</v>
      </c>
      <c r="V7" s="22">
        <f t="shared" si="48"/>
        <v>245.17584120000001</v>
      </c>
      <c r="W7" s="1"/>
    </row>
    <row r="8" spans="1:23" x14ac:dyDescent="0.25">
      <c r="A8" s="2" t="s">
        <v>76</v>
      </c>
      <c r="B8" s="17" t="str">
        <f t="shared" si="32"/>
        <v>FA 12:1</v>
      </c>
      <c r="C8" s="1" t="str">
        <f t="shared" si="33"/>
        <v>12</v>
      </c>
      <c r="D8" s="1" t="str">
        <f t="shared" si="34"/>
        <v>1</v>
      </c>
      <c r="E8" s="1"/>
      <c r="F8" s="1"/>
      <c r="G8" s="1" t="str">
        <f t="shared" si="35"/>
        <v>12</v>
      </c>
      <c r="H8" s="1">
        <f t="shared" si="36"/>
        <v>22</v>
      </c>
      <c r="I8" s="1">
        <f t="shared" si="37"/>
        <v>2</v>
      </c>
      <c r="J8" s="1"/>
      <c r="K8" s="1"/>
      <c r="L8" s="22" t="str">
        <f t="shared" si="38"/>
        <v>C12H22O2</v>
      </c>
      <c r="M8" s="22">
        <f t="shared" si="39"/>
        <v>198.16197120000001</v>
      </c>
      <c r="N8" s="22">
        <f t="shared" si="40"/>
        <v>199.1692458</v>
      </c>
      <c r="O8" s="19">
        <f t="shared" si="41"/>
        <v>181.15812579999999</v>
      </c>
      <c r="P8" s="22">
        <f t="shared" si="42"/>
        <v>216.1957912</v>
      </c>
      <c r="Q8" s="22">
        <f t="shared" si="43"/>
        <v>221.1511912</v>
      </c>
      <c r="R8" s="22">
        <f t="shared" si="44"/>
        <v>237.1251312</v>
      </c>
      <c r="S8" s="22">
        <f t="shared" si="45"/>
        <v>205.1774312</v>
      </c>
      <c r="T8" s="45">
        <f t="shared" si="46"/>
        <v>197.15469660000002</v>
      </c>
      <c r="U8" s="22">
        <f t="shared" si="47"/>
        <v>243.16019120000001</v>
      </c>
      <c r="V8" s="22">
        <f t="shared" si="48"/>
        <v>257.17584119999998</v>
      </c>
      <c r="W8" s="1"/>
    </row>
    <row r="9" spans="1:23" x14ac:dyDescent="0.25">
      <c r="A9" s="2" t="s">
        <v>303</v>
      </c>
      <c r="B9" s="17" t="str">
        <f t="shared" si="32"/>
        <v>FA 12:0</v>
      </c>
      <c r="C9" s="1" t="str">
        <f t="shared" si="33"/>
        <v>12</v>
      </c>
      <c r="D9" s="1" t="str">
        <f t="shared" si="34"/>
        <v>0</v>
      </c>
      <c r="E9" s="1"/>
      <c r="F9" s="1"/>
      <c r="G9" s="1" t="str">
        <f t="shared" si="35"/>
        <v>12</v>
      </c>
      <c r="H9" s="1">
        <f t="shared" si="36"/>
        <v>24</v>
      </c>
      <c r="I9" s="1">
        <f t="shared" si="37"/>
        <v>2</v>
      </c>
      <c r="J9" s="1"/>
      <c r="K9" s="1"/>
      <c r="L9" s="22" t="str">
        <f t="shared" si="38"/>
        <v>C12H24O2</v>
      </c>
      <c r="M9" s="22">
        <f t="shared" si="39"/>
        <v>200.1776204</v>
      </c>
      <c r="N9" s="22">
        <f t="shared" si="40"/>
        <v>201.18489499999998</v>
      </c>
      <c r="O9" s="19">
        <f t="shared" si="41"/>
        <v>183.17377499999998</v>
      </c>
      <c r="P9" s="22">
        <f t="shared" si="42"/>
        <v>218.21144039999999</v>
      </c>
      <c r="Q9" s="22">
        <f t="shared" si="43"/>
        <v>223.16684039999998</v>
      </c>
      <c r="R9" s="22">
        <f t="shared" si="44"/>
        <v>239.14078039999998</v>
      </c>
      <c r="S9" s="22">
        <f t="shared" si="45"/>
        <v>207.19308039999999</v>
      </c>
      <c r="T9" s="45">
        <f t="shared" si="46"/>
        <v>199.17034580000001</v>
      </c>
      <c r="U9" s="22">
        <f t="shared" si="47"/>
        <v>245.1758404</v>
      </c>
      <c r="V9" s="22">
        <f t="shared" si="48"/>
        <v>259.19149039999996</v>
      </c>
      <c r="W9" s="1"/>
    </row>
    <row r="10" spans="1:23" x14ac:dyDescent="0.25">
      <c r="A10" s="2" t="s">
        <v>323</v>
      </c>
      <c r="B10" s="17" t="str">
        <f t="shared" si="32"/>
        <v>FA 13:1</v>
      </c>
      <c r="C10" s="1" t="str">
        <f t="shared" si="33"/>
        <v>13</v>
      </c>
      <c r="D10" s="1" t="str">
        <f t="shared" si="34"/>
        <v>1</v>
      </c>
      <c r="E10" s="1"/>
      <c r="F10" s="1"/>
      <c r="G10" s="1" t="str">
        <f t="shared" si="35"/>
        <v>13</v>
      </c>
      <c r="H10" s="1">
        <f t="shared" si="36"/>
        <v>24</v>
      </c>
      <c r="I10" s="1">
        <f t="shared" si="37"/>
        <v>2</v>
      </c>
      <c r="J10" s="1"/>
      <c r="K10" s="1"/>
      <c r="L10" s="22" t="str">
        <f t="shared" si="38"/>
        <v>C13H24O2</v>
      </c>
      <c r="M10" s="22">
        <f t="shared" si="39"/>
        <v>212.1776204</v>
      </c>
      <c r="N10" s="22">
        <f t="shared" si="40"/>
        <v>213.18489499999998</v>
      </c>
      <c r="O10" s="19">
        <f t="shared" si="41"/>
        <v>195.17377499999998</v>
      </c>
      <c r="P10" s="22">
        <f t="shared" si="42"/>
        <v>230.21144039999999</v>
      </c>
      <c r="Q10" s="22">
        <f t="shared" si="43"/>
        <v>235.16684039999998</v>
      </c>
      <c r="R10" s="22">
        <f t="shared" si="44"/>
        <v>251.14078039999998</v>
      </c>
      <c r="S10" s="22">
        <f t="shared" si="45"/>
        <v>219.19308039999999</v>
      </c>
      <c r="T10" s="45">
        <f t="shared" si="46"/>
        <v>211.17034580000001</v>
      </c>
      <c r="U10" s="22">
        <f t="shared" si="47"/>
        <v>257.17584039999997</v>
      </c>
      <c r="V10" s="22">
        <f t="shared" si="48"/>
        <v>271.19149039999996</v>
      </c>
      <c r="W10" s="1"/>
    </row>
    <row r="11" spans="1:23" x14ac:dyDescent="0.25">
      <c r="A11" s="2" t="s">
        <v>304</v>
      </c>
      <c r="B11" s="17" t="str">
        <f t="shared" si="32"/>
        <v>FA 13:0</v>
      </c>
      <c r="C11" s="1" t="str">
        <f t="shared" si="33"/>
        <v>13</v>
      </c>
      <c r="D11" s="1" t="str">
        <f t="shared" si="34"/>
        <v>0</v>
      </c>
      <c r="E11" s="1"/>
      <c r="F11" s="1"/>
      <c r="G11" s="1" t="str">
        <f t="shared" si="35"/>
        <v>13</v>
      </c>
      <c r="H11" s="1">
        <f t="shared" si="36"/>
        <v>26</v>
      </c>
      <c r="I11" s="1">
        <f t="shared" si="37"/>
        <v>2</v>
      </c>
      <c r="J11" s="1"/>
      <c r="K11" s="1"/>
      <c r="L11" s="22" t="str">
        <f t="shared" si="38"/>
        <v>C13H26O2</v>
      </c>
      <c r="M11" s="22">
        <f t="shared" si="39"/>
        <v>214.19326960000001</v>
      </c>
      <c r="N11" s="22">
        <f t="shared" si="40"/>
        <v>215.2005442</v>
      </c>
      <c r="O11" s="19">
        <f t="shared" si="41"/>
        <v>197.18942419999999</v>
      </c>
      <c r="P11" s="22">
        <f t="shared" si="42"/>
        <v>232.2270896</v>
      </c>
      <c r="Q11" s="22">
        <f t="shared" si="43"/>
        <v>237.1824896</v>
      </c>
      <c r="R11" s="22">
        <f t="shared" si="44"/>
        <v>253.1564296</v>
      </c>
      <c r="S11" s="22">
        <f t="shared" si="45"/>
        <v>221.2087296</v>
      </c>
      <c r="T11" s="45">
        <f t="shared" si="46"/>
        <v>213.18599500000002</v>
      </c>
      <c r="U11" s="22">
        <f t="shared" si="47"/>
        <v>259.19148959999995</v>
      </c>
      <c r="V11" s="22">
        <f t="shared" si="48"/>
        <v>273.2071396</v>
      </c>
      <c r="W11" s="1"/>
    </row>
    <row r="12" spans="1:23" x14ac:dyDescent="0.25">
      <c r="A12" s="2" t="s">
        <v>546</v>
      </c>
      <c r="B12" s="17" t="str">
        <f t="shared" si="32"/>
        <v>FA 14:2</v>
      </c>
      <c r="C12" s="1" t="str">
        <f t="shared" si="33"/>
        <v>14</v>
      </c>
      <c r="D12" s="1" t="str">
        <f t="shared" si="34"/>
        <v>2</v>
      </c>
      <c r="E12" s="1"/>
      <c r="F12" s="1"/>
      <c r="G12" s="1" t="str">
        <f t="shared" si="35"/>
        <v>14</v>
      </c>
      <c r="H12" s="1">
        <f t="shared" si="36"/>
        <v>24</v>
      </c>
      <c r="I12" s="1">
        <f t="shared" si="37"/>
        <v>2</v>
      </c>
      <c r="J12" s="1"/>
      <c r="K12" s="1"/>
      <c r="L12" s="22" t="str">
        <f t="shared" si="38"/>
        <v>C14H24O2</v>
      </c>
      <c r="M12" s="22">
        <f t="shared" si="39"/>
        <v>224.1776204</v>
      </c>
      <c r="N12" s="22">
        <f t="shared" si="40"/>
        <v>225.18489499999998</v>
      </c>
      <c r="O12" s="19">
        <f t="shared" si="41"/>
        <v>207.17377499999998</v>
      </c>
      <c r="P12" s="22">
        <f t="shared" si="42"/>
        <v>242.21144039999999</v>
      </c>
      <c r="Q12" s="22">
        <f t="shared" si="43"/>
        <v>247.16684039999998</v>
      </c>
      <c r="R12" s="22">
        <f t="shared" si="44"/>
        <v>263.14078040000004</v>
      </c>
      <c r="S12" s="22">
        <f t="shared" si="45"/>
        <v>231.19308039999999</v>
      </c>
      <c r="T12" s="45">
        <f t="shared" si="46"/>
        <v>223.17034580000001</v>
      </c>
      <c r="U12" s="22">
        <f t="shared" si="47"/>
        <v>269.17584039999997</v>
      </c>
      <c r="V12" s="22">
        <f t="shared" si="48"/>
        <v>283.19149039999996</v>
      </c>
      <c r="W12" s="1"/>
    </row>
    <row r="13" spans="1:23" x14ac:dyDescent="0.25">
      <c r="A13" s="2" t="s">
        <v>320</v>
      </c>
      <c r="B13" s="17" t="str">
        <f t="shared" si="32"/>
        <v>FA 14:1</v>
      </c>
      <c r="C13" s="1" t="str">
        <f t="shared" si="33"/>
        <v>14</v>
      </c>
      <c r="D13" s="1" t="str">
        <f t="shared" si="34"/>
        <v>1</v>
      </c>
      <c r="E13" s="1"/>
      <c r="F13" s="1"/>
      <c r="G13" s="1" t="str">
        <f t="shared" si="35"/>
        <v>14</v>
      </c>
      <c r="H13" s="1">
        <f t="shared" si="36"/>
        <v>26</v>
      </c>
      <c r="I13" s="1">
        <f t="shared" si="37"/>
        <v>2</v>
      </c>
      <c r="J13" s="1"/>
      <c r="K13" s="1"/>
      <c r="L13" s="22" t="str">
        <f t="shared" si="38"/>
        <v>C14H26O2</v>
      </c>
      <c r="M13" s="22">
        <f t="shared" si="39"/>
        <v>226.19326960000001</v>
      </c>
      <c r="N13" s="22">
        <f t="shared" si="40"/>
        <v>227.2005442</v>
      </c>
      <c r="O13" s="19">
        <f t="shared" si="41"/>
        <v>209.18942419999999</v>
      </c>
      <c r="P13" s="22">
        <f t="shared" si="42"/>
        <v>244.2270896</v>
      </c>
      <c r="Q13" s="22">
        <f t="shared" si="43"/>
        <v>249.1824896</v>
      </c>
      <c r="R13" s="22">
        <f t="shared" si="44"/>
        <v>265.15642960000002</v>
      </c>
      <c r="S13" s="22">
        <f t="shared" si="45"/>
        <v>233.2087296</v>
      </c>
      <c r="T13" s="45">
        <f t="shared" si="46"/>
        <v>225.18599500000002</v>
      </c>
      <c r="U13" s="22">
        <f t="shared" si="47"/>
        <v>271.19148959999995</v>
      </c>
      <c r="V13" s="22">
        <f t="shared" si="48"/>
        <v>285.2071396</v>
      </c>
      <c r="W13" s="1"/>
    </row>
    <row r="14" spans="1:23" x14ac:dyDescent="0.25">
      <c r="A14" s="2" t="s">
        <v>305</v>
      </c>
      <c r="B14" s="17" t="str">
        <f t="shared" si="32"/>
        <v>FA 14:0</v>
      </c>
      <c r="C14" s="1" t="str">
        <f t="shared" si="33"/>
        <v>14</v>
      </c>
      <c r="D14" s="1" t="str">
        <f t="shared" si="34"/>
        <v>0</v>
      </c>
      <c r="E14" s="1"/>
      <c r="F14" s="1"/>
      <c r="G14" s="1" t="str">
        <f t="shared" si="35"/>
        <v>14</v>
      </c>
      <c r="H14" s="1">
        <f t="shared" si="36"/>
        <v>28</v>
      </c>
      <c r="I14" s="1">
        <f t="shared" si="37"/>
        <v>2</v>
      </c>
      <c r="J14" s="1"/>
      <c r="K14" s="1"/>
      <c r="L14" s="22" t="str">
        <f t="shared" si="38"/>
        <v>C14H28O2</v>
      </c>
      <c r="M14" s="22">
        <f t="shared" si="39"/>
        <v>228.20891880000002</v>
      </c>
      <c r="N14" s="22">
        <f t="shared" si="40"/>
        <v>229.21619340000001</v>
      </c>
      <c r="O14" s="19">
        <f t="shared" si="41"/>
        <v>211.2050734</v>
      </c>
      <c r="P14" s="22">
        <f t="shared" si="42"/>
        <v>246.24273880000001</v>
      </c>
      <c r="Q14" s="22">
        <f t="shared" si="43"/>
        <v>251.19813880000001</v>
      </c>
      <c r="R14" s="22">
        <f t="shared" si="44"/>
        <v>267.17207880000007</v>
      </c>
      <c r="S14" s="22">
        <f t="shared" si="45"/>
        <v>235.22437880000001</v>
      </c>
      <c r="T14" s="45">
        <f t="shared" si="46"/>
        <v>227.20164420000003</v>
      </c>
      <c r="U14" s="22">
        <f t="shared" si="47"/>
        <v>273.2071388</v>
      </c>
      <c r="V14" s="22">
        <f t="shared" si="48"/>
        <v>287.22278879999999</v>
      </c>
      <c r="W14" s="1"/>
    </row>
    <row r="15" spans="1:23" x14ac:dyDescent="0.25">
      <c r="A15" s="2" t="s">
        <v>547</v>
      </c>
      <c r="B15" s="17" t="str">
        <f t="shared" si="32"/>
        <v>FA 15:2</v>
      </c>
      <c r="C15" s="1" t="str">
        <f t="shared" si="33"/>
        <v>15</v>
      </c>
      <c r="D15" s="1" t="str">
        <f t="shared" si="34"/>
        <v>2</v>
      </c>
      <c r="E15" s="1"/>
      <c r="F15" s="1"/>
      <c r="G15" s="1" t="str">
        <f t="shared" si="35"/>
        <v>15</v>
      </c>
      <c r="H15" s="1">
        <f t="shared" si="36"/>
        <v>26</v>
      </c>
      <c r="I15" s="1">
        <f t="shared" si="37"/>
        <v>2</v>
      </c>
      <c r="J15" s="1"/>
      <c r="K15" s="1"/>
      <c r="L15" s="22" t="str">
        <f t="shared" si="38"/>
        <v>C15H26O2</v>
      </c>
      <c r="M15" s="22">
        <f t="shared" si="39"/>
        <v>238.19326960000001</v>
      </c>
      <c r="N15" s="22">
        <f t="shared" si="40"/>
        <v>239.2005442</v>
      </c>
      <c r="O15" s="19">
        <f t="shared" si="41"/>
        <v>221.18942419999999</v>
      </c>
      <c r="P15" s="22">
        <f t="shared" si="42"/>
        <v>256.22708960000006</v>
      </c>
      <c r="Q15" s="22">
        <f t="shared" si="43"/>
        <v>261.18248960000005</v>
      </c>
      <c r="R15" s="22">
        <f t="shared" si="44"/>
        <v>277.15642960000002</v>
      </c>
      <c r="S15" s="22">
        <f t="shared" si="45"/>
        <v>245.2087296</v>
      </c>
      <c r="T15" s="45">
        <f t="shared" si="46"/>
        <v>237.18599500000002</v>
      </c>
      <c r="U15" s="22">
        <f t="shared" si="47"/>
        <v>283.19148959999995</v>
      </c>
      <c r="V15" s="22">
        <f t="shared" si="48"/>
        <v>297.2071396</v>
      </c>
      <c r="W15" s="1"/>
    </row>
    <row r="16" spans="1:23" x14ac:dyDescent="0.25">
      <c r="A16" s="2" t="s">
        <v>319</v>
      </c>
      <c r="B16" s="17" t="str">
        <f t="shared" si="32"/>
        <v>FA 15:1</v>
      </c>
      <c r="C16" s="1" t="str">
        <f t="shared" si="33"/>
        <v>15</v>
      </c>
      <c r="D16" s="1" t="str">
        <f t="shared" si="34"/>
        <v>1</v>
      </c>
      <c r="E16" s="1"/>
      <c r="F16" s="1"/>
      <c r="G16" s="1" t="str">
        <f t="shared" si="35"/>
        <v>15</v>
      </c>
      <c r="H16" s="1">
        <f t="shared" si="36"/>
        <v>28</v>
      </c>
      <c r="I16" s="1">
        <f t="shared" si="37"/>
        <v>2</v>
      </c>
      <c r="J16" s="1"/>
      <c r="K16" s="1"/>
      <c r="L16" s="22" t="str">
        <f t="shared" si="38"/>
        <v>C15H28O2</v>
      </c>
      <c r="M16" s="22">
        <f t="shared" si="39"/>
        <v>240.20891880000002</v>
      </c>
      <c r="N16" s="22">
        <f t="shared" si="40"/>
        <v>241.21619340000001</v>
      </c>
      <c r="O16" s="19">
        <f t="shared" si="41"/>
        <v>223.2050734</v>
      </c>
      <c r="P16" s="22">
        <f t="shared" si="42"/>
        <v>258.24273880000004</v>
      </c>
      <c r="Q16" s="22">
        <f t="shared" si="43"/>
        <v>263.19813880000004</v>
      </c>
      <c r="R16" s="22">
        <f t="shared" si="44"/>
        <v>279.17207880000007</v>
      </c>
      <c r="S16" s="22">
        <f t="shared" si="45"/>
        <v>247.22437880000001</v>
      </c>
      <c r="T16" s="45">
        <f t="shared" si="46"/>
        <v>239.20164420000003</v>
      </c>
      <c r="U16" s="22">
        <f t="shared" si="47"/>
        <v>285.2071388</v>
      </c>
      <c r="V16" s="22">
        <f t="shared" si="48"/>
        <v>299.22278879999999</v>
      </c>
      <c r="W16" s="1"/>
    </row>
    <row r="17" spans="1:23" x14ac:dyDescent="0.25">
      <c r="A17" s="2" t="s">
        <v>306</v>
      </c>
      <c r="B17" s="17" t="str">
        <f t="shared" si="32"/>
        <v>FA 15:0</v>
      </c>
      <c r="C17" s="1" t="str">
        <f t="shared" si="33"/>
        <v>15</v>
      </c>
      <c r="D17" s="1" t="str">
        <f t="shared" si="34"/>
        <v>0</v>
      </c>
      <c r="E17" s="1"/>
      <c r="F17" s="1"/>
      <c r="G17" s="1" t="str">
        <f t="shared" si="35"/>
        <v>15</v>
      </c>
      <c r="H17" s="1">
        <f t="shared" si="36"/>
        <v>30</v>
      </c>
      <c r="I17" s="1">
        <f t="shared" si="37"/>
        <v>2</v>
      </c>
      <c r="J17" s="1"/>
      <c r="K17" s="1"/>
      <c r="L17" s="22" t="str">
        <f t="shared" si="38"/>
        <v>C15H30O2</v>
      </c>
      <c r="M17" s="22">
        <f t="shared" si="39"/>
        <v>242.224568</v>
      </c>
      <c r="N17" s="22">
        <f t="shared" si="40"/>
        <v>243.23184259999999</v>
      </c>
      <c r="O17" s="19">
        <f t="shared" si="41"/>
        <v>225.22072259999999</v>
      </c>
      <c r="P17" s="22">
        <f t="shared" si="42"/>
        <v>260.25838800000002</v>
      </c>
      <c r="Q17" s="22">
        <f t="shared" si="43"/>
        <v>265.21378800000002</v>
      </c>
      <c r="R17" s="22">
        <f t="shared" si="44"/>
        <v>281.18772800000005</v>
      </c>
      <c r="S17" s="22">
        <f t="shared" si="45"/>
        <v>249.240028</v>
      </c>
      <c r="T17" s="45">
        <f t="shared" si="46"/>
        <v>241.21729340000002</v>
      </c>
      <c r="U17" s="22">
        <f t="shared" si="47"/>
        <v>287.22278799999998</v>
      </c>
      <c r="V17" s="22">
        <f t="shared" si="48"/>
        <v>301.23843799999997</v>
      </c>
      <c r="W17" s="1"/>
    </row>
    <row r="18" spans="1:23" x14ac:dyDescent="0.25">
      <c r="A18" s="2" t="s">
        <v>548</v>
      </c>
      <c r="B18" s="17" t="str">
        <f t="shared" si="32"/>
        <v>FA 16:2</v>
      </c>
      <c r="C18" s="1" t="str">
        <f t="shared" si="33"/>
        <v>16</v>
      </c>
      <c r="D18" s="1" t="str">
        <f t="shared" si="34"/>
        <v>2</v>
      </c>
      <c r="E18" s="1"/>
      <c r="F18" s="1"/>
      <c r="G18" s="1" t="str">
        <f t="shared" si="35"/>
        <v>16</v>
      </c>
      <c r="H18" s="1">
        <f t="shared" si="36"/>
        <v>28</v>
      </c>
      <c r="I18" s="1">
        <f t="shared" si="37"/>
        <v>2</v>
      </c>
      <c r="J18" s="1"/>
      <c r="K18" s="1"/>
      <c r="L18" s="22" t="str">
        <f t="shared" si="38"/>
        <v>C16H28O2</v>
      </c>
      <c r="M18" s="22">
        <f t="shared" si="39"/>
        <v>252.20891880000002</v>
      </c>
      <c r="N18" s="22">
        <f t="shared" si="40"/>
        <v>253.21619340000001</v>
      </c>
      <c r="O18" s="19">
        <f t="shared" si="41"/>
        <v>235.2050734</v>
      </c>
      <c r="P18" s="22">
        <f t="shared" si="42"/>
        <v>270.24273880000004</v>
      </c>
      <c r="Q18" s="22">
        <f t="shared" si="43"/>
        <v>275.19813880000004</v>
      </c>
      <c r="R18" s="22">
        <f t="shared" si="44"/>
        <v>291.17207880000007</v>
      </c>
      <c r="S18" s="22">
        <f t="shared" si="45"/>
        <v>259.22437880000007</v>
      </c>
      <c r="T18" s="45">
        <f t="shared" si="46"/>
        <v>251.20164420000003</v>
      </c>
      <c r="U18" s="22">
        <f t="shared" si="47"/>
        <v>297.2071388</v>
      </c>
      <c r="V18" s="22">
        <f t="shared" si="48"/>
        <v>311.22278879999999</v>
      </c>
      <c r="W18" s="1"/>
    </row>
    <row r="19" spans="1:23" x14ac:dyDescent="0.25">
      <c r="A19" s="2" t="s">
        <v>312</v>
      </c>
      <c r="B19" s="17" t="str">
        <f t="shared" si="32"/>
        <v>FA 16:1</v>
      </c>
      <c r="C19" s="1" t="str">
        <f t="shared" si="33"/>
        <v>16</v>
      </c>
      <c r="D19" s="1" t="str">
        <f t="shared" si="34"/>
        <v>1</v>
      </c>
      <c r="E19" s="1"/>
      <c r="F19" s="1"/>
      <c r="G19" s="1" t="str">
        <f t="shared" si="35"/>
        <v>16</v>
      </c>
      <c r="H19" s="1">
        <f t="shared" si="36"/>
        <v>30</v>
      </c>
      <c r="I19" s="1">
        <f t="shared" si="37"/>
        <v>2</v>
      </c>
      <c r="J19" s="1"/>
      <c r="K19" s="1"/>
      <c r="L19" s="22" t="str">
        <f t="shared" si="38"/>
        <v>C16H30O2</v>
      </c>
      <c r="M19" s="22">
        <f t="shared" si="39"/>
        <v>254.224568</v>
      </c>
      <c r="N19" s="22">
        <f t="shared" si="40"/>
        <v>255.23184259999999</v>
      </c>
      <c r="O19" s="19">
        <f t="shared" si="41"/>
        <v>237.22072259999999</v>
      </c>
      <c r="P19" s="22">
        <f t="shared" si="42"/>
        <v>272.25838800000002</v>
      </c>
      <c r="Q19" s="22">
        <f t="shared" si="43"/>
        <v>277.21378800000002</v>
      </c>
      <c r="R19" s="22">
        <f t="shared" si="44"/>
        <v>293.18772800000005</v>
      </c>
      <c r="S19" s="22">
        <f t="shared" si="45"/>
        <v>261.24002800000005</v>
      </c>
      <c r="T19" s="45">
        <f t="shared" si="46"/>
        <v>253.21729340000002</v>
      </c>
      <c r="U19" s="22">
        <f t="shared" si="47"/>
        <v>299.22278799999998</v>
      </c>
      <c r="V19" s="22">
        <f t="shared" si="48"/>
        <v>313.23843799999997</v>
      </c>
      <c r="W19" s="1"/>
    </row>
    <row r="20" spans="1:23" x14ac:dyDescent="0.25">
      <c r="A20" s="2" t="s">
        <v>75</v>
      </c>
      <c r="B20" s="17" t="str">
        <f t="shared" si="32"/>
        <v>FA 16:0</v>
      </c>
      <c r="C20" s="1" t="str">
        <f t="shared" si="33"/>
        <v>16</v>
      </c>
      <c r="D20" s="1" t="str">
        <f t="shared" si="34"/>
        <v>0</v>
      </c>
      <c r="E20" s="1"/>
      <c r="F20" s="1"/>
      <c r="G20" s="1" t="str">
        <f t="shared" si="35"/>
        <v>16</v>
      </c>
      <c r="H20" s="1">
        <f t="shared" si="36"/>
        <v>32</v>
      </c>
      <c r="I20" s="1">
        <f t="shared" si="37"/>
        <v>2</v>
      </c>
      <c r="J20" s="1"/>
      <c r="K20" s="1"/>
      <c r="L20" s="22" t="str">
        <f t="shared" si="38"/>
        <v>C16H32O2</v>
      </c>
      <c r="M20" s="22">
        <f t="shared" si="39"/>
        <v>256.24021720000002</v>
      </c>
      <c r="N20" s="22">
        <f t="shared" si="40"/>
        <v>257.24749180000003</v>
      </c>
      <c r="O20" s="19">
        <f t="shared" si="41"/>
        <v>239.23637180000003</v>
      </c>
      <c r="P20" s="22">
        <f t="shared" si="42"/>
        <v>274.27403720000007</v>
      </c>
      <c r="Q20" s="22">
        <f t="shared" si="43"/>
        <v>279.22943720000006</v>
      </c>
      <c r="R20" s="22">
        <f t="shared" si="44"/>
        <v>295.20337720000003</v>
      </c>
      <c r="S20" s="22">
        <f t="shared" si="45"/>
        <v>263.25567720000004</v>
      </c>
      <c r="T20" s="45">
        <f t="shared" si="46"/>
        <v>255.23294260000003</v>
      </c>
      <c r="U20" s="22">
        <f t="shared" si="47"/>
        <v>301.23843720000002</v>
      </c>
      <c r="V20" s="22">
        <f t="shared" si="48"/>
        <v>315.25408720000001</v>
      </c>
      <c r="W20" s="1"/>
    </row>
    <row r="21" spans="1:23" x14ac:dyDescent="0.25">
      <c r="A21" s="2" t="s">
        <v>549</v>
      </c>
      <c r="B21" s="17" t="str">
        <f>IF(ISNUMBER(SEARCH("(",A21)),IF(ISNUMBER(SEARCH("/",A21)),CONCATENATE(MID(A21,1,2)," ",(SUM(MID(A21,FIND("(",A21)+1,FIND(":",A21)-FIND("(",A21)-1),MID(A21,FIND("/",A21)+1,FIND(":",A21,FIND("/",A21))-FIND("/",A21)-1))),":",SUM(MID(A21,FIND(":",A21)+1,FIND("/",A21)-FIND(":",A21)-1),MID(A21,FIND(":",A21,FIND("/",A21))+1,FIND(")",A21)-FIND(":",A21,FIND("/",A21))-1)),MID(A21,(FIND(")",A21)+1),100)),CONCATENATE(MID(A21,1,2)," ",(SUM(MID(A21,FIND("(",A21)+1,FIND(":",A21)-FIND("(",A21)-1),MID(A21,FIND("_",A21)+1,FIND(":",A21,FIND("_",A21))-FIND("_",A21)-1))),":",SUM(MID(A21,FIND(":",A21)+1,FIND("_",A21)-FIND(":",A21)-1),MID(A21,FIND(":",A21,FIND("_",A21))+1,FIND(")",A21)-FIND(":",A21,FIND("_",A21))-1)),MID(A21,(FIND(")",A21)+1),100))),A21)</f>
        <v>FA 17:2</v>
      </c>
      <c r="C21" s="1" t="str">
        <f t="shared" si="33"/>
        <v>17</v>
      </c>
      <c r="D21" s="1" t="str">
        <f t="shared" si="34"/>
        <v>2</v>
      </c>
      <c r="E21" s="1"/>
      <c r="F21" s="1"/>
      <c r="G21" s="1" t="str">
        <f t="shared" si="35"/>
        <v>17</v>
      </c>
      <c r="H21" s="1">
        <f t="shared" si="36"/>
        <v>30</v>
      </c>
      <c r="I21" s="1">
        <f t="shared" si="37"/>
        <v>2</v>
      </c>
      <c r="J21" s="1"/>
      <c r="K21" s="1"/>
      <c r="L21" s="22" t="str">
        <f t="shared" si="38"/>
        <v>C17H30O2</v>
      </c>
      <c r="M21" s="22">
        <f t="shared" si="39"/>
        <v>266.22456799999998</v>
      </c>
      <c r="N21" s="22">
        <f t="shared" si="40"/>
        <v>267.23184259999999</v>
      </c>
      <c r="O21" s="19">
        <f t="shared" si="41"/>
        <v>249.22072259999999</v>
      </c>
      <c r="P21" s="22">
        <f t="shared" si="42"/>
        <v>284.25838800000002</v>
      </c>
      <c r="Q21" s="22">
        <f t="shared" si="43"/>
        <v>289.21378800000002</v>
      </c>
      <c r="R21" s="22">
        <f t="shared" si="44"/>
        <v>305.18772799999999</v>
      </c>
      <c r="S21" s="22">
        <f t="shared" si="45"/>
        <v>273.240028</v>
      </c>
      <c r="T21" s="45">
        <f t="shared" si="46"/>
        <v>265.21729339999996</v>
      </c>
      <c r="U21" s="22">
        <f t="shared" si="47"/>
        <v>311.22278799999992</v>
      </c>
      <c r="V21" s="22">
        <f t="shared" si="48"/>
        <v>325.23843799999997</v>
      </c>
      <c r="W21" s="1"/>
    </row>
    <row r="22" spans="1:23" x14ac:dyDescent="0.25">
      <c r="A22" s="2" t="s">
        <v>313</v>
      </c>
      <c r="B22" s="17" t="str">
        <f t="shared" si="32"/>
        <v>FA 17:1</v>
      </c>
      <c r="C22" s="1" t="str">
        <f t="shared" si="33"/>
        <v>17</v>
      </c>
      <c r="D22" s="1" t="str">
        <f t="shared" si="34"/>
        <v>1</v>
      </c>
      <c r="E22" s="1"/>
      <c r="F22" s="1"/>
      <c r="G22" s="1" t="str">
        <f t="shared" si="35"/>
        <v>17</v>
      </c>
      <c r="H22" s="1">
        <f t="shared" si="36"/>
        <v>32</v>
      </c>
      <c r="I22" s="1">
        <f t="shared" si="37"/>
        <v>2</v>
      </c>
      <c r="J22" s="1"/>
      <c r="K22" s="1"/>
      <c r="L22" s="22" t="str">
        <f t="shared" si="38"/>
        <v>C17H32O2</v>
      </c>
      <c r="M22" s="22">
        <f t="shared" si="39"/>
        <v>268.24021720000002</v>
      </c>
      <c r="N22" s="22">
        <f t="shared" si="40"/>
        <v>269.24749180000003</v>
      </c>
      <c r="O22" s="19">
        <f t="shared" si="41"/>
        <v>251.23637180000003</v>
      </c>
      <c r="P22" s="22">
        <f t="shared" si="42"/>
        <v>286.27403720000007</v>
      </c>
      <c r="Q22" s="22">
        <f t="shared" si="43"/>
        <v>291.22943720000006</v>
      </c>
      <c r="R22" s="22">
        <f t="shared" si="44"/>
        <v>307.20337720000003</v>
      </c>
      <c r="S22" s="22">
        <f t="shared" si="45"/>
        <v>275.25567720000004</v>
      </c>
      <c r="T22" s="45">
        <f t="shared" si="46"/>
        <v>267.2329426</v>
      </c>
      <c r="U22" s="22">
        <f t="shared" si="47"/>
        <v>313.23843720000002</v>
      </c>
      <c r="V22" s="22">
        <f t="shared" si="48"/>
        <v>327.25408720000001</v>
      </c>
      <c r="W22" s="1"/>
    </row>
    <row r="23" spans="1:23" x14ac:dyDescent="0.25">
      <c r="A23" s="2" t="s">
        <v>307</v>
      </c>
      <c r="B23" s="17" t="str">
        <f t="shared" si="32"/>
        <v>FA 17:0</v>
      </c>
      <c r="C23" s="1" t="str">
        <f t="shared" si="33"/>
        <v>17</v>
      </c>
      <c r="D23" s="1" t="str">
        <f t="shared" si="34"/>
        <v>0</v>
      </c>
      <c r="E23" s="1"/>
      <c r="F23" s="1"/>
      <c r="G23" s="1" t="str">
        <f t="shared" si="35"/>
        <v>17</v>
      </c>
      <c r="H23" s="1">
        <f t="shared" si="36"/>
        <v>34</v>
      </c>
      <c r="I23" s="1">
        <f t="shared" si="37"/>
        <v>2</v>
      </c>
      <c r="J23" s="1"/>
      <c r="K23" s="1"/>
      <c r="L23" s="22" t="str">
        <f t="shared" si="38"/>
        <v>C17H34O2</v>
      </c>
      <c r="M23" s="22">
        <f t="shared" si="39"/>
        <v>270.2558664</v>
      </c>
      <c r="N23" s="22">
        <f t="shared" si="40"/>
        <v>271.26314100000002</v>
      </c>
      <c r="O23" s="19">
        <f t="shared" si="41"/>
        <v>253.25202100000001</v>
      </c>
      <c r="P23" s="22">
        <f t="shared" si="42"/>
        <v>288.28968640000005</v>
      </c>
      <c r="Q23" s="22">
        <f t="shared" si="43"/>
        <v>293.24508640000005</v>
      </c>
      <c r="R23" s="22">
        <f t="shared" si="44"/>
        <v>309.21902640000002</v>
      </c>
      <c r="S23" s="22">
        <f t="shared" si="45"/>
        <v>277.27132640000002</v>
      </c>
      <c r="T23" s="45">
        <f t="shared" si="46"/>
        <v>269.24859179999999</v>
      </c>
      <c r="U23" s="22">
        <f t="shared" si="47"/>
        <v>315.25408640000001</v>
      </c>
      <c r="V23" s="22">
        <f t="shared" si="48"/>
        <v>329.2697364</v>
      </c>
      <c r="W23" s="1"/>
    </row>
    <row r="24" spans="1:23" x14ac:dyDescent="0.25">
      <c r="A24" s="2" t="s">
        <v>550</v>
      </c>
      <c r="B24" s="17" t="str">
        <f t="shared" si="32"/>
        <v>FA 18:2</v>
      </c>
      <c r="C24" s="1" t="str">
        <f t="shared" si="33"/>
        <v>18</v>
      </c>
      <c r="D24" s="1" t="str">
        <f t="shared" si="34"/>
        <v>2</v>
      </c>
      <c r="E24" s="1"/>
      <c r="F24" s="1"/>
      <c r="G24" s="1" t="str">
        <f t="shared" si="35"/>
        <v>18</v>
      </c>
      <c r="H24" s="1">
        <f t="shared" si="36"/>
        <v>32</v>
      </c>
      <c r="I24" s="1">
        <f t="shared" si="37"/>
        <v>2</v>
      </c>
      <c r="J24" s="1"/>
      <c r="K24" s="1"/>
      <c r="L24" s="22" t="str">
        <f t="shared" si="38"/>
        <v>C18H32O2</v>
      </c>
      <c r="M24" s="22">
        <f t="shared" si="39"/>
        <v>280.24021720000002</v>
      </c>
      <c r="N24" s="22">
        <f t="shared" si="40"/>
        <v>281.24749180000003</v>
      </c>
      <c r="O24" s="19">
        <f t="shared" si="41"/>
        <v>263.23637180000003</v>
      </c>
      <c r="P24" s="22">
        <f t="shared" si="42"/>
        <v>298.27403720000007</v>
      </c>
      <c r="Q24" s="22">
        <f t="shared" si="43"/>
        <v>303.22943720000006</v>
      </c>
      <c r="R24" s="22">
        <f t="shared" si="44"/>
        <v>319.20337720000003</v>
      </c>
      <c r="S24" s="22">
        <f t="shared" si="45"/>
        <v>287.25567720000004</v>
      </c>
      <c r="T24" s="45">
        <f t="shared" si="46"/>
        <v>279.2329426</v>
      </c>
      <c r="U24" s="22">
        <f t="shared" si="47"/>
        <v>325.23843720000002</v>
      </c>
      <c r="V24" s="22">
        <f t="shared" si="48"/>
        <v>339.25408720000001</v>
      </c>
      <c r="W24" s="1"/>
    </row>
    <row r="25" spans="1:23" x14ac:dyDescent="0.25">
      <c r="A25" s="2" t="s">
        <v>314</v>
      </c>
      <c r="B25" s="17" t="str">
        <f t="shared" si="32"/>
        <v>FA 18:1</v>
      </c>
      <c r="C25" s="1" t="str">
        <f t="shared" si="33"/>
        <v>18</v>
      </c>
      <c r="D25" s="1" t="str">
        <f t="shared" si="34"/>
        <v>1</v>
      </c>
      <c r="E25" s="1"/>
      <c r="F25" s="1"/>
      <c r="G25" s="1" t="str">
        <f t="shared" si="35"/>
        <v>18</v>
      </c>
      <c r="H25" s="1">
        <f t="shared" si="36"/>
        <v>34</v>
      </c>
      <c r="I25" s="1">
        <f t="shared" si="37"/>
        <v>2</v>
      </c>
      <c r="J25" s="1"/>
      <c r="K25" s="1"/>
      <c r="L25" s="22" t="str">
        <f t="shared" si="38"/>
        <v>C18H34O2</v>
      </c>
      <c r="M25" s="22">
        <f t="shared" si="39"/>
        <v>282.2558664</v>
      </c>
      <c r="N25" s="22">
        <f t="shared" si="40"/>
        <v>283.26314100000002</v>
      </c>
      <c r="O25" s="19">
        <f t="shared" si="41"/>
        <v>265.25202100000001</v>
      </c>
      <c r="P25" s="22">
        <f t="shared" si="42"/>
        <v>300.28968640000005</v>
      </c>
      <c r="Q25" s="22">
        <f t="shared" si="43"/>
        <v>305.24508640000005</v>
      </c>
      <c r="R25" s="22">
        <f t="shared" si="44"/>
        <v>321.21902640000002</v>
      </c>
      <c r="S25" s="22">
        <f t="shared" si="45"/>
        <v>289.27132640000002</v>
      </c>
      <c r="T25" s="45">
        <f t="shared" si="46"/>
        <v>281.24859179999999</v>
      </c>
      <c r="U25" s="22">
        <f t="shared" si="47"/>
        <v>327.25408640000001</v>
      </c>
      <c r="V25" s="22">
        <f t="shared" si="48"/>
        <v>341.2697364</v>
      </c>
      <c r="W25" s="1"/>
    </row>
    <row r="26" spans="1:23" x14ac:dyDescent="0.25">
      <c r="A26" s="2" t="s">
        <v>308</v>
      </c>
      <c r="B26" s="17" t="str">
        <f t="shared" si="32"/>
        <v>FA 18:0</v>
      </c>
      <c r="C26" s="1" t="str">
        <f t="shared" si="33"/>
        <v>18</v>
      </c>
      <c r="D26" s="1" t="str">
        <f t="shared" si="34"/>
        <v>0</v>
      </c>
      <c r="E26" s="1"/>
      <c r="F26" s="1"/>
      <c r="G26" s="1" t="str">
        <f t="shared" si="35"/>
        <v>18</v>
      </c>
      <c r="H26" s="1">
        <f t="shared" si="36"/>
        <v>36</v>
      </c>
      <c r="I26" s="1">
        <f t="shared" si="37"/>
        <v>2</v>
      </c>
      <c r="J26" s="1"/>
      <c r="K26" s="1"/>
      <c r="L26" s="22" t="str">
        <f t="shared" si="38"/>
        <v>C18H36O2</v>
      </c>
      <c r="M26" s="22">
        <f t="shared" si="39"/>
        <v>284.27151559999999</v>
      </c>
      <c r="N26" s="22">
        <f t="shared" si="40"/>
        <v>285.2787902</v>
      </c>
      <c r="O26" s="19">
        <f t="shared" si="41"/>
        <v>267.2676702</v>
      </c>
      <c r="P26" s="22">
        <f t="shared" si="42"/>
        <v>302.30533560000003</v>
      </c>
      <c r="Q26" s="22">
        <f t="shared" si="43"/>
        <v>307.26073560000003</v>
      </c>
      <c r="R26" s="22">
        <f t="shared" si="44"/>
        <v>323.2346756</v>
      </c>
      <c r="S26" s="22">
        <f t="shared" si="45"/>
        <v>291.28697560000001</v>
      </c>
      <c r="T26" s="45">
        <f t="shared" si="46"/>
        <v>283.26424099999997</v>
      </c>
      <c r="U26" s="22">
        <f t="shared" si="47"/>
        <v>329.26973559999999</v>
      </c>
      <c r="V26" s="22">
        <f t="shared" si="48"/>
        <v>343.28538559999998</v>
      </c>
      <c r="W26" s="1"/>
    </row>
    <row r="27" spans="1:23" x14ac:dyDescent="0.25">
      <c r="A27" s="2" t="s">
        <v>551</v>
      </c>
      <c r="B27" s="17" t="str">
        <f t="shared" si="32"/>
        <v>FA 19:2</v>
      </c>
      <c r="C27" s="1" t="str">
        <f t="shared" si="33"/>
        <v>19</v>
      </c>
      <c r="D27" s="1" t="str">
        <f t="shared" si="34"/>
        <v>2</v>
      </c>
      <c r="E27" s="1"/>
      <c r="F27" s="1"/>
      <c r="G27" s="1" t="str">
        <f t="shared" si="35"/>
        <v>19</v>
      </c>
      <c r="H27" s="1">
        <f t="shared" si="36"/>
        <v>34</v>
      </c>
      <c r="I27" s="1">
        <f t="shared" si="37"/>
        <v>2</v>
      </c>
      <c r="J27" s="1"/>
      <c r="K27" s="1"/>
      <c r="L27" s="22" t="str">
        <f t="shared" si="38"/>
        <v>C19H34O2</v>
      </c>
      <c r="M27" s="22">
        <f t="shared" si="39"/>
        <v>294.2558664</v>
      </c>
      <c r="N27" s="22">
        <f t="shared" si="40"/>
        <v>295.26314100000002</v>
      </c>
      <c r="O27" s="19">
        <f t="shared" si="41"/>
        <v>277.25202100000001</v>
      </c>
      <c r="P27" s="22">
        <f t="shared" si="42"/>
        <v>312.28968640000005</v>
      </c>
      <c r="Q27" s="22">
        <f t="shared" si="43"/>
        <v>317.24508640000005</v>
      </c>
      <c r="R27" s="22">
        <f t="shared" si="44"/>
        <v>333.21902640000002</v>
      </c>
      <c r="S27" s="22">
        <f t="shared" si="45"/>
        <v>301.27132640000002</v>
      </c>
      <c r="T27" s="45">
        <f t="shared" si="46"/>
        <v>293.24859179999999</v>
      </c>
      <c r="U27" s="22">
        <f t="shared" si="47"/>
        <v>339.25408640000001</v>
      </c>
      <c r="V27" s="22">
        <f t="shared" si="48"/>
        <v>353.2697364</v>
      </c>
      <c r="W27" s="1"/>
    </row>
    <row r="28" spans="1:23" x14ac:dyDescent="0.25">
      <c r="A28" s="2" t="s">
        <v>315</v>
      </c>
      <c r="B28" s="17" t="str">
        <f t="shared" si="32"/>
        <v>FA 19:1</v>
      </c>
      <c r="C28" s="1" t="str">
        <f t="shared" si="33"/>
        <v>19</v>
      </c>
      <c r="D28" s="1" t="str">
        <f t="shared" si="34"/>
        <v>1</v>
      </c>
      <c r="E28" s="1"/>
      <c r="F28" s="1"/>
      <c r="G28" s="1" t="str">
        <f t="shared" si="35"/>
        <v>19</v>
      </c>
      <c r="H28" s="1">
        <f t="shared" si="36"/>
        <v>36</v>
      </c>
      <c r="I28" s="1">
        <f t="shared" si="37"/>
        <v>2</v>
      </c>
      <c r="J28" s="1"/>
      <c r="K28" s="1"/>
      <c r="L28" s="22" t="str">
        <f t="shared" si="38"/>
        <v>C19H36O2</v>
      </c>
      <c r="M28" s="22">
        <f t="shared" si="39"/>
        <v>296.27151559999999</v>
      </c>
      <c r="N28" s="22">
        <f t="shared" si="40"/>
        <v>297.2787902</v>
      </c>
      <c r="O28" s="19">
        <f t="shared" si="41"/>
        <v>279.2676702</v>
      </c>
      <c r="P28" s="22">
        <f t="shared" si="42"/>
        <v>314.30533560000003</v>
      </c>
      <c r="Q28" s="22">
        <f t="shared" si="43"/>
        <v>319.26073560000003</v>
      </c>
      <c r="R28" s="22">
        <f t="shared" si="44"/>
        <v>335.2346756</v>
      </c>
      <c r="S28" s="22">
        <f t="shared" si="45"/>
        <v>303.28697560000001</v>
      </c>
      <c r="T28" s="45">
        <f t="shared" si="46"/>
        <v>295.26424099999997</v>
      </c>
      <c r="U28" s="22">
        <f t="shared" si="47"/>
        <v>341.26973559999999</v>
      </c>
      <c r="V28" s="22">
        <f t="shared" si="48"/>
        <v>355.28538559999998</v>
      </c>
      <c r="W28" s="1"/>
    </row>
    <row r="29" spans="1:23" x14ac:dyDescent="0.25">
      <c r="A29" s="2" t="s">
        <v>309</v>
      </c>
      <c r="B29" s="17" t="str">
        <f t="shared" si="32"/>
        <v>FA 19:0</v>
      </c>
      <c r="C29" s="1" t="str">
        <f t="shared" si="33"/>
        <v>19</v>
      </c>
      <c r="D29" s="1" t="str">
        <f t="shared" si="34"/>
        <v>0</v>
      </c>
      <c r="E29" s="1"/>
      <c r="F29" s="1"/>
      <c r="G29" s="1" t="str">
        <f t="shared" si="35"/>
        <v>19</v>
      </c>
      <c r="H29" s="1">
        <f t="shared" si="36"/>
        <v>38</v>
      </c>
      <c r="I29" s="1">
        <f t="shared" si="37"/>
        <v>2</v>
      </c>
      <c r="J29" s="1"/>
      <c r="K29" s="1"/>
      <c r="L29" s="22" t="str">
        <f t="shared" si="38"/>
        <v>C19H38O2</v>
      </c>
      <c r="M29" s="22">
        <f t="shared" si="39"/>
        <v>298.28716479999997</v>
      </c>
      <c r="N29" s="22">
        <f t="shared" si="40"/>
        <v>299.29443939999999</v>
      </c>
      <c r="O29" s="19">
        <f t="shared" si="41"/>
        <v>281.28331939999998</v>
      </c>
      <c r="P29" s="22">
        <f t="shared" si="42"/>
        <v>316.32098480000002</v>
      </c>
      <c r="Q29" s="22">
        <f t="shared" si="43"/>
        <v>321.27638480000002</v>
      </c>
      <c r="R29" s="22">
        <f t="shared" si="44"/>
        <v>337.25032479999999</v>
      </c>
      <c r="S29" s="22">
        <f t="shared" si="45"/>
        <v>305.30262479999999</v>
      </c>
      <c r="T29" s="45">
        <f t="shared" si="46"/>
        <v>297.27989019999995</v>
      </c>
      <c r="U29" s="22">
        <f t="shared" si="47"/>
        <v>343.28538479999997</v>
      </c>
      <c r="V29" s="22">
        <f t="shared" si="48"/>
        <v>357.30103479999997</v>
      </c>
      <c r="W29" s="1"/>
    </row>
    <row r="30" spans="1:23" x14ac:dyDescent="0.25">
      <c r="A30" s="2" t="s">
        <v>553</v>
      </c>
      <c r="B30" s="17" t="str">
        <f t="shared" si="32"/>
        <v>FA 20:4</v>
      </c>
      <c r="C30" s="1" t="str">
        <f t="shared" si="33"/>
        <v>20</v>
      </c>
      <c r="D30" s="1" t="str">
        <f t="shared" si="34"/>
        <v>4</v>
      </c>
      <c r="E30" s="1"/>
      <c r="F30" s="1"/>
      <c r="G30" s="1" t="str">
        <f t="shared" si="35"/>
        <v>20</v>
      </c>
      <c r="H30" s="1">
        <f t="shared" si="36"/>
        <v>32</v>
      </c>
      <c r="I30" s="1">
        <f t="shared" si="37"/>
        <v>2</v>
      </c>
      <c r="J30" s="1"/>
      <c r="K30" s="1"/>
      <c r="L30" s="22" t="str">
        <f t="shared" si="38"/>
        <v>C20H32O2</v>
      </c>
      <c r="M30" s="22">
        <f t="shared" si="39"/>
        <v>304.24021719999996</v>
      </c>
      <c r="N30" s="22">
        <f t="shared" si="40"/>
        <v>305.24749179999998</v>
      </c>
      <c r="O30" s="19">
        <f t="shared" si="41"/>
        <v>287.23637180000003</v>
      </c>
      <c r="P30" s="22">
        <f t="shared" si="42"/>
        <v>322.27403720000001</v>
      </c>
      <c r="Q30" s="22">
        <f t="shared" si="43"/>
        <v>327.22943720000001</v>
      </c>
      <c r="R30" s="22">
        <f t="shared" si="44"/>
        <v>343.20337719999998</v>
      </c>
      <c r="S30" s="22">
        <f t="shared" si="45"/>
        <v>311.25567719999998</v>
      </c>
      <c r="T30" s="45">
        <f t="shared" si="46"/>
        <v>303.23294259999994</v>
      </c>
      <c r="U30" s="22">
        <f t="shared" si="47"/>
        <v>349.23843719999991</v>
      </c>
      <c r="V30" s="22">
        <f t="shared" si="48"/>
        <v>363.25408719999996</v>
      </c>
      <c r="W30" s="1"/>
    </row>
    <row r="31" spans="1:23" x14ac:dyDescent="0.25">
      <c r="A31" s="2" t="s">
        <v>596</v>
      </c>
      <c r="B31" s="17" t="str">
        <f t="shared" si="32"/>
        <v>FA 20:3</v>
      </c>
      <c r="C31" s="1" t="str">
        <f t="shared" ref="C31" si="49">MID(B31,4,FIND(":",B31)-FIND(" ",B31)-1)</f>
        <v>20</v>
      </c>
      <c r="D31" s="1" t="str">
        <f t="shared" ref="D31" si="50">IF(ISNUMBER(SEARCH("__",B31)),MID(B31,FIND(":",B31)+1,FIND("__",B31)-FIND(":",B31)-1),MID(B31,FIND(":",B31)+1,7))</f>
        <v>3</v>
      </c>
      <c r="E31" s="1"/>
      <c r="F31" s="1"/>
      <c r="G31" s="1" t="str">
        <f t="shared" ref="G31" si="51">C31</f>
        <v>20</v>
      </c>
      <c r="H31" s="1">
        <f t="shared" ref="H31" si="52">2*G31-(2*D31)-((LEN(A31)-LEN(SUBSTITUTE(A31,"_O_","")))/LEN("_O_"))*2-((LEN(A31)-LEN(SUBSTITUTE(A31,"_CHO_","")))/LEN("_CHO_"))*2-((LEN(A31)-LEN(SUBSTITUTE(A31,"_COOH_","")))/LEN("_COOH_"))*2</f>
        <v>34</v>
      </c>
      <c r="I31" s="1">
        <f t="shared" ref="I31" si="53">2+((LEN(A31)-LEN(SUBSTITUTE(A31,"_OH_","")))/LEN("_OH_"))*1+((LEN(A31)-LEN(SUBSTITUTE(A31,"_OOH_","")))/LEN("_OOH_"))*2+((LEN(A31)-LEN(SUBSTITUTE(A31,"_O_","")))/LEN("_O_"))*1+((LEN(A31)-LEN(SUBSTITUTE(A31,"_CHO_","")))/LEN("_CHO_"))*1+((LEN(A31)-LEN(SUBSTITUTE(A31,"_COOH_","")))/LEN("_COOH_"))*2</f>
        <v>2</v>
      </c>
      <c r="J31" s="1"/>
      <c r="K31" s="1"/>
      <c r="L31" s="22" t="str">
        <f t="shared" ref="L31" si="54">CONCATENATE("C",G31,"H",H31,"O",I31)</f>
        <v>C20H34O2</v>
      </c>
      <c r="M31" s="22">
        <f t="shared" ref="M31" si="55">(G31*12)+(H31*1.0078246)+(I31*15.994915)</f>
        <v>306.2558664</v>
      </c>
      <c r="N31" s="22">
        <f t="shared" ref="N31" si="56">M31+1.0078246-0.00055</f>
        <v>307.26314100000002</v>
      </c>
      <c r="O31" s="19">
        <f t="shared" ref="O31" si="57">N31-18.01057-0.00055</f>
        <v>289.25202100000001</v>
      </c>
      <c r="P31" s="22">
        <f t="shared" ref="P31" si="58">M31+18.03437-0.00055</f>
        <v>324.28968640000005</v>
      </c>
      <c r="Q31" s="22">
        <f t="shared" ref="Q31" si="59">M31+22.98977-0.00055</f>
        <v>329.24508640000005</v>
      </c>
      <c r="R31" s="22">
        <f t="shared" ref="R31" si="60">M31+38.96371-0.00055</f>
        <v>345.21902640000002</v>
      </c>
      <c r="S31" s="22">
        <f t="shared" ref="S31" si="61">M31+7.01601-0.00055</f>
        <v>313.27132640000002</v>
      </c>
      <c r="T31" s="45">
        <f t="shared" ref="T31" si="62">M31-1.0078246+0.00055</f>
        <v>305.24859179999999</v>
      </c>
      <c r="U31" s="22">
        <f t="shared" ref="U31" si="63">M31+44.99767+0.00055</f>
        <v>351.25408640000001</v>
      </c>
      <c r="V31" s="22">
        <f t="shared" ref="V31" si="64">M31+59.01332+0.00055</f>
        <v>365.2697364</v>
      </c>
      <c r="W31" s="1"/>
    </row>
    <row r="32" spans="1:23" x14ac:dyDescent="0.25">
      <c r="A32" s="2" t="s">
        <v>552</v>
      </c>
      <c r="B32" s="17" t="str">
        <f t="shared" si="32"/>
        <v>FA 20:2</v>
      </c>
      <c r="C32" s="1" t="str">
        <f t="shared" ref="C32:C43" si="65">MID(B32,4,FIND(":",B32)-FIND(" ",B32)-1)</f>
        <v>20</v>
      </c>
      <c r="D32" s="1" t="str">
        <f t="shared" ref="D32:D43" si="66">IF(ISNUMBER(SEARCH("__",B32)),MID(B32,FIND(":",B32)+1,FIND("__",B32)-FIND(":",B32)-1),MID(B32,FIND(":",B32)+1,7))</f>
        <v>2</v>
      </c>
      <c r="E32" s="1"/>
      <c r="F32" s="1"/>
      <c r="G32" s="1" t="str">
        <f t="shared" ref="G32:G43" si="67">C32</f>
        <v>20</v>
      </c>
      <c r="H32" s="1">
        <f t="shared" ref="H32:H43" si="68">2*G32-(2*D32)-((LEN(A32)-LEN(SUBSTITUTE(A32,"_O_","")))/LEN("_O_"))*2-((LEN(A32)-LEN(SUBSTITUTE(A32,"_CHO_","")))/LEN("_CHO_"))*2-((LEN(A32)-LEN(SUBSTITUTE(A32,"_COOH_","")))/LEN("_COOH_"))*2</f>
        <v>36</v>
      </c>
      <c r="I32" s="1">
        <f t="shared" ref="I32:I43" si="69">2+((LEN(A32)-LEN(SUBSTITUTE(A32,"_OH_","")))/LEN("_OH_"))*1+((LEN(A32)-LEN(SUBSTITUTE(A32,"_OOH_","")))/LEN("_OOH_"))*2+((LEN(A32)-LEN(SUBSTITUTE(A32,"_O_","")))/LEN("_O_"))*1+((LEN(A32)-LEN(SUBSTITUTE(A32,"_CHO_","")))/LEN("_CHO_"))*1+((LEN(A32)-LEN(SUBSTITUTE(A32,"_COOH_","")))/LEN("_COOH_"))*2</f>
        <v>2</v>
      </c>
      <c r="J32" s="1"/>
      <c r="K32" s="1"/>
      <c r="L32" s="22" t="str">
        <f t="shared" ref="L32:L43" si="70">CONCATENATE("C",G32,"H",H32,"O",I32)</f>
        <v>C20H36O2</v>
      </c>
      <c r="M32" s="22">
        <f t="shared" ref="M32:M43" si="71">(G32*12)+(H32*1.0078246)+(I32*15.994915)</f>
        <v>308.27151559999999</v>
      </c>
      <c r="N32" s="22">
        <f t="shared" ref="N32:N43" si="72">M32+1.0078246-0.00055</f>
        <v>309.2787902</v>
      </c>
      <c r="O32" s="19">
        <f t="shared" ref="O32:O43" si="73">N32-18.01057-0.00055</f>
        <v>291.2676702</v>
      </c>
      <c r="P32" s="22">
        <f t="shared" ref="P32:P43" si="74">M32+18.03437-0.00055</f>
        <v>326.30533560000003</v>
      </c>
      <c r="Q32" s="22">
        <f t="shared" ref="Q32:Q43" si="75">M32+22.98977-0.00055</f>
        <v>331.26073560000003</v>
      </c>
      <c r="R32" s="22">
        <f t="shared" ref="R32:R43" si="76">M32+38.96371-0.00055</f>
        <v>347.2346756</v>
      </c>
      <c r="S32" s="22">
        <f t="shared" ref="S32:S43" si="77">M32+7.01601-0.00055</f>
        <v>315.28697560000001</v>
      </c>
      <c r="T32" s="45">
        <f t="shared" ref="T32:T43" si="78">M32-1.0078246+0.00055</f>
        <v>307.26424099999997</v>
      </c>
      <c r="U32" s="22">
        <f t="shared" ref="U32:U43" si="79">M32+44.99767+0.00055</f>
        <v>353.26973559999999</v>
      </c>
      <c r="V32" s="22">
        <f t="shared" ref="V32:V43" si="80">M32+59.01332+0.00055</f>
        <v>367.28538559999998</v>
      </c>
      <c r="W32" s="1"/>
    </row>
    <row r="33" spans="1:26" x14ac:dyDescent="0.25">
      <c r="A33" s="2" t="s">
        <v>316</v>
      </c>
      <c r="B33" s="17" t="str">
        <f t="shared" si="32"/>
        <v>FA 20:1</v>
      </c>
      <c r="C33" s="1" t="str">
        <f t="shared" si="65"/>
        <v>20</v>
      </c>
      <c r="D33" s="1" t="str">
        <f t="shared" si="66"/>
        <v>1</v>
      </c>
      <c r="E33" s="1"/>
      <c r="F33" s="1"/>
      <c r="G33" s="1" t="str">
        <f t="shared" si="67"/>
        <v>20</v>
      </c>
      <c r="H33" s="1">
        <f t="shared" si="68"/>
        <v>38</v>
      </c>
      <c r="I33" s="1">
        <f t="shared" si="69"/>
        <v>2</v>
      </c>
      <c r="J33" s="1"/>
      <c r="K33" s="1"/>
      <c r="L33" s="22" t="str">
        <f t="shared" si="70"/>
        <v>C20H38O2</v>
      </c>
      <c r="M33" s="22">
        <f t="shared" si="71"/>
        <v>310.28716479999997</v>
      </c>
      <c r="N33" s="22">
        <f t="shared" si="72"/>
        <v>311.29443939999999</v>
      </c>
      <c r="O33" s="19">
        <f t="shared" si="73"/>
        <v>293.28331939999998</v>
      </c>
      <c r="P33" s="22">
        <f t="shared" si="74"/>
        <v>328.32098480000002</v>
      </c>
      <c r="Q33" s="22">
        <f t="shared" si="75"/>
        <v>333.27638480000002</v>
      </c>
      <c r="R33" s="22">
        <f t="shared" si="76"/>
        <v>349.25032479999999</v>
      </c>
      <c r="S33" s="22">
        <f t="shared" si="77"/>
        <v>317.30262479999999</v>
      </c>
      <c r="T33" s="45">
        <f t="shared" si="78"/>
        <v>309.27989019999995</v>
      </c>
      <c r="U33" s="22">
        <f t="shared" si="79"/>
        <v>355.28538479999997</v>
      </c>
      <c r="V33" s="22">
        <f t="shared" si="80"/>
        <v>369.30103479999997</v>
      </c>
      <c r="W33" s="1"/>
    </row>
    <row r="34" spans="1:26" x14ac:dyDescent="0.25">
      <c r="A34" s="2" t="s">
        <v>98</v>
      </c>
      <c r="B34" s="17" t="str">
        <f t="shared" si="32"/>
        <v>FA 20:0</v>
      </c>
      <c r="C34" s="1" t="str">
        <f t="shared" si="65"/>
        <v>20</v>
      </c>
      <c r="D34" s="1" t="str">
        <f t="shared" si="66"/>
        <v>0</v>
      </c>
      <c r="E34" s="1"/>
      <c r="F34" s="1"/>
      <c r="G34" s="1" t="str">
        <f t="shared" si="67"/>
        <v>20</v>
      </c>
      <c r="H34" s="1">
        <f t="shared" si="68"/>
        <v>40</v>
      </c>
      <c r="I34" s="1">
        <f t="shared" si="69"/>
        <v>2</v>
      </c>
      <c r="J34" s="1"/>
      <c r="K34" s="1"/>
      <c r="L34" s="22" t="str">
        <f t="shared" si="70"/>
        <v>C20H40O2</v>
      </c>
      <c r="M34" s="22">
        <f t="shared" si="71"/>
        <v>312.30281400000001</v>
      </c>
      <c r="N34" s="22">
        <f t="shared" si="72"/>
        <v>313.31008860000003</v>
      </c>
      <c r="O34" s="19">
        <f t="shared" si="73"/>
        <v>295.29896860000008</v>
      </c>
      <c r="P34" s="22">
        <f t="shared" si="74"/>
        <v>330.33663400000006</v>
      </c>
      <c r="Q34" s="22">
        <f t="shared" si="75"/>
        <v>335.29203400000006</v>
      </c>
      <c r="R34" s="22">
        <f t="shared" si="76"/>
        <v>351.26597400000003</v>
      </c>
      <c r="S34" s="22">
        <f t="shared" si="77"/>
        <v>319.31827400000003</v>
      </c>
      <c r="T34" s="45">
        <f t="shared" si="78"/>
        <v>311.2955394</v>
      </c>
      <c r="U34" s="22">
        <f t="shared" si="79"/>
        <v>357.30103399999996</v>
      </c>
      <c r="V34" s="22">
        <f t="shared" si="80"/>
        <v>371.31668400000001</v>
      </c>
      <c r="W34" s="1"/>
    </row>
    <row r="35" spans="1:26" x14ac:dyDescent="0.25">
      <c r="A35" s="2" t="s">
        <v>317</v>
      </c>
      <c r="B35" s="17" t="str">
        <f t="shared" si="32"/>
        <v>FA 21:1</v>
      </c>
      <c r="C35" s="1" t="str">
        <f t="shared" si="65"/>
        <v>21</v>
      </c>
      <c r="D35" s="1" t="str">
        <f t="shared" si="66"/>
        <v>1</v>
      </c>
      <c r="E35" s="1"/>
      <c r="F35" s="1"/>
      <c r="G35" s="1" t="str">
        <f t="shared" si="67"/>
        <v>21</v>
      </c>
      <c r="H35" s="1">
        <f t="shared" si="68"/>
        <v>40</v>
      </c>
      <c r="I35" s="1">
        <f t="shared" si="69"/>
        <v>2</v>
      </c>
      <c r="J35" s="1"/>
      <c r="K35" s="1"/>
      <c r="L35" s="22" t="str">
        <f t="shared" si="70"/>
        <v>C21H40O2</v>
      </c>
      <c r="M35" s="22">
        <f t="shared" si="71"/>
        <v>324.30281400000001</v>
      </c>
      <c r="N35" s="22">
        <f t="shared" si="72"/>
        <v>325.31008860000003</v>
      </c>
      <c r="O35" s="19">
        <f t="shared" si="73"/>
        <v>307.29896860000008</v>
      </c>
      <c r="P35" s="22">
        <f t="shared" si="74"/>
        <v>342.33663400000006</v>
      </c>
      <c r="Q35" s="22">
        <f t="shared" si="75"/>
        <v>347.29203400000006</v>
      </c>
      <c r="R35" s="22">
        <f t="shared" si="76"/>
        <v>363.26597400000003</v>
      </c>
      <c r="S35" s="22">
        <f t="shared" si="77"/>
        <v>331.31827400000003</v>
      </c>
      <c r="T35" s="45">
        <f t="shared" si="78"/>
        <v>323.2955394</v>
      </c>
      <c r="U35" s="22">
        <f t="shared" si="79"/>
        <v>369.30103399999996</v>
      </c>
      <c r="V35" s="22">
        <f t="shared" si="80"/>
        <v>383.31668400000001</v>
      </c>
      <c r="W35" s="1"/>
    </row>
    <row r="36" spans="1:26" x14ac:dyDescent="0.25">
      <c r="A36" s="2" t="s">
        <v>310</v>
      </c>
      <c r="B36" s="17" t="str">
        <f t="shared" si="32"/>
        <v>FA 21:0</v>
      </c>
      <c r="C36" s="1" t="str">
        <f t="shared" si="65"/>
        <v>21</v>
      </c>
      <c r="D36" s="1" t="str">
        <f t="shared" si="66"/>
        <v>0</v>
      </c>
      <c r="E36" s="1"/>
      <c r="F36" s="1"/>
      <c r="G36" s="1" t="str">
        <f t="shared" si="67"/>
        <v>21</v>
      </c>
      <c r="H36" s="1">
        <f t="shared" si="68"/>
        <v>42</v>
      </c>
      <c r="I36" s="1">
        <f t="shared" si="69"/>
        <v>2</v>
      </c>
      <c r="J36" s="1"/>
      <c r="K36" s="1"/>
      <c r="L36" s="22" t="str">
        <f t="shared" si="70"/>
        <v>C21H42O2</v>
      </c>
      <c r="M36" s="22">
        <f t="shared" si="71"/>
        <v>326.3184632</v>
      </c>
      <c r="N36" s="22">
        <f t="shared" si="72"/>
        <v>327.32573780000001</v>
      </c>
      <c r="O36" s="19">
        <f t="shared" si="73"/>
        <v>309.31461780000006</v>
      </c>
      <c r="P36" s="22">
        <f t="shared" si="74"/>
        <v>344.35228320000004</v>
      </c>
      <c r="Q36" s="22">
        <f t="shared" si="75"/>
        <v>349.30768320000004</v>
      </c>
      <c r="R36" s="22">
        <f t="shared" si="76"/>
        <v>365.28162320000001</v>
      </c>
      <c r="S36" s="22">
        <f t="shared" si="77"/>
        <v>333.33392320000002</v>
      </c>
      <c r="T36" s="45">
        <f t="shared" si="78"/>
        <v>325.31118859999998</v>
      </c>
      <c r="U36" s="22">
        <f t="shared" si="79"/>
        <v>371.31668319999994</v>
      </c>
      <c r="V36" s="22">
        <f t="shared" si="80"/>
        <v>385.33233319999999</v>
      </c>
      <c r="W36" s="1"/>
    </row>
    <row r="37" spans="1:26" x14ac:dyDescent="0.25">
      <c r="A37" s="2" t="s">
        <v>625</v>
      </c>
      <c r="B37" s="17" t="str">
        <f t="shared" ref="B37" si="81">IF(ISNUMBER(SEARCH("(",A37)),IF(ISNUMBER(SEARCH("/",A37)),CONCATENATE(MID(A37,1,2)," ",(SUM(MID(A37,FIND("(",A37)+1,FIND(":",A37)-FIND("(",A37)-1),MID(A37,FIND("/",A37)+1,FIND(":",A37,FIND("/",A37))-FIND("/",A37)-1))),":",SUM(MID(A37,FIND(":",A37)+1,FIND("/",A37)-FIND(":",A37)-1),MID(A37,FIND(":",A37,FIND("/",A37))+1,FIND(")",A37)-FIND(":",A37,FIND("/",A37))-1)),MID(A37,(FIND(")",A37)+1),100)),CONCATENATE(MID(A37,1,2)," ",(SUM(MID(A37,FIND("(",A37)+1,FIND(":",A37)-FIND("(",A37)-1),MID(A37,FIND("_",A37)+1,FIND(":",A37,FIND("_",A37))-FIND("_",A37)-1))),":",SUM(MID(A37,FIND(":",A37)+1,FIND("_",A37)-FIND(":",A37)-1),MID(A37,FIND(":",A37,FIND("_",A37))+1,FIND(")",A37)-FIND(":",A37,FIND("_",A37))-1)),MID(A37,(FIND(")",A37)+1),100))),A37)</f>
        <v>FA 22:2</v>
      </c>
      <c r="C37" s="1" t="str">
        <f t="shared" ref="C37" si="82">MID(B37,4,FIND(":",B37)-FIND(" ",B37)-1)</f>
        <v>22</v>
      </c>
      <c r="D37" s="1" t="str">
        <f t="shared" ref="D37" si="83">IF(ISNUMBER(SEARCH("__",B37)),MID(B37,FIND(":",B37)+1,FIND("__",B37)-FIND(":",B37)-1),MID(B37,FIND(":",B37)+1,7))</f>
        <v>2</v>
      </c>
      <c r="E37" s="1"/>
      <c r="F37" s="1"/>
      <c r="G37" s="1" t="str">
        <f t="shared" ref="G37" si="84">C37</f>
        <v>22</v>
      </c>
      <c r="H37" s="1">
        <f t="shared" ref="H37" si="85">2*G37-(2*D37)-((LEN(A37)-LEN(SUBSTITUTE(A37,"_O_","")))/LEN("_O_"))*2-((LEN(A37)-LEN(SUBSTITUTE(A37,"_CHO_","")))/LEN("_CHO_"))*2-((LEN(A37)-LEN(SUBSTITUTE(A37,"_COOH_","")))/LEN("_COOH_"))*2</f>
        <v>40</v>
      </c>
      <c r="I37" s="1">
        <f t="shared" ref="I37" si="86">2+((LEN(A37)-LEN(SUBSTITUTE(A37,"_OH_","")))/LEN("_OH_"))*1+((LEN(A37)-LEN(SUBSTITUTE(A37,"_OOH_","")))/LEN("_OOH_"))*2+((LEN(A37)-LEN(SUBSTITUTE(A37,"_O_","")))/LEN("_O_"))*1+((LEN(A37)-LEN(SUBSTITUTE(A37,"_CHO_","")))/LEN("_CHO_"))*1+((LEN(A37)-LEN(SUBSTITUTE(A37,"_COOH_","")))/LEN("_COOH_"))*2</f>
        <v>2</v>
      </c>
      <c r="J37" s="1"/>
      <c r="K37" s="1"/>
      <c r="L37" s="22" t="str">
        <f t="shared" ref="L37" si="87">CONCATENATE("C",G37,"H",H37,"O",I37)</f>
        <v>C22H40O2</v>
      </c>
      <c r="M37" s="22">
        <f t="shared" ref="M37" si="88">(G37*12)+(H37*1.0078246)+(I37*15.994915)</f>
        <v>336.30281400000001</v>
      </c>
      <c r="N37" s="22">
        <f t="shared" ref="N37" si="89">M37+1.0078246-0.00055</f>
        <v>337.31008860000003</v>
      </c>
      <c r="O37" s="19">
        <f t="shared" ref="O37" si="90">N37-18.01057-0.00055</f>
        <v>319.29896860000008</v>
      </c>
      <c r="P37" s="22">
        <f t="shared" ref="P37" si="91">M37+18.03437-0.00055</f>
        <v>354.33663400000006</v>
      </c>
      <c r="Q37" s="22">
        <f t="shared" ref="Q37" si="92">M37+22.98977-0.00055</f>
        <v>359.29203400000006</v>
      </c>
      <c r="R37" s="22">
        <f t="shared" ref="R37" si="93">M37+38.96371-0.00055</f>
        <v>375.26597400000003</v>
      </c>
      <c r="S37" s="22">
        <f t="shared" ref="S37" si="94">M37+7.01601-0.00055</f>
        <v>343.31827400000003</v>
      </c>
      <c r="T37" s="45">
        <f t="shared" ref="T37" si="95">M37-1.0078246+0.00055</f>
        <v>335.2955394</v>
      </c>
      <c r="U37" s="22">
        <f t="shared" ref="U37" si="96">M37+44.99767+0.00055</f>
        <v>381.30103399999996</v>
      </c>
      <c r="V37" s="22">
        <f t="shared" ref="V37" si="97">M37+59.01332+0.00055</f>
        <v>395.31668400000001</v>
      </c>
      <c r="W37" s="1"/>
    </row>
    <row r="38" spans="1:26" x14ac:dyDescent="0.25">
      <c r="A38" s="2" t="s">
        <v>318</v>
      </c>
      <c r="B38" s="17" t="str">
        <f t="shared" si="32"/>
        <v>FA 22:1</v>
      </c>
      <c r="C38" s="1" t="str">
        <f t="shared" si="65"/>
        <v>22</v>
      </c>
      <c r="D38" s="1" t="str">
        <f t="shared" si="66"/>
        <v>1</v>
      </c>
      <c r="E38" s="1"/>
      <c r="F38" s="1"/>
      <c r="G38" s="1" t="str">
        <f t="shared" si="67"/>
        <v>22</v>
      </c>
      <c r="H38" s="1">
        <f t="shared" si="68"/>
        <v>42</v>
      </c>
      <c r="I38" s="1">
        <f t="shared" si="69"/>
        <v>2</v>
      </c>
      <c r="J38" s="1"/>
      <c r="K38" s="1"/>
      <c r="L38" s="22" t="str">
        <f t="shared" si="70"/>
        <v>C22H42O2</v>
      </c>
      <c r="M38" s="22">
        <f t="shared" si="71"/>
        <v>338.3184632</v>
      </c>
      <c r="N38" s="22">
        <f t="shared" si="72"/>
        <v>339.32573780000001</v>
      </c>
      <c r="O38" s="19">
        <f t="shared" si="73"/>
        <v>321.31461780000006</v>
      </c>
      <c r="P38" s="22">
        <f t="shared" si="74"/>
        <v>356.35228320000004</v>
      </c>
      <c r="Q38" s="22">
        <f t="shared" si="75"/>
        <v>361.30768320000004</v>
      </c>
      <c r="R38" s="22">
        <f t="shared" si="76"/>
        <v>377.28162320000001</v>
      </c>
      <c r="S38" s="22">
        <f t="shared" si="77"/>
        <v>345.33392320000002</v>
      </c>
      <c r="T38" s="45">
        <f t="shared" si="78"/>
        <v>337.31118859999998</v>
      </c>
      <c r="U38" s="22">
        <f t="shared" si="79"/>
        <v>383.31668319999994</v>
      </c>
      <c r="V38" s="22">
        <f t="shared" si="80"/>
        <v>397.33233319999999</v>
      </c>
      <c r="W38" s="1"/>
    </row>
    <row r="39" spans="1:26" x14ac:dyDescent="0.25">
      <c r="A39" s="2" t="s">
        <v>311</v>
      </c>
      <c r="B39" s="17" t="str">
        <f t="shared" si="32"/>
        <v>FA 22:0</v>
      </c>
      <c r="C39" s="1" t="str">
        <f t="shared" si="65"/>
        <v>22</v>
      </c>
      <c r="D39" s="1" t="str">
        <f t="shared" si="66"/>
        <v>0</v>
      </c>
      <c r="E39" s="1"/>
      <c r="F39" s="1"/>
      <c r="G39" s="1" t="str">
        <f t="shared" si="67"/>
        <v>22</v>
      </c>
      <c r="H39" s="1">
        <f t="shared" si="68"/>
        <v>44</v>
      </c>
      <c r="I39" s="1">
        <f t="shared" si="69"/>
        <v>2</v>
      </c>
      <c r="J39" s="1"/>
      <c r="K39" s="1"/>
      <c r="L39" s="22" t="str">
        <f t="shared" si="70"/>
        <v>C22H44O2</v>
      </c>
      <c r="M39" s="22">
        <f t="shared" si="71"/>
        <v>340.33411239999998</v>
      </c>
      <c r="N39" s="22">
        <f t="shared" si="72"/>
        <v>341.341387</v>
      </c>
      <c r="O39" s="19">
        <f t="shared" si="73"/>
        <v>323.33026700000005</v>
      </c>
      <c r="P39" s="22">
        <f t="shared" si="74"/>
        <v>358.36793240000003</v>
      </c>
      <c r="Q39" s="22">
        <f t="shared" si="75"/>
        <v>363.32333240000003</v>
      </c>
      <c r="R39" s="22">
        <f t="shared" si="76"/>
        <v>379.2972724</v>
      </c>
      <c r="S39" s="22">
        <f t="shared" si="77"/>
        <v>347.3495724</v>
      </c>
      <c r="T39" s="45">
        <f t="shared" si="78"/>
        <v>339.32683779999996</v>
      </c>
      <c r="U39" s="22">
        <f t="shared" si="79"/>
        <v>385.33233239999993</v>
      </c>
      <c r="V39" s="22">
        <f t="shared" si="80"/>
        <v>399.34798239999998</v>
      </c>
      <c r="W39" s="1"/>
    </row>
    <row r="40" spans="1:26" x14ac:dyDescent="0.25">
      <c r="A40" s="2" t="s">
        <v>440</v>
      </c>
      <c r="B40" s="17" t="str">
        <f t="shared" si="32"/>
        <v>FA 23:0</v>
      </c>
      <c r="C40" s="1" t="str">
        <f t="shared" si="65"/>
        <v>23</v>
      </c>
      <c r="D40" s="1" t="str">
        <f t="shared" si="66"/>
        <v>0</v>
      </c>
      <c r="E40" s="1"/>
      <c r="F40" s="1"/>
      <c r="G40" s="1" t="str">
        <f t="shared" si="67"/>
        <v>23</v>
      </c>
      <c r="H40" s="1">
        <f t="shared" si="68"/>
        <v>46</v>
      </c>
      <c r="I40" s="1">
        <f t="shared" si="69"/>
        <v>2</v>
      </c>
      <c r="J40" s="1"/>
      <c r="K40" s="1"/>
      <c r="L40" s="22" t="str">
        <f t="shared" si="70"/>
        <v>C23H46O2</v>
      </c>
      <c r="M40" s="22">
        <f t="shared" si="71"/>
        <v>354.34976159999997</v>
      </c>
      <c r="N40" s="22">
        <f t="shared" si="72"/>
        <v>355.35703619999998</v>
      </c>
      <c r="O40" s="19">
        <f t="shared" si="73"/>
        <v>337.34591620000003</v>
      </c>
      <c r="P40" s="22">
        <f t="shared" si="74"/>
        <v>372.38358160000001</v>
      </c>
      <c r="Q40" s="22">
        <f t="shared" si="75"/>
        <v>377.33898160000001</v>
      </c>
      <c r="R40" s="22">
        <f t="shared" si="76"/>
        <v>393.31292159999998</v>
      </c>
      <c r="S40" s="22">
        <f t="shared" si="77"/>
        <v>361.36522159999998</v>
      </c>
      <c r="T40" s="45">
        <f t="shared" si="78"/>
        <v>353.34248699999995</v>
      </c>
      <c r="U40" s="22">
        <f t="shared" si="79"/>
        <v>399.34798159999991</v>
      </c>
      <c r="V40" s="22">
        <f t="shared" si="80"/>
        <v>413.36363159999996</v>
      </c>
      <c r="W40" s="1"/>
    </row>
    <row r="41" spans="1:26" x14ac:dyDescent="0.25">
      <c r="A41" s="2" t="s">
        <v>441</v>
      </c>
      <c r="B41" s="17" t="str">
        <f t="shared" si="32"/>
        <v>FA 24:0</v>
      </c>
      <c r="C41" s="1" t="str">
        <f t="shared" si="65"/>
        <v>24</v>
      </c>
      <c r="D41" s="1" t="str">
        <f t="shared" si="66"/>
        <v>0</v>
      </c>
      <c r="E41" s="1"/>
      <c r="F41" s="1"/>
      <c r="G41" s="1" t="str">
        <f t="shared" si="67"/>
        <v>24</v>
      </c>
      <c r="H41" s="1">
        <f t="shared" si="68"/>
        <v>48</v>
      </c>
      <c r="I41" s="1">
        <f t="shared" si="69"/>
        <v>2</v>
      </c>
      <c r="J41" s="1"/>
      <c r="K41" s="1"/>
      <c r="L41" s="22" t="str">
        <f t="shared" si="70"/>
        <v>C24H48O2</v>
      </c>
      <c r="M41" s="22">
        <f t="shared" si="71"/>
        <v>368.36541079999995</v>
      </c>
      <c r="N41" s="22">
        <f t="shared" si="72"/>
        <v>369.37268539999997</v>
      </c>
      <c r="O41" s="19">
        <f t="shared" si="73"/>
        <v>351.36156540000002</v>
      </c>
      <c r="P41" s="22">
        <f t="shared" si="74"/>
        <v>386.3992308</v>
      </c>
      <c r="Q41" s="22">
        <f t="shared" si="75"/>
        <v>391.3546308</v>
      </c>
      <c r="R41" s="22">
        <f t="shared" si="76"/>
        <v>407.32857079999997</v>
      </c>
      <c r="S41" s="22">
        <f t="shared" si="77"/>
        <v>375.38087079999997</v>
      </c>
      <c r="T41" s="45">
        <f t="shared" si="78"/>
        <v>367.35813619999993</v>
      </c>
      <c r="U41" s="22">
        <f t="shared" si="79"/>
        <v>413.3636307999999</v>
      </c>
      <c r="V41" s="22">
        <f t="shared" si="80"/>
        <v>427.37928079999995</v>
      </c>
      <c r="W41" s="1"/>
    </row>
    <row r="42" spans="1:26" x14ac:dyDescent="0.25">
      <c r="A42" s="2" t="s">
        <v>646</v>
      </c>
      <c r="B42" s="17" t="str">
        <f>IF(ISNUMBER(SEARCH("(",A42)),IF(ISNUMBER(SEARCH("/",A42)),CONCATENATE(MID(A42,1,2)," ",(SUM(MID(A42,FIND("(",A42)+1,FIND(":",A42)-FIND("(",A42)-1),MID(A42,FIND("/",A42)+1,FIND(":",A42,FIND("/",A42))-FIND("/",A42)-1))),":",SUM(MID(A42,FIND(":",A42)+1,FIND("/",A42)-FIND(":",A42)-1),MID(A42,FIND(":",A42,FIND("/",A42))+1,FIND(")",A42)-FIND(":",A42,FIND("/",A42))-1)),MID(A42,(FIND(")",A42)+1),100)),CONCATENATE(MID(A42,1,2)," ",(SUM(MID(A42,FIND("(",A42)+1,FIND(":",A42)-FIND("(",A42)-1),MID(A42,FIND("_",A42)+1,FIND(":",A42,FIND("_",A42))-FIND("_",A42)-1))),":",SUM(MID(A42,FIND(":",A42)+1,FIND("_",A42)-FIND(":",A42)-1),MID(A42,FIND(":",A42,FIND("_",A42))+1,FIND(")",A42)-FIND(":",A42,FIND("_",A42))-1)),MID(A42,(FIND(")",A42)+1),100))),A42)</f>
        <v>FA 18:0__OH__</v>
      </c>
      <c r="C42" s="1" t="str">
        <f t="shared" si="65"/>
        <v>18</v>
      </c>
      <c r="D42" s="1" t="str">
        <f t="shared" si="66"/>
        <v>0</v>
      </c>
      <c r="E42" s="1"/>
      <c r="F42" s="1"/>
      <c r="G42" s="1" t="str">
        <f t="shared" si="67"/>
        <v>18</v>
      </c>
      <c r="H42" s="1">
        <f t="shared" si="68"/>
        <v>36</v>
      </c>
      <c r="I42" s="1">
        <f t="shared" si="69"/>
        <v>3</v>
      </c>
      <c r="J42" s="1"/>
      <c r="K42" s="1"/>
      <c r="L42" s="22" t="str">
        <f t="shared" si="70"/>
        <v>C18H36O3</v>
      </c>
      <c r="M42" s="22">
        <f t="shared" si="71"/>
        <v>300.26643060000004</v>
      </c>
      <c r="N42" s="22">
        <f t="shared" si="72"/>
        <v>301.27370520000005</v>
      </c>
      <c r="O42" s="19">
        <f t="shared" si="73"/>
        <v>283.2625852000001</v>
      </c>
      <c r="P42" s="22">
        <f t="shared" si="74"/>
        <v>318.30025060000008</v>
      </c>
      <c r="Q42" s="22">
        <f t="shared" si="75"/>
        <v>323.25565060000008</v>
      </c>
      <c r="R42" s="22">
        <f t="shared" si="76"/>
        <v>339.22959060000005</v>
      </c>
      <c r="S42" s="22">
        <f t="shared" si="77"/>
        <v>307.28189060000005</v>
      </c>
      <c r="T42" s="45">
        <f t="shared" si="78"/>
        <v>299.25915600000002</v>
      </c>
      <c r="U42" s="22">
        <f t="shared" si="79"/>
        <v>345.26465059999998</v>
      </c>
      <c r="V42" s="22">
        <f t="shared" si="80"/>
        <v>359.28030060000003</v>
      </c>
      <c r="W42" s="1"/>
    </row>
    <row r="43" spans="1:26" x14ac:dyDescent="0.25">
      <c r="A43" s="2" t="s">
        <v>654</v>
      </c>
      <c r="B43" s="17" t="str">
        <f>IF(ISNUMBER(SEARCH("(",A43)),IF(ISNUMBER(SEARCH("/",A43)),CONCATENATE(MID(A43,1,2)," ",(SUM(MID(A43,FIND("(",A43)+1,FIND(":",A43)-FIND("(",A43)-1),MID(A43,FIND("/",A43)+1,FIND(":",A43,FIND("/",A43))-FIND("/",A43)-1))),":",SUM(MID(A43,FIND(":",A43)+1,FIND("/",A43)-FIND(":",A43)-1),MID(A43,FIND(":",A43,FIND("/",A43))+1,FIND(")",A43)-FIND(":",A43,FIND("/",A43))-1)),MID(A43,(FIND(")",A43)+1),100)),CONCATENATE(MID(A43,1,2)," ",(SUM(MID(A43,FIND("(",A43)+1,FIND(":",A43)-FIND("(",A43)-1),MID(A43,FIND("_",A43)+1,FIND(":",A43,FIND("_",A43))-FIND("_",A43)-1))),":",SUM(MID(A43,FIND(":",A43)+1,FIND("_",A43)-FIND(":",A43)-1),MID(A43,FIND(":",A43,FIND("_",A43))+1,FIND(")",A43)-FIND(":",A43,FIND("_",A43))-1)),MID(A43,(FIND(")",A43)+1),100))),A43)</f>
        <v>FA 20:0__OH__</v>
      </c>
      <c r="C43" s="1" t="str">
        <f t="shared" si="65"/>
        <v>20</v>
      </c>
      <c r="D43" s="1" t="str">
        <f t="shared" si="66"/>
        <v>0</v>
      </c>
      <c r="E43" s="1"/>
      <c r="F43" s="1"/>
      <c r="G43" s="1" t="str">
        <f t="shared" si="67"/>
        <v>20</v>
      </c>
      <c r="H43" s="1">
        <f t="shared" si="68"/>
        <v>40</v>
      </c>
      <c r="I43" s="1">
        <f t="shared" si="69"/>
        <v>3</v>
      </c>
      <c r="J43" s="1"/>
      <c r="K43" s="1"/>
      <c r="L43" s="22" t="str">
        <f t="shared" si="70"/>
        <v>C20H40O3</v>
      </c>
      <c r="M43" s="22">
        <f t="shared" si="71"/>
        <v>328.297729</v>
      </c>
      <c r="N43" s="22">
        <f t="shared" si="72"/>
        <v>329.30500360000002</v>
      </c>
      <c r="O43" s="19">
        <f t="shared" si="73"/>
        <v>311.29388360000007</v>
      </c>
      <c r="P43" s="22">
        <f t="shared" si="74"/>
        <v>346.33154900000005</v>
      </c>
      <c r="Q43" s="22">
        <f t="shared" si="75"/>
        <v>351.28694900000005</v>
      </c>
      <c r="R43" s="22">
        <f t="shared" si="76"/>
        <v>367.26088900000002</v>
      </c>
      <c r="S43" s="22">
        <f t="shared" si="77"/>
        <v>335.31318900000002</v>
      </c>
      <c r="T43" s="45">
        <f t="shared" si="78"/>
        <v>327.29045439999999</v>
      </c>
      <c r="U43" s="22">
        <f t="shared" si="79"/>
        <v>373.29594899999995</v>
      </c>
      <c r="V43" s="22">
        <f t="shared" si="80"/>
        <v>387.311599</v>
      </c>
      <c r="W43" s="1"/>
      <c r="X43" s="51"/>
      <c r="Y43" s="51"/>
      <c r="Z43" s="51"/>
    </row>
    <row r="44" spans="1:26" s="51" customFormat="1" x14ac:dyDescent="0.25">
      <c r="A44" s="2" t="s">
        <v>655</v>
      </c>
      <c r="B44" s="17" t="str">
        <f>IF(ISNUMBER(SEARCH("(",A44)),IF(ISNUMBER(SEARCH("/",A44)),CONCATENATE(MID(A44,1,2)," ",(SUM(MID(A44,FIND("(",A44)+1,FIND(":",A44)-FIND("(",A44)-1),MID(A44,FIND("/",A44)+1,FIND(":",A44,FIND("/",A44))-FIND("/",A44)-1))),":",SUM(MID(A44,FIND(":",A44)+1,FIND("/",A44)-FIND(":",A44)-1),MID(A44,FIND(":",A44,FIND("/",A44))+1,FIND(")",A44)-FIND(":",A44,FIND("/",A44))-1)),MID(A44,(FIND(")",A44)+1),100)),CONCATENATE(MID(A44,1,2)," ",(SUM(MID(A44,FIND("(",A44)+1,FIND(":",A44)-FIND("(",A44)-1),MID(A44,FIND("_",A44)+1,FIND(":",A44,FIND("_",A44))-FIND("_",A44)-1))),":",SUM(MID(A44,FIND(":",A44)+1,FIND("_",A44)-FIND(":",A44)-1),MID(A44,FIND(":",A44,FIND("_",A44))+1,FIND(")",A44)-FIND(":",A44,FIND("_",A44))-1)),MID(A44,(FIND(")",A44)+1),100))),A44)</f>
        <v>FA 22:0__OH__</v>
      </c>
      <c r="C44" s="1" t="str">
        <f t="shared" ref="C44" si="98">MID(B44,4,FIND(":",B44)-FIND(" ",B44)-1)</f>
        <v>22</v>
      </c>
      <c r="D44" s="1" t="str">
        <f t="shared" ref="D44" si="99">IF(ISNUMBER(SEARCH("__",B44)),MID(B44,FIND(":",B44)+1,FIND("__",B44)-FIND(":",B44)-1),MID(B44,FIND(":",B44)+1,7))</f>
        <v>0</v>
      </c>
      <c r="E44" s="1"/>
      <c r="F44" s="1"/>
      <c r="G44" s="1" t="str">
        <f t="shared" ref="G44" si="100">C44</f>
        <v>22</v>
      </c>
      <c r="H44" s="1">
        <f t="shared" ref="H44" si="101">2*G44-(2*D44)-((LEN(A44)-LEN(SUBSTITUTE(A44,"_O_","")))/LEN("_O_"))*2-((LEN(A44)-LEN(SUBSTITUTE(A44,"_CHO_","")))/LEN("_CHO_"))*2-((LEN(A44)-LEN(SUBSTITUTE(A44,"_COOH_","")))/LEN("_COOH_"))*2</f>
        <v>44</v>
      </c>
      <c r="I44" s="1">
        <f t="shared" ref="I44" si="102">2+((LEN(A44)-LEN(SUBSTITUTE(A44,"_OH_","")))/LEN("_OH_"))*1+((LEN(A44)-LEN(SUBSTITUTE(A44,"_OOH_","")))/LEN("_OOH_"))*2+((LEN(A44)-LEN(SUBSTITUTE(A44,"_O_","")))/LEN("_O_"))*1+((LEN(A44)-LEN(SUBSTITUTE(A44,"_CHO_","")))/LEN("_CHO_"))*1+((LEN(A44)-LEN(SUBSTITUTE(A44,"_COOH_","")))/LEN("_COOH_"))*2</f>
        <v>3</v>
      </c>
      <c r="J44" s="1"/>
      <c r="K44" s="1"/>
      <c r="L44" s="22" t="str">
        <f t="shared" ref="L44" si="103">CONCATENATE("C",G44,"H",H44,"O",I44)</f>
        <v>C22H44O3</v>
      </c>
      <c r="M44" s="22">
        <f t="shared" ref="M44" si="104">(G44*12)+(H44*1.0078246)+(I44*15.994915)</f>
        <v>356.32902739999997</v>
      </c>
      <c r="N44" s="22">
        <f t="shared" ref="N44" si="105">M44+1.0078246-0.00055</f>
        <v>357.33630199999999</v>
      </c>
      <c r="O44" s="19">
        <f t="shared" ref="O44" si="106">N44-18.01057-0.00055</f>
        <v>339.32518200000004</v>
      </c>
      <c r="P44" s="22">
        <f t="shared" ref="P44" si="107">M44+18.03437-0.00055</f>
        <v>374.36284740000002</v>
      </c>
      <c r="Q44" s="22">
        <f t="shared" ref="Q44" si="108">M44+22.98977-0.00055</f>
        <v>379.31824740000002</v>
      </c>
      <c r="R44" s="22">
        <f t="shared" ref="R44" si="109">M44+38.96371-0.00055</f>
        <v>395.29218739999999</v>
      </c>
      <c r="S44" s="22">
        <f t="shared" ref="S44" si="110">M44+7.01601-0.00055</f>
        <v>363.34448739999999</v>
      </c>
      <c r="T44" s="45">
        <f t="shared" ref="T44" si="111">M44-1.0078246+0.00055</f>
        <v>355.32175279999996</v>
      </c>
      <c r="U44" s="22">
        <f t="shared" ref="U44" si="112">M44+44.99767+0.00055</f>
        <v>401.32724739999992</v>
      </c>
      <c r="V44" s="22">
        <f t="shared" ref="V44" si="113">M44+59.01332+0.00055</f>
        <v>415.34289739999997</v>
      </c>
      <c r="W44" s="1"/>
    </row>
    <row r="47" spans="1:26" x14ac:dyDescent="0.25">
      <c r="A47"/>
      <c r="B47" s="17"/>
      <c r="C47" s="1"/>
      <c r="D47" s="1"/>
      <c r="E47" s="1"/>
      <c r="F47" s="1"/>
      <c r="G47" s="1"/>
      <c r="H47" s="1"/>
      <c r="I47" s="1"/>
      <c r="J47" s="1"/>
      <c r="K47" s="1"/>
      <c r="L47" s="22"/>
      <c r="M47" s="22"/>
      <c r="N47" s="22"/>
      <c r="O47" s="19"/>
      <c r="P47" s="22"/>
      <c r="Q47" s="22"/>
      <c r="R47" s="22"/>
      <c r="S47" s="22"/>
      <c r="T47" s="45"/>
      <c r="U47" s="22"/>
      <c r="V47" s="22"/>
      <c r="W47" s="1"/>
    </row>
    <row r="48" spans="1:26" x14ac:dyDescent="0.25">
      <c r="A48"/>
      <c r="B48" s="17"/>
      <c r="C48" s="1"/>
      <c r="D48" s="1"/>
      <c r="E48" s="1"/>
      <c r="F48" s="1"/>
      <c r="G48" s="1"/>
      <c r="H48" s="1"/>
      <c r="I48" s="1"/>
      <c r="J48" s="1"/>
      <c r="K48" s="1"/>
      <c r="L48" s="22"/>
      <c r="M48" s="22"/>
      <c r="N48" s="22"/>
      <c r="O48" s="19"/>
      <c r="P48" s="22"/>
      <c r="Q48" s="22"/>
      <c r="R48" s="22"/>
      <c r="S48" s="22"/>
      <c r="T48" s="45"/>
      <c r="U48" s="22"/>
      <c r="V48" s="22"/>
      <c r="W48" s="1"/>
    </row>
    <row r="49" spans="1:23" x14ac:dyDescent="0.25">
      <c r="A49"/>
      <c r="B49" s="17"/>
      <c r="C49" s="1"/>
      <c r="D49" s="1"/>
      <c r="E49" s="1"/>
      <c r="F49" s="1"/>
      <c r="G49" s="1"/>
      <c r="H49" s="1"/>
      <c r="I49" s="1"/>
      <c r="J49" s="1"/>
      <c r="K49" s="1"/>
      <c r="L49" s="22"/>
      <c r="M49" s="22"/>
      <c r="N49" s="22"/>
      <c r="O49" s="19"/>
      <c r="P49" s="22"/>
      <c r="Q49" s="22"/>
      <c r="R49" s="22"/>
      <c r="S49" s="22"/>
      <c r="T49" s="45"/>
      <c r="U49" s="22"/>
      <c r="V49" s="22"/>
      <c r="W49" s="1"/>
    </row>
    <row r="50" spans="1:23" x14ac:dyDescent="0.25">
      <c r="A50"/>
      <c r="B50" s="17"/>
      <c r="C50" s="1"/>
      <c r="D50" s="1"/>
      <c r="E50" s="1"/>
      <c r="F50" s="1"/>
      <c r="G50" s="1"/>
      <c r="H50" s="1"/>
      <c r="I50" s="1"/>
      <c r="J50" s="1"/>
      <c r="K50" s="1"/>
      <c r="L50" s="22"/>
      <c r="M50" s="22"/>
      <c r="N50" s="22"/>
      <c r="O50" s="19"/>
      <c r="P50" s="22"/>
      <c r="Q50" s="22"/>
      <c r="R50" s="22"/>
      <c r="S50" s="22"/>
      <c r="T50" s="45"/>
      <c r="U50" s="22"/>
      <c r="V50" s="22"/>
      <c r="W50" s="1"/>
    </row>
    <row r="51" spans="1:23" x14ac:dyDescent="0.25">
      <c r="A51"/>
      <c r="B51" s="17"/>
      <c r="C51" s="1"/>
      <c r="D51" s="1"/>
      <c r="E51" s="1"/>
      <c r="F51" s="1"/>
      <c r="G51" s="1"/>
      <c r="H51" s="1"/>
      <c r="I51" s="1"/>
      <c r="J51" s="1"/>
      <c r="K51" s="1"/>
      <c r="L51" s="22"/>
      <c r="M51" s="22"/>
      <c r="N51" s="22"/>
      <c r="O51" s="19"/>
      <c r="P51" s="22"/>
      <c r="Q51" s="22"/>
      <c r="R51" s="22"/>
      <c r="S51" s="22"/>
      <c r="T51" s="45"/>
      <c r="U51" s="22"/>
      <c r="V51" s="22"/>
      <c r="W51" s="1"/>
    </row>
    <row r="52" spans="1:23" x14ac:dyDescent="0.25">
      <c r="A52"/>
      <c r="B52" s="17"/>
      <c r="C52" s="1"/>
      <c r="D52" s="1"/>
      <c r="E52" s="1"/>
      <c r="F52" s="1"/>
      <c r="G52" s="1"/>
      <c r="H52" s="1"/>
      <c r="I52" s="1"/>
      <c r="J52" s="1"/>
      <c r="K52" s="1"/>
      <c r="L52" s="22"/>
      <c r="M52" s="22"/>
      <c r="N52" s="22"/>
      <c r="O52" s="19"/>
      <c r="P52" s="22"/>
      <c r="Q52" s="22"/>
      <c r="R52" s="22"/>
      <c r="S52" s="22"/>
      <c r="T52" s="45"/>
      <c r="U52" s="22"/>
      <c r="V52" s="22"/>
      <c r="W52" s="1"/>
    </row>
    <row r="53" spans="1:23" x14ac:dyDescent="0.25">
      <c r="A53"/>
      <c r="B53" s="17"/>
      <c r="C53" s="1"/>
      <c r="D53" s="1"/>
      <c r="E53" s="1"/>
      <c r="F53" s="1"/>
      <c r="G53" s="1"/>
      <c r="H53" s="1"/>
      <c r="I53" s="1"/>
      <c r="J53" s="1"/>
      <c r="K53" s="1"/>
      <c r="L53" s="22"/>
      <c r="M53" s="22"/>
      <c r="N53" s="22"/>
      <c r="O53" s="19"/>
      <c r="P53" s="22"/>
      <c r="Q53" s="22"/>
      <c r="R53" s="22"/>
      <c r="S53" s="22"/>
      <c r="T53" s="45"/>
      <c r="U53" s="22"/>
      <c r="V53" s="22"/>
      <c r="W53" s="1"/>
    </row>
    <row r="54" spans="1:23" x14ac:dyDescent="0.25">
      <c r="A54"/>
      <c r="B54" s="17"/>
      <c r="C54" s="1"/>
      <c r="D54" s="1"/>
      <c r="E54" s="1"/>
      <c r="F54" s="1"/>
      <c r="G54" s="1"/>
      <c r="H54" s="1"/>
      <c r="I54" s="1"/>
      <c r="J54" s="1"/>
      <c r="K54" s="1"/>
      <c r="L54" s="22"/>
      <c r="M54" s="22"/>
      <c r="N54" s="22"/>
      <c r="O54" s="19"/>
      <c r="P54" s="22"/>
      <c r="Q54" s="22"/>
      <c r="R54" s="22"/>
      <c r="S54" s="22"/>
      <c r="T54" s="45"/>
      <c r="U54" s="22"/>
      <c r="V54" s="22"/>
      <c r="W54" s="1"/>
    </row>
  </sheetData>
  <sortState ref="A4:W46">
    <sortCondition ref="T4:T46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9"/>
  <dimension ref="A1:Z38"/>
  <sheetViews>
    <sheetView showGridLines="0" zoomScaleNormal="100" workbookViewId="0">
      <pane xSplit="1" ySplit="2" topLeftCell="B7" activePane="bottomRight" state="frozen"/>
      <selection pane="topRight"/>
      <selection pane="bottomLeft"/>
      <selection pane="bottomRight" activeCell="L11" sqref="L11"/>
    </sheetView>
  </sheetViews>
  <sheetFormatPr defaultColWidth="9.140625" defaultRowHeight="15.75" x14ac:dyDescent="0.25"/>
  <cols>
    <col min="1" max="1" width="19.7109375" style="17" customWidth="1"/>
    <col min="2" max="2" width="21.140625" style="17" hidden="1" customWidth="1"/>
    <col min="3" max="3" width="3.85546875" style="17" hidden="1" customWidth="1"/>
    <col min="4" max="4" width="2.5703125" style="17" hidden="1" customWidth="1"/>
    <col min="5" max="6" width="10.85546875" style="17" hidden="1" customWidth="1"/>
    <col min="7" max="7" width="9.5703125" style="17" hidden="1" customWidth="1"/>
    <col min="8" max="8" width="10.85546875" style="17" hidden="1" customWidth="1"/>
    <col min="9" max="9" width="9.5703125" style="17" hidden="1" customWidth="1"/>
    <col min="10" max="11" width="9.140625" style="17" hidden="1" customWidth="1"/>
    <col min="12" max="12" width="14.140625" style="19" bestFit="1" customWidth="1"/>
    <col min="13" max="13" width="15.85546875" style="19" bestFit="1" customWidth="1"/>
    <col min="14" max="14" width="12.140625" style="19" bestFit="1" customWidth="1"/>
    <col min="15" max="15" width="14.42578125" style="19" bestFit="1" customWidth="1"/>
    <col min="16" max="20" width="12.140625" style="19" bestFit="1" customWidth="1"/>
    <col min="21" max="21" width="13.5703125" style="19" bestFit="1" customWidth="1"/>
    <col min="22" max="22" width="16.5703125" style="19" bestFit="1" customWidth="1"/>
    <col min="23" max="23" width="10.85546875" style="17" bestFit="1" customWidth="1"/>
    <col min="24" max="24" width="15.42578125" style="17" bestFit="1" customWidth="1"/>
  </cols>
  <sheetData>
    <row r="1" spans="1:26" s="28" customFormat="1" ht="16.5" customHeight="1" x14ac:dyDescent="0.25">
      <c r="A1" s="27" t="s">
        <v>59</v>
      </c>
      <c r="B1" s="27" t="s">
        <v>5</v>
      </c>
      <c r="C1" s="27"/>
      <c r="D1" s="27"/>
      <c r="E1" s="27" t="s">
        <v>0</v>
      </c>
      <c r="F1" s="27" t="s">
        <v>1</v>
      </c>
      <c r="G1" s="27" t="s">
        <v>8</v>
      </c>
      <c r="H1" s="27" t="s">
        <v>2</v>
      </c>
      <c r="I1" s="27" t="s">
        <v>9</v>
      </c>
      <c r="J1" s="27"/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  <c r="W1" s="29" t="s">
        <v>413</v>
      </c>
      <c r="X1" s="27"/>
    </row>
    <row r="2" spans="1:26" ht="14.25" hidden="1" customHeight="1" x14ac:dyDescent="0.25">
      <c r="A2" s="17" t="s">
        <v>96</v>
      </c>
      <c r="B2" s="17" t="str">
        <f>IF(ISNUMBER(SEARCH("(",A2)),IF(ISNUMBER(SEARCH("/",A2)),CONCATENATE(MID(A2,1,4),"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2,1,4)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MGDG 36:4__O__</v>
      </c>
      <c r="C2" s="1" t="str">
        <f>MID(B2,6,FIND(":",B2)-FIND(" ",B2)-1)</f>
        <v>36</v>
      </c>
      <c r="D2" s="1" t="str">
        <f>IF(ISNUMBER(SEARCH("__",B2)),MID(B2,FIND(":",B2)+1,FIND("__",B2)-FIND(":",B2)-1),MID(B2,FIND(":",B2)+1,7))</f>
        <v>4</v>
      </c>
      <c r="E2" s="17">
        <f>C2+9</f>
        <v>45</v>
      </c>
      <c r="F2" s="17">
        <f>2*E2-(2*D2)-4-((LEN(A2)-LEN(SUBSTITUTE(A2,"_O_","")))/LEN("_O_"))*2-((LEN(A2)-LEN(SUBSTITUTE(A2,"_CHO_","")))/LEN("_CHO_"))*2-((LEN(A2)-LEN(SUBSTITUTE(A2,"_COOH_","")))/LEN("_COOH_"))*2</f>
        <v>76</v>
      </c>
      <c r="G2" s="17">
        <v>0</v>
      </c>
      <c r="H2" s="17">
        <f>10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11</v>
      </c>
      <c r="I2" s="17">
        <v>0</v>
      </c>
      <c r="L2" s="19" t="str">
        <f>CONCATENATE("C",E2,"H",F2,"O",H2,)</f>
        <v>C45H76O11</v>
      </c>
      <c r="M2" s="19">
        <f t="shared" ref="M2" si="0">(E2*12)+(F2*1.0078246)+(G2*14.003074)+(H2*15.994915)+(I2*30.973763)</f>
        <v>792.5387346</v>
      </c>
      <c r="N2" s="19">
        <f>M2+1.0078246-0.00055</f>
        <v>793.54600920000007</v>
      </c>
      <c r="O2" s="19">
        <f>N2-18.01057-0.00055</f>
        <v>775.53488920000007</v>
      </c>
      <c r="P2" s="19">
        <f>M2+18.03437-0.00055</f>
        <v>810.57255459999999</v>
      </c>
      <c r="Q2" s="19">
        <f>M2+22.98977-0.00055</f>
        <v>815.52795460000004</v>
      </c>
      <c r="R2" s="19">
        <f>M2+38.96371-0.00055</f>
        <v>831.50189460000001</v>
      </c>
      <c r="S2" s="19">
        <f>M2+7.01601-0.00055</f>
        <v>799.55419460000007</v>
      </c>
      <c r="T2" s="19">
        <f>M2-1.0078246+0.00055</f>
        <v>791.53145999999992</v>
      </c>
      <c r="U2" s="19">
        <f>M2+44.99767+0.00055</f>
        <v>837.53695459999994</v>
      </c>
      <c r="V2" s="19">
        <f>M2+59.01332+0.00055</f>
        <v>851.5526046</v>
      </c>
      <c r="W2" s="42">
        <f>M2+34.968853-0.00055</f>
        <v>827.50703759999999</v>
      </c>
    </row>
    <row r="3" spans="1:26" x14ac:dyDescent="0.25">
      <c r="A3" s="18" t="s">
        <v>252</v>
      </c>
      <c r="B3" s="17" t="str">
        <f t="shared" ref="B3:B11" si="1">IF(ISNUMBER(SEARCH("(",A3)),IF(ISNUMBER(SEARCH("/",A3)),CONCATENATE(MID(A3,1,4),"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3,1,4)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>MGDG 25:0</v>
      </c>
      <c r="C3" s="1" t="str">
        <f t="shared" ref="C3:C11" si="2">MID(B3,6,FIND(":",B3)-FIND(" ",B3)-1)</f>
        <v>25</v>
      </c>
      <c r="D3" s="1" t="str">
        <f t="shared" ref="D3:D11" si="3">IF(ISNUMBER(SEARCH("__",B3)),MID(B3,FIND(":",B3)+1,FIND("__",B3)-FIND(":",B3)-1),MID(B3,FIND(":",B3)+1,7))</f>
        <v>0</v>
      </c>
      <c r="E3" s="17">
        <f t="shared" ref="E3:E11" si="4">C3+9</f>
        <v>34</v>
      </c>
      <c r="F3" s="17">
        <f t="shared" ref="F3:F11" si="5">2*E3-(2*D3)-4-((LEN(A3)-LEN(SUBSTITUTE(A3,"_O_","")))/LEN("_O_"))*2-((LEN(A3)-LEN(SUBSTITUTE(A3,"_CHO_","")))/LEN("_CHO_"))*2-((LEN(A3)-LEN(SUBSTITUTE(A3,"_COOH_","")))/LEN("_COOH_"))*2</f>
        <v>64</v>
      </c>
      <c r="G3" s="17">
        <v>0</v>
      </c>
      <c r="H3" s="17">
        <f t="shared" ref="H3:H11" si="6">10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10</v>
      </c>
      <c r="I3" s="17">
        <v>0</v>
      </c>
      <c r="L3" s="19" t="str">
        <f t="shared" ref="L3:L11" si="7">CONCATENATE("C",E3,"H",F3,"O",H3,)</f>
        <v>C34H64O10</v>
      </c>
      <c r="M3" s="19">
        <f t="shared" ref="M3:M38" si="8">(E3*12)+(F3*1.0078246)+(G3*14.003074)+(H3*15.994915)+(I3*30.973763)</f>
        <v>632.44992439999999</v>
      </c>
      <c r="N3" s="19">
        <f t="shared" ref="N3:N11" si="9">M3+1.0078246-0.00055</f>
        <v>633.45719900000006</v>
      </c>
      <c r="O3" s="19">
        <f t="shared" ref="O3:O11" si="10">N3-18.01057-0.00055</f>
        <v>615.44607900000005</v>
      </c>
      <c r="P3" s="19">
        <f t="shared" ref="P3:P11" si="11">M3+18.03437-0.00055</f>
        <v>650.48374439999998</v>
      </c>
      <c r="Q3" s="19">
        <f t="shared" ref="Q3:Q11" si="12">M3+22.98977-0.00055</f>
        <v>655.43914440000003</v>
      </c>
      <c r="R3" s="19">
        <f t="shared" ref="R3:R11" si="13">M3+38.96371-0.00055</f>
        <v>671.4130844</v>
      </c>
      <c r="S3" s="19">
        <f t="shared" ref="S3:S11" si="14">M3+7.01601-0.00055</f>
        <v>639.46538440000006</v>
      </c>
      <c r="T3" s="19">
        <f t="shared" ref="T3:T11" si="15">M3-1.0078246+0.00055</f>
        <v>631.44264979999991</v>
      </c>
      <c r="U3" s="19">
        <f t="shared" ref="U3:U11" si="16">M3+44.99767+0.00055</f>
        <v>677.44814439999993</v>
      </c>
      <c r="V3" s="19">
        <f t="shared" ref="V3:V11" si="17">M3+59.01332+0.00055</f>
        <v>691.46379439999998</v>
      </c>
      <c r="W3" s="42">
        <f t="shared" ref="W3:W11" si="18">M3+34.968853-0.00055</f>
        <v>667.41822739999998</v>
      </c>
    </row>
    <row r="4" spans="1:26" x14ac:dyDescent="0.25">
      <c r="A4" s="18" t="s">
        <v>253</v>
      </c>
      <c r="B4" s="17" t="str">
        <f t="shared" si="1"/>
        <v>MGDG 26:0</v>
      </c>
      <c r="C4" s="1" t="str">
        <f t="shared" si="2"/>
        <v>26</v>
      </c>
      <c r="D4" s="1" t="str">
        <f t="shared" si="3"/>
        <v>0</v>
      </c>
      <c r="E4" s="17">
        <f t="shared" si="4"/>
        <v>35</v>
      </c>
      <c r="F4" s="17">
        <f t="shared" si="5"/>
        <v>66</v>
      </c>
      <c r="G4" s="17">
        <v>0</v>
      </c>
      <c r="H4" s="17">
        <f t="shared" si="6"/>
        <v>10</v>
      </c>
      <c r="I4" s="17">
        <v>0</v>
      </c>
      <c r="L4" s="19" t="str">
        <f t="shared" si="7"/>
        <v>C35H66O10</v>
      </c>
      <c r="M4" s="19">
        <f t="shared" si="8"/>
        <v>646.46557359999997</v>
      </c>
      <c r="N4" s="19">
        <f t="shared" si="9"/>
        <v>647.47284820000004</v>
      </c>
      <c r="O4" s="19">
        <f t="shared" si="10"/>
        <v>629.46172820000004</v>
      </c>
      <c r="P4" s="19">
        <f t="shared" si="11"/>
        <v>664.49939359999996</v>
      </c>
      <c r="Q4" s="19">
        <f t="shared" si="12"/>
        <v>669.45479360000002</v>
      </c>
      <c r="R4" s="19">
        <f t="shared" si="13"/>
        <v>685.42873359999999</v>
      </c>
      <c r="S4" s="19">
        <f t="shared" si="14"/>
        <v>653.48103360000005</v>
      </c>
      <c r="T4" s="19">
        <f t="shared" si="15"/>
        <v>645.4582989999999</v>
      </c>
      <c r="U4" s="19">
        <f t="shared" si="16"/>
        <v>691.46379359999992</v>
      </c>
      <c r="V4" s="19">
        <f t="shared" si="17"/>
        <v>705.47944359999997</v>
      </c>
      <c r="W4" s="42">
        <f t="shared" si="18"/>
        <v>681.43387659999996</v>
      </c>
    </row>
    <row r="5" spans="1:26" x14ac:dyDescent="0.25">
      <c r="A5" s="18" t="s">
        <v>254</v>
      </c>
      <c r="B5" s="17" t="str">
        <f t="shared" si="1"/>
        <v>MGDG 27:0</v>
      </c>
      <c r="C5" s="1" t="str">
        <f t="shared" si="2"/>
        <v>27</v>
      </c>
      <c r="D5" s="1" t="str">
        <f t="shared" si="3"/>
        <v>0</v>
      </c>
      <c r="E5" s="17">
        <f t="shared" si="4"/>
        <v>36</v>
      </c>
      <c r="F5" s="17">
        <f t="shared" si="5"/>
        <v>68</v>
      </c>
      <c r="G5" s="17">
        <v>0</v>
      </c>
      <c r="H5" s="17">
        <f t="shared" si="6"/>
        <v>10</v>
      </c>
      <c r="I5" s="17">
        <v>0</v>
      </c>
      <c r="L5" s="19" t="str">
        <f t="shared" si="7"/>
        <v>C36H68O10</v>
      </c>
      <c r="M5" s="19">
        <f t="shared" si="8"/>
        <v>660.48122279999995</v>
      </c>
      <c r="N5" s="19">
        <f t="shared" si="9"/>
        <v>661.48849740000003</v>
      </c>
      <c r="O5" s="19">
        <f t="shared" si="10"/>
        <v>643.47737740000002</v>
      </c>
      <c r="P5" s="19">
        <f t="shared" si="11"/>
        <v>678.51504279999995</v>
      </c>
      <c r="Q5" s="19">
        <f t="shared" si="12"/>
        <v>683.4704428</v>
      </c>
      <c r="R5" s="19">
        <f t="shared" si="13"/>
        <v>699.44438279999997</v>
      </c>
      <c r="S5" s="19">
        <f t="shared" si="14"/>
        <v>667.49668280000003</v>
      </c>
      <c r="T5" s="19">
        <f t="shared" si="15"/>
        <v>659.47394819999988</v>
      </c>
      <c r="U5" s="19">
        <f t="shared" si="16"/>
        <v>705.4794427999999</v>
      </c>
      <c r="V5" s="19">
        <f t="shared" si="17"/>
        <v>719.49509279999995</v>
      </c>
      <c r="W5" s="42">
        <f t="shared" si="18"/>
        <v>695.44952579999995</v>
      </c>
    </row>
    <row r="6" spans="1:26" x14ac:dyDescent="0.25">
      <c r="A6" s="18" t="s">
        <v>255</v>
      </c>
      <c r="B6" s="17" t="str">
        <f t="shared" si="1"/>
        <v>MGDG 28:2</v>
      </c>
      <c r="C6" s="1" t="str">
        <f t="shared" si="2"/>
        <v>28</v>
      </c>
      <c r="D6" s="1" t="str">
        <f t="shared" si="3"/>
        <v>2</v>
      </c>
      <c r="E6" s="17">
        <f t="shared" si="4"/>
        <v>37</v>
      </c>
      <c r="F6" s="17">
        <f t="shared" si="5"/>
        <v>66</v>
      </c>
      <c r="G6" s="17">
        <v>0</v>
      </c>
      <c r="H6" s="17">
        <f t="shared" si="6"/>
        <v>10</v>
      </c>
      <c r="I6" s="17">
        <v>0</v>
      </c>
      <c r="L6" s="19" t="str">
        <f t="shared" si="7"/>
        <v>C37H66O10</v>
      </c>
      <c r="M6" s="19">
        <f t="shared" si="8"/>
        <v>670.46557359999997</v>
      </c>
      <c r="N6" s="19">
        <f t="shared" si="9"/>
        <v>671.47284820000004</v>
      </c>
      <c r="O6" s="19">
        <f t="shared" si="10"/>
        <v>653.46172820000004</v>
      </c>
      <c r="P6" s="19">
        <f t="shared" si="11"/>
        <v>688.49939359999996</v>
      </c>
      <c r="Q6" s="19">
        <f t="shared" si="12"/>
        <v>693.45479360000002</v>
      </c>
      <c r="R6" s="19">
        <f t="shared" si="13"/>
        <v>709.42873359999999</v>
      </c>
      <c r="S6" s="19">
        <f t="shared" si="14"/>
        <v>677.48103360000005</v>
      </c>
      <c r="T6" s="19">
        <f t="shared" si="15"/>
        <v>669.4582989999999</v>
      </c>
      <c r="U6" s="19">
        <f t="shared" si="16"/>
        <v>715.46379359999992</v>
      </c>
      <c r="V6" s="19">
        <f t="shared" si="17"/>
        <v>729.47944359999997</v>
      </c>
      <c r="W6" s="42">
        <f t="shared" si="18"/>
        <v>705.43387659999996</v>
      </c>
    </row>
    <row r="7" spans="1:26" x14ac:dyDescent="0.25">
      <c r="A7" s="18" t="s">
        <v>256</v>
      </c>
      <c r="B7" s="17" t="str">
        <f t="shared" si="1"/>
        <v>MGDG 28:1</v>
      </c>
      <c r="C7" s="1" t="str">
        <f t="shared" si="2"/>
        <v>28</v>
      </c>
      <c r="D7" s="1" t="str">
        <f t="shared" si="3"/>
        <v>1</v>
      </c>
      <c r="E7" s="17">
        <f t="shared" si="4"/>
        <v>37</v>
      </c>
      <c r="F7" s="17">
        <f t="shared" si="5"/>
        <v>68</v>
      </c>
      <c r="G7" s="17">
        <v>0</v>
      </c>
      <c r="H7" s="17">
        <f t="shared" si="6"/>
        <v>10</v>
      </c>
      <c r="I7" s="17">
        <v>0</v>
      </c>
      <c r="L7" s="19" t="str">
        <f t="shared" si="7"/>
        <v>C37H68O10</v>
      </c>
      <c r="M7" s="19">
        <f t="shared" si="8"/>
        <v>672.48122280000007</v>
      </c>
      <c r="N7" s="19">
        <f t="shared" si="9"/>
        <v>673.48849740000014</v>
      </c>
      <c r="O7" s="19">
        <f t="shared" si="10"/>
        <v>655.47737740000014</v>
      </c>
      <c r="P7" s="19">
        <f t="shared" si="11"/>
        <v>690.51504280000006</v>
      </c>
      <c r="Q7" s="19">
        <f t="shared" si="12"/>
        <v>695.47044280000011</v>
      </c>
      <c r="R7" s="19">
        <f t="shared" si="13"/>
        <v>711.44438280000008</v>
      </c>
      <c r="S7" s="19">
        <f t="shared" si="14"/>
        <v>679.49668280000014</v>
      </c>
      <c r="T7" s="19">
        <f t="shared" si="15"/>
        <v>671.4739482</v>
      </c>
      <c r="U7" s="19">
        <f t="shared" si="16"/>
        <v>717.47944280000002</v>
      </c>
      <c r="V7" s="19">
        <f t="shared" si="17"/>
        <v>731.49509280000007</v>
      </c>
      <c r="W7" s="42">
        <f t="shared" si="18"/>
        <v>707.44952580000006</v>
      </c>
    </row>
    <row r="8" spans="1:26" x14ac:dyDescent="0.25">
      <c r="A8" s="18" t="s">
        <v>257</v>
      </c>
      <c r="B8" s="17" t="str">
        <f t="shared" si="1"/>
        <v>MGDG 28:0</v>
      </c>
      <c r="C8" s="1" t="str">
        <f t="shared" si="2"/>
        <v>28</v>
      </c>
      <c r="D8" s="1" t="str">
        <f t="shared" si="3"/>
        <v>0</v>
      </c>
      <c r="E8" s="17">
        <f t="shared" si="4"/>
        <v>37</v>
      </c>
      <c r="F8" s="17">
        <f t="shared" si="5"/>
        <v>70</v>
      </c>
      <c r="G8" s="17">
        <v>0</v>
      </c>
      <c r="H8" s="17">
        <f t="shared" si="6"/>
        <v>10</v>
      </c>
      <c r="I8" s="17">
        <v>0</v>
      </c>
      <c r="L8" s="19" t="str">
        <f t="shared" si="7"/>
        <v>C37H70O10</v>
      </c>
      <c r="M8" s="19">
        <f t="shared" si="8"/>
        <v>674.49687200000005</v>
      </c>
      <c r="N8" s="19">
        <f t="shared" si="9"/>
        <v>675.50414660000013</v>
      </c>
      <c r="O8" s="19">
        <f t="shared" si="10"/>
        <v>657.49302660000012</v>
      </c>
      <c r="P8" s="19">
        <f t="shared" si="11"/>
        <v>692.53069200000004</v>
      </c>
      <c r="Q8" s="19">
        <f t="shared" si="12"/>
        <v>697.4860920000001</v>
      </c>
      <c r="R8" s="19">
        <f t="shared" si="13"/>
        <v>713.46003200000007</v>
      </c>
      <c r="S8" s="19">
        <f t="shared" si="14"/>
        <v>681.51233200000013</v>
      </c>
      <c r="T8" s="19">
        <f t="shared" si="15"/>
        <v>673.48959739999998</v>
      </c>
      <c r="U8" s="19">
        <f t="shared" si="16"/>
        <v>719.495092</v>
      </c>
      <c r="V8" s="19">
        <f t="shared" si="17"/>
        <v>733.51074200000005</v>
      </c>
      <c r="W8" s="42">
        <f t="shared" si="18"/>
        <v>709.46517500000004</v>
      </c>
    </row>
    <row r="9" spans="1:26" x14ac:dyDescent="0.25">
      <c r="A9" s="18" t="s">
        <v>258</v>
      </c>
      <c r="B9" s="17" t="str">
        <f t="shared" si="1"/>
        <v>MGDG 29:2</v>
      </c>
      <c r="C9" s="1" t="str">
        <f t="shared" si="2"/>
        <v>29</v>
      </c>
      <c r="D9" s="1" t="str">
        <f t="shared" si="3"/>
        <v>2</v>
      </c>
      <c r="E9" s="17">
        <f t="shared" si="4"/>
        <v>38</v>
      </c>
      <c r="F9" s="17">
        <f t="shared" si="5"/>
        <v>68</v>
      </c>
      <c r="G9" s="17">
        <v>0</v>
      </c>
      <c r="H9" s="17">
        <f t="shared" si="6"/>
        <v>10</v>
      </c>
      <c r="I9" s="17">
        <v>0</v>
      </c>
      <c r="L9" s="19" t="str">
        <f t="shared" si="7"/>
        <v>C38H68O10</v>
      </c>
      <c r="M9" s="19">
        <f t="shared" si="8"/>
        <v>684.48122280000007</v>
      </c>
      <c r="N9" s="19">
        <f t="shared" si="9"/>
        <v>685.48849740000014</v>
      </c>
      <c r="O9" s="19">
        <f t="shared" si="10"/>
        <v>667.47737740000014</v>
      </c>
      <c r="P9" s="19">
        <f t="shared" si="11"/>
        <v>702.51504280000006</v>
      </c>
      <c r="Q9" s="19">
        <f t="shared" si="12"/>
        <v>707.47044280000011</v>
      </c>
      <c r="R9" s="19">
        <f t="shared" si="13"/>
        <v>723.44438280000008</v>
      </c>
      <c r="S9" s="19">
        <f t="shared" si="14"/>
        <v>691.49668280000014</v>
      </c>
      <c r="T9" s="19">
        <f t="shared" si="15"/>
        <v>683.4739482</v>
      </c>
      <c r="U9" s="19">
        <f t="shared" si="16"/>
        <v>729.47944280000002</v>
      </c>
      <c r="V9" s="19">
        <f t="shared" si="17"/>
        <v>743.49509280000007</v>
      </c>
      <c r="W9" s="42">
        <f t="shared" si="18"/>
        <v>719.44952580000006</v>
      </c>
    </row>
    <row r="10" spans="1:26" x14ac:dyDescent="0.25">
      <c r="A10" s="18" t="s">
        <v>259</v>
      </c>
      <c r="B10" s="17" t="str">
        <f t="shared" si="1"/>
        <v>MGDG 29:1</v>
      </c>
      <c r="C10" s="1" t="str">
        <f t="shared" si="2"/>
        <v>29</v>
      </c>
      <c r="D10" s="1" t="str">
        <f t="shared" si="3"/>
        <v>1</v>
      </c>
      <c r="E10" s="17">
        <f t="shared" si="4"/>
        <v>38</v>
      </c>
      <c r="F10" s="17">
        <f t="shared" si="5"/>
        <v>70</v>
      </c>
      <c r="G10" s="17">
        <v>0</v>
      </c>
      <c r="H10" s="17">
        <f t="shared" si="6"/>
        <v>10</v>
      </c>
      <c r="I10" s="17">
        <v>0</v>
      </c>
      <c r="L10" s="19" t="str">
        <f t="shared" si="7"/>
        <v>C38H70O10</v>
      </c>
      <c r="M10" s="19">
        <f t="shared" si="8"/>
        <v>686.49687200000005</v>
      </c>
      <c r="N10" s="19">
        <f t="shared" si="9"/>
        <v>687.50414660000013</v>
      </c>
      <c r="O10" s="19">
        <f t="shared" si="10"/>
        <v>669.49302660000012</v>
      </c>
      <c r="P10" s="19">
        <f t="shared" si="11"/>
        <v>704.53069200000004</v>
      </c>
      <c r="Q10" s="19">
        <f t="shared" si="12"/>
        <v>709.4860920000001</v>
      </c>
      <c r="R10" s="19">
        <f t="shared" si="13"/>
        <v>725.46003200000007</v>
      </c>
      <c r="S10" s="19">
        <f t="shared" si="14"/>
        <v>693.51233200000013</v>
      </c>
      <c r="T10" s="19">
        <f t="shared" si="15"/>
        <v>685.48959739999998</v>
      </c>
      <c r="U10" s="19">
        <f t="shared" si="16"/>
        <v>731.495092</v>
      </c>
      <c r="V10" s="19">
        <f t="shared" si="17"/>
        <v>745.51074200000005</v>
      </c>
      <c r="W10" s="42">
        <f t="shared" si="18"/>
        <v>721.46517500000004</v>
      </c>
    </row>
    <row r="11" spans="1:26" x14ac:dyDescent="0.25">
      <c r="A11" s="18" t="s">
        <v>260</v>
      </c>
      <c r="B11" s="17" t="str">
        <f t="shared" si="1"/>
        <v>MGDG 29:0</v>
      </c>
      <c r="C11" s="1" t="str">
        <f t="shared" si="2"/>
        <v>29</v>
      </c>
      <c r="D11" s="1" t="str">
        <f t="shared" si="3"/>
        <v>0</v>
      </c>
      <c r="E11" s="17">
        <f t="shared" si="4"/>
        <v>38</v>
      </c>
      <c r="F11" s="17">
        <f t="shared" si="5"/>
        <v>72</v>
      </c>
      <c r="G11" s="17">
        <v>0</v>
      </c>
      <c r="H11" s="17">
        <f t="shared" si="6"/>
        <v>10</v>
      </c>
      <c r="I11" s="17">
        <v>0</v>
      </c>
      <c r="L11" s="19" t="str">
        <f t="shared" si="7"/>
        <v>C38H72O10</v>
      </c>
      <c r="M11" s="19">
        <f t="shared" si="8"/>
        <v>688.51252120000004</v>
      </c>
      <c r="N11" s="19">
        <f t="shared" si="9"/>
        <v>689.51979580000011</v>
      </c>
      <c r="O11" s="19">
        <f t="shared" si="10"/>
        <v>671.50867580000011</v>
      </c>
      <c r="P11" s="19">
        <f t="shared" si="11"/>
        <v>706.54634120000003</v>
      </c>
      <c r="Q11" s="19">
        <f t="shared" si="12"/>
        <v>711.50174120000008</v>
      </c>
      <c r="R11" s="19">
        <f t="shared" si="13"/>
        <v>727.47568120000005</v>
      </c>
      <c r="S11" s="19">
        <f t="shared" si="14"/>
        <v>695.52798120000011</v>
      </c>
      <c r="T11" s="19">
        <f t="shared" si="15"/>
        <v>687.50524659999996</v>
      </c>
      <c r="U11" s="19">
        <f t="shared" si="16"/>
        <v>733.51074119999998</v>
      </c>
      <c r="V11" s="19">
        <f t="shared" si="17"/>
        <v>747.52639120000003</v>
      </c>
      <c r="W11" s="42">
        <f t="shared" si="18"/>
        <v>723.48082420000003</v>
      </c>
    </row>
    <row r="12" spans="1:26" x14ac:dyDescent="0.25">
      <c r="A12" s="18" t="s">
        <v>684</v>
      </c>
      <c r="B12" s="17" t="str">
        <f t="shared" ref="B12:B38" si="19">IF(ISNUMBER(SEARCH("(",A12)),IF(ISNUMBER(SEARCH("/",A12)),CONCATENATE(MID(A12,1,4)," ",(SUM(MID(A12,FIND("(",A12)+1,FIND(":",A12)-FIND("(",A12)-1),MID(A12,FIND("/",A12)+1,FIND(":",A12,FIND("/",A12))-FIND("/",A12)-1))),":",SUM(MID(A12,FIND(":",A12)+1,FIND("/",A12)-FIND(":",A12)-1),MID(A12,FIND(":",A12,FIND("/",A12))+1,FIND(")",A12)-FIND(":",A12,FIND("/",A12))-1)),MID(A12,(FIND(")",A12)+1),100)),CONCATENATE(MID(A12,1,4)," ",(SUM(MID(A12,FIND("(",A12)+1,FIND(":",A12)-FIND("(",A12)-1),MID(A12,FIND("_",A12)+1,FIND(":",A12,FIND("_",A12))-FIND("_",A12)-1))),":",SUM(MID(A12,FIND(":",A12)+1,FIND("_",A12)-FIND(":",A12)-1),MID(A12,FIND(":",A12,FIND("_",A12))+1,FIND(")",A12)-FIND(":",A12,FIND("_",A12))-1)),MID(A12,(FIND(")",A12)+1),100))),A12)</f>
        <v>MGDG 30:2</v>
      </c>
      <c r="C12" s="1" t="str">
        <f t="shared" ref="C12:C38" si="20">MID(B12,6,FIND(":",B12)-FIND(" ",B12)-1)</f>
        <v>30</v>
      </c>
      <c r="D12" s="1" t="str">
        <f t="shared" ref="D12:D38" si="21">IF(ISNUMBER(SEARCH("__",B12)),MID(B12,FIND(":",B12)+1,FIND("__",B12)-FIND(":",B12)-1),MID(B12,FIND(":",B12)+1,7))</f>
        <v>2</v>
      </c>
      <c r="E12" s="17">
        <f t="shared" ref="E12:E38" si="22">C12+9</f>
        <v>39</v>
      </c>
      <c r="F12" s="17">
        <f t="shared" ref="F12:F38" si="23">2*E12-(2*D12)-4-((LEN(A12)-LEN(SUBSTITUTE(A12,"_O_","")))/LEN("_O_"))*2-((LEN(A12)-LEN(SUBSTITUTE(A12,"_CHO_","")))/LEN("_CHO_"))*2-((LEN(A12)-LEN(SUBSTITUTE(A12,"_COOH_","")))/LEN("_COOH_"))*2</f>
        <v>70</v>
      </c>
      <c r="G12" s="17">
        <v>0</v>
      </c>
      <c r="H12" s="17">
        <f t="shared" ref="H12:H38" si="24">10+((LEN(A12)-LEN(SUBSTITUTE(A12,"_OH_","")))/LEN("_OH_"))*1+((LEN(A12)-LEN(SUBSTITUTE(A12,"_OOH_","")))/LEN("_OOH_"))*2+((LEN(A12)-LEN(SUBSTITUTE(A12,"_O_","")))/LEN("_O_"))*1+((LEN(A12)-LEN(SUBSTITUTE(A12,"_CHO_","")))/LEN("_CHO_"))*1+((LEN(A12)-LEN(SUBSTITUTE(A12,"_COOH_","")))/LEN("_COOH_"))*2</f>
        <v>10</v>
      </c>
      <c r="I12" s="17">
        <v>0</v>
      </c>
      <c r="L12" s="19" t="str">
        <f t="shared" ref="L12:L38" si="25">CONCATENATE("C",E12,"H",F12,"O",H12,)</f>
        <v>C39H70O10</v>
      </c>
      <c r="M12" s="19">
        <f t="shared" si="8"/>
        <v>698.49687200000005</v>
      </c>
      <c r="N12" s="19">
        <f t="shared" ref="N12:N38" si="26">M12+1.0078246-0.00055</f>
        <v>699.50414660000013</v>
      </c>
      <c r="O12" s="19">
        <f t="shared" ref="O12:O38" si="27">N12-18.01057-0.00055</f>
        <v>681.49302660000012</v>
      </c>
      <c r="P12" s="19">
        <f t="shared" ref="P12:P38" si="28">M12+18.03437-0.00055</f>
        <v>716.53069200000004</v>
      </c>
      <c r="Q12" s="19">
        <f t="shared" ref="Q12:Q38" si="29">M12+22.98977-0.00055</f>
        <v>721.4860920000001</v>
      </c>
      <c r="R12" s="19">
        <f t="shared" ref="R12:R38" si="30">M12+38.96371-0.00055</f>
        <v>737.46003200000007</v>
      </c>
      <c r="S12" s="19">
        <f t="shared" ref="S12:S38" si="31">M12+7.01601-0.00055</f>
        <v>705.51233200000013</v>
      </c>
      <c r="T12" s="19">
        <f t="shared" ref="T12:T38" si="32">M12-1.0078246+0.00055</f>
        <v>697.48959739999998</v>
      </c>
      <c r="U12" s="19">
        <f t="shared" ref="U12:U38" si="33">M12+44.99767+0.00055</f>
        <v>743.495092</v>
      </c>
      <c r="V12" s="19">
        <f t="shared" ref="V12:V38" si="34">M12+59.01332+0.00055</f>
        <v>757.51074200000005</v>
      </c>
      <c r="W12" s="42">
        <f t="shared" ref="W12:W38" si="35">M12+34.968853-0.00055</f>
        <v>733.46517500000004</v>
      </c>
      <c r="Y12" s="58"/>
      <c r="Z12" s="58"/>
    </row>
    <row r="13" spans="1:26" x14ac:dyDescent="0.25">
      <c r="A13" s="18" t="s">
        <v>630</v>
      </c>
      <c r="B13" s="17" t="str">
        <f t="shared" si="19"/>
        <v>MGDG 30:1</v>
      </c>
      <c r="C13" s="1" t="str">
        <f t="shared" si="20"/>
        <v>30</v>
      </c>
      <c r="D13" s="1" t="str">
        <f t="shared" si="21"/>
        <v>1</v>
      </c>
      <c r="E13" s="17">
        <f t="shared" si="22"/>
        <v>39</v>
      </c>
      <c r="F13" s="17">
        <f t="shared" si="23"/>
        <v>72</v>
      </c>
      <c r="G13" s="17">
        <v>0</v>
      </c>
      <c r="H13" s="17">
        <f t="shared" si="24"/>
        <v>10</v>
      </c>
      <c r="I13" s="17">
        <v>0</v>
      </c>
      <c r="L13" s="19" t="str">
        <f t="shared" si="25"/>
        <v>C39H72O10</v>
      </c>
      <c r="M13" s="19">
        <f t="shared" si="8"/>
        <v>700.51252120000004</v>
      </c>
      <c r="N13" s="19">
        <f t="shared" si="26"/>
        <v>701.51979580000011</v>
      </c>
      <c r="O13" s="19">
        <f t="shared" si="27"/>
        <v>683.50867580000011</v>
      </c>
      <c r="P13" s="19">
        <f t="shared" si="28"/>
        <v>718.54634120000003</v>
      </c>
      <c r="Q13" s="19">
        <f t="shared" si="29"/>
        <v>723.50174120000008</v>
      </c>
      <c r="R13" s="19">
        <f t="shared" si="30"/>
        <v>739.47568120000005</v>
      </c>
      <c r="S13" s="19">
        <f t="shared" si="31"/>
        <v>707.52798120000011</v>
      </c>
      <c r="T13" s="19">
        <f t="shared" si="32"/>
        <v>699.50524659999996</v>
      </c>
      <c r="U13" s="19">
        <f t="shared" si="33"/>
        <v>745.51074119999998</v>
      </c>
      <c r="V13" s="19">
        <f t="shared" si="34"/>
        <v>759.52639120000003</v>
      </c>
      <c r="W13" s="42">
        <f t="shared" si="35"/>
        <v>735.48082420000003</v>
      </c>
      <c r="Y13" s="58"/>
      <c r="Z13" s="58"/>
    </row>
    <row r="14" spans="1:26" x14ac:dyDescent="0.25">
      <c r="A14" s="18" t="s">
        <v>261</v>
      </c>
      <c r="B14" s="17" t="str">
        <f t="shared" si="19"/>
        <v>MGDG 30:0</v>
      </c>
      <c r="C14" s="1" t="str">
        <f t="shared" si="20"/>
        <v>30</v>
      </c>
      <c r="D14" s="1" t="str">
        <f t="shared" si="21"/>
        <v>0</v>
      </c>
      <c r="E14" s="17">
        <f t="shared" si="22"/>
        <v>39</v>
      </c>
      <c r="F14" s="17">
        <f t="shared" si="23"/>
        <v>74</v>
      </c>
      <c r="G14" s="17">
        <v>0</v>
      </c>
      <c r="H14" s="17">
        <f t="shared" si="24"/>
        <v>10</v>
      </c>
      <c r="I14" s="17">
        <v>0</v>
      </c>
      <c r="L14" s="19" t="str">
        <f t="shared" si="25"/>
        <v>C39H74O10</v>
      </c>
      <c r="M14" s="19">
        <f t="shared" si="8"/>
        <v>702.52817040000002</v>
      </c>
      <c r="N14" s="19">
        <f t="shared" si="26"/>
        <v>703.5354450000001</v>
      </c>
      <c r="O14" s="19">
        <f t="shared" si="27"/>
        <v>685.52432500000009</v>
      </c>
      <c r="P14" s="19">
        <f t="shared" si="28"/>
        <v>720.56199040000001</v>
      </c>
      <c r="Q14" s="19">
        <f t="shared" si="29"/>
        <v>725.51739040000007</v>
      </c>
      <c r="R14" s="19">
        <f t="shared" si="30"/>
        <v>741.49133040000004</v>
      </c>
      <c r="S14" s="19">
        <f t="shared" si="31"/>
        <v>709.5436304000001</v>
      </c>
      <c r="T14" s="19">
        <f t="shared" si="32"/>
        <v>701.52089579999995</v>
      </c>
      <c r="U14" s="19">
        <f t="shared" si="33"/>
        <v>747.52639039999997</v>
      </c>
      <c r="V14" s="19">
        <f t="shared" si="34"/>
        <v>761.54204040000002</v>
      </c>
      <c r="W14" s="42">
        <f t="shared" si="35"/>
        <v>737.49647340000001</v>
      </c>
      <c r="Y14" s="58"/>
      <c r="Z14" s="58"/>
    </row>
    <row r="15" spans="1:26" x14ac:dyDescent="0.25">
      <c r="A15" s="18" t="s">
        <v>685</v>
      </c>
      <c r="B15" s="17" t="str">
        <f t="shared" si="19"/>
        <v>MGDG 31:2</v>
      </c>
      <c r="C15" s="1" t="str">
        <f t="shared" si="20"/>
        <v>31</v>
      </c>
      <c r="D15" s="1" t="str">
        <f t="shared" si="21"/>
        <v>2</v>
      </c>
      <c r="E15" s="17">
        <f t="shared" si="22"/>
        <v>40</v>
      </c>
      <c r="F15" s="17">
        <f t="shared" si="23"/>
        <v>72</v>
      </c>
      <c r="G15" s="17">
        <v>0</v>
      </c>
      <c r="H15" s="17">
        <f t="shared" si="24"/>
        <v>10</v>
      </c>
      <c r="I15" s="17">
        <v>0</v>
      </c>
      <c r="L15" s="19" t="str">
        <f t="shared" si="25"/>
        <v>C40H72O10</v>
      </c>
      <c r="M15" s="19">
        <f t="shared" si="8"/>
        <v>712.51252120000004</v>
      </c>
      <c r="N15" s="19">
        <f t="shared" si="26"/>
        <v>713.51979580000011</v>
      </c>
      <c r="O15" s="19">
        <f t="shared" si="27"/>
        <v>695.50867580000011</v>
      </c>
      <c r="P15" s="19">
        <f t="shared" si="28"/>
        <v>730.54634120000003</v>
      </c>
      <c r="Q15" s="19">
        <f t="shared" si="29"/>
        <v>735.50174120000008</v>
      </c>
      <c r="R15" s="19">
        <f t="shared" si="30"/>
        <v>751.47568120000005</v>
      </c>
      <c r="S15" s="19">
        <f t="shared" si="31"/>
        <v>719.52798120000011</v>
      </c>
      <c r="T15" s="19">
        <f t="shared" si="32"/>
        <v>711.50524659999996</v>
      </c>
      <c r="U15" s="19">
        <f t="shared" si="33"/>
        <v>757.51074119999998</v>
      </c>
      <c r="V15" s="19">
        <f t="shared" si="34"/>
        <v>771.52639120000003</v>
      </c>
      <c r="W15" s="42">
        <f t="shared" si="35"/>
        <v>747.48082420000003</v>
      </c>
      <c r="Y15" s="58"/>
      <c r="Z15" s="58"/>
    </row>
    <row r="16" spans="1:26" x14ac:dyDescent="0.25">
      <c r="A16" s="18" t="s">
        <v>686</v>
      </c>
      <c r="B16" s="17" t="str">
        <f t="shared" si="19"/>
        <v>MGDG 31:1</v>
      </c>
      <c r="C16" s="1" t="str">
        <f t="shared" si="20"/>
        <v>31</v>
      </c>
      <c r="D16" s="1" t="str">
        <f t="shared" si="21"/>
        <v>1</v>
      </c>
      <c r="E16" s="17">
        <f t="shared" si="22"/>
        <v>40</v>
      </c>
      <c r="F16" s="17">
        <f t="shared" si="23"/>
        <v>74</v>
      </c>
      <c r="G16" s="17">
        <v>0</v>
      </c>
      <c r="H16" s="17">
        <f t="shared" si="24"/>
        <v>10</v>
      </c>
      <c r="I16" s="17">
        <v>0</v>
      </c>
      <c r="L16" s="19" t="str">
        <f t="shared" si="25"/>
        <v>C40H74O10</v>
      </c>
      <c r="M16" s="19">
        <f t="shared" si="8"/>
        <v>714.52817040000002</v>
      </c>
      <c r="N16" s="19">
        <f t="shared" si="26"/>
        <v>715.5354450000001</v>
      </c>
      <c r="O16" s="19">
        <f t="shared" si="27"/>
        <v>697.52432500000009</v>
      </c>
      <c r="P16" s="19">
        <f t="shared" si="28"/>
        <v>732.56199040000001</v>
      </c>
      <c r="Q16" s="19">
        <f t="shared" si="29"/>
        <v>737.51739040000007</v>
      </c>
      <c r="R16" s="19">
        <f t="shared" si="30"/>
        <v>753.49133040000004</v>
      </c>
      <c r="S16" s="19">
        <f t="shared" si="31"/>
        <v>721.5436304000001</v>
      </c>
      <c r="T16" s="19">
        <f t="shared" si="32"/>
        <v>713.52089579999995</v>
      </c>
      <c r="U16" s="19">
        <f t="shared" si="33"/>
        <v>759.52639039999997</v>
      </c>
      <c r="V16" s="19">
        <f t="shared" si="34"/>
        <v>773.54204040000002</v>
      </c>
      <c r="W16" s="42">
        <f t="shared" si="35"/>
        <v>749.49647340000001</v>
      </c>
      <c r="Y16" s="58"/>
      <c r="Z16" s="58"/>
    </row>
    <row r="17" spans="1:26" x14ac:dyDescent="0.25">
      <c r="A17" s="18" t="s">
        <v>262</v>
      </c>
      <c r="B17" s="17" t="str">
        <f t="shared" si="19"/>
        <v>MGDG 31:0</v>
      </c>
      <c r="C17" s="1" t="str">
        <f t="shared" si="20"/>
        <v>31</v>
      </c>
      <c r="D17" s="1" t="str">
        <f t="shared" si="21"/>
        <v>0</v>
      </c>
      <c r="E17" s="17">
        <f t="shared" si="22"/>
        <v>40</v>
      </c>
      <c r="F17" s="17">
        <f t="shared" si="23"/>
        <v>76</v>
      </c>
      <c r="G17" s="17">
        <v>0</v>
      </c>
      <c r="H17" s="17">
        <f t="shared" si="24"/>
        <v>10</v>
      </c>
      <c r="I17" s="17">
        <v>0</v>
      </c>
      <c r="L17" s="19" t="str">
        <f t="shared" si="25"/>
        <v>C40H76O10</v>
      </c>
      <c r="M17" s="19">
        <f t="shared" si="8"/>
        <v>716.54381960000001</v>
      </c>
      <c r="N17" s="19">
        <f t="shared" si="26"/>
        <v>717.55109420000008</v>
      </c>
      <c r="O17" s="19">
        <f t="shared" si="27"/>
        <v>699.53997420000007</v>
      </c>
      <c r="P17" s="19">
        <f t="shared" si="28"/>
        <v>734.5776396</v>
      </c>
      <c r="Q17" s="19">
        <f t="shared" si="29"/>
        <v>739.53303960000005</v>
      </c>
      <c r="R17" s="19">
        <f t="shared" si="30"/>
        <v>755.50697960000002</v>
      </c>
      <c r="S17" s="19">
        <f t="shared" si="31"/>
        <v>723.55927960000008</v>
      </c>
      <c r="T17" s="19">
        <f t="shared" si="32"/>
        <v>715.53654499999993</v>
      </c>
      <c r="U17" s="19">
        <f t="shared" si="33"/>
        <v>761.54203959999995</v>
      </c>
      <c r="V17" s="19">
        <f t="shared" si="34"/>
        <v>775.5576896</v>
      </c>
      <c r="W17" s="42">
        <f t="shared" si="35"/>
        <v>751.5121226</v>
      </c>
      <c r="Y17" s="58"/>
      <c r="Z17" s="58"/>
    </row>
    <row r="18" spans="1:26" x14ac:dyDescent="0.25">
      <c r="A18" s="18" t="s">
        <v>631</v>
      </c>
      <c r="B18" s="17" t="str">
        <f t="shared" si="19"/>
        <v>MGDG 32:2</v>
      </c>
      <c r="C18" s="1" t="str">
        <f t="shared" si="20"/>
        <v>32</v>
      </c>
      <c r="D18" s="1" t="str">
        <f t="shared" si="21"/>
        <v>2</v>
      </c>
      <c r="E18" s="17">
        <f t="shared" si="22"/>
        <v>41</v>
      </c>
      <c r="F18" s="17">
        <f t="shared" si="23"/>
        <v>74</v>
      </c>
      <c r="G18" s="17">
        <v>0</v>
      </c>
      <c r="H18" s="17">
        <f t="shared" si="24"/>
        <v>10</v>
      </c>
      <c r="I18" s="17">
        <v>0</v>
      </c>
      <c r="L18" s="19" t="str">
        <f t="shared" si="25"/>
        <v>C41H74O10</v>
      </c>
      <c r="M18" s="19">
        <f t="shared" si="8"/>
        <v>726.52817040000002</v>
      </c>
      <c r="N18" s="19">
        <f t="shared" si="26"/>
        <v>727.5354450000001</v>
      </c>
      <c r="O18" s="19">
        <f t="shared" si="27"/>
        <v>709.52432500000009</v>
      </c>
      <c r="P18" s="19">
        <f t="shared" si="28"/>
        <v>744.56199040000001</v>
      </c>
      <c r="Q18" s="19">
        <f t="shared" si="29"/>
        <v>749.51739040000007</v>
      </c>
      <c r="R18" s="19">
        <f t="shared" si="30"/>
        <v>765.49133040000004</v>
      </c>
      <c r="S18" s="19">
        <f t="shared" si="31"/>
        <v>733.5436304000001</v>
      </c>
      <c r="T18" s="19">
        <f t="shared" si="32"/>
        <v>725.52089579999995</v>
      </c>
      <c r="U18" s="19">
        <f t="shared" si="33"/>
        <v>771.52639039999997</v>
      </c>
      <c r="V18" s="19">
        <f t="shared" si="34"/>
        <v>785.54204040000002</v>
      </c>
      <c r="W18" s="42">
        <f t="shared" si="35"/>
        <v>761.49647340000001</v>
      </c>
      <c r="Y18" s="58"/>
      <c r="Z18" s="58"/>
    </row>
    <row r="19" spans="1:26" x14ac:dyDescent="0.25">
      <c r="A19" s="18" t="s">
        <v>554</v>
      </c>
      <c r="B19" s="17" t="str">
        <f t="shared" si="19"/>
        <v>MGDG 32:1</v>
      </c>
      <c r="C19" s="1" t="str">
        <f t="shared" si="20"/>
        <v>32</v>
      </c>
      <c r="D19" s="1" t="str">
        <f t="shared" si="21"/>
        <v>1</v>
      </c>
      <c r="E19" s="17">
        <f t="shared" si="22"/>
        <v>41</v>
      </c>
      <c r="F19" s="17">
        <f t="shared" si="23"/>
        <v>76</v>
      </c>
      <c r="G19" s="17">
        <v>0</v>
      </c>
      <c r="H19" s="17">
        <f t="shared" si="24"/>
        <v>10</v>
      </c>
      <c r="I19" s="17">
        <v>0</v>
      </c>
      <c r="L19" s="19" t="str">
        <f t="shared" si="25"/>
        <v>C41H76O10</v>
      </c>
      <c r="M19" s="19">
        <f t="shared" si="8"/>
        <v>728.54381960000001</v>
      </c>
      <c r="N19" s="19">
        <f t="shared" si="26"/>
        <v>729.55109420000008</v>
      </c>
      <c r="O19" s="19">
        <f t="shared" si="27"/>
        <v>711.53997420000007</v>
      </c>
      <c r="P19" s="19">
        <f t="shared" si="28"/>
        <v>746.5776396</v>
      </c>
      <c r="Q19" s="19">
        <f t="shared" si="29"/>
        <v>751.53303960000005</v>
      </c>
      <c r="R19" s="19">
        <f t="shared" si="30"/>
        <v>767.50697960000002</v>
      </c>
      <c r="S19" s="19">
        <f t="shared" si="31"/>
        <v>735.55927960000008</v>
      </c>
      <c r="T19" s="19">
        <f t="shared" si="32"/>
        <v>727.53654499999993</v>
      </c>
      <c r="U19" s="19">
        <f t="shared" si="33"/>
        <v>773.54203959999995</v>
      </c>
      <c r="V19" s="19">
        <f t="shared" si="34"/>
        <v>787.5576896</v>
      </c>
      <c r="W19" s="42">
        <f t="shared" si="35"/>
        <v>763.5121226</v>
      </c>
      <c r="Y19" s="58"/>
      <c r="Z19" s="58"/>
    </row>
    <row r="20" spans="1:26" x14ac:dyDescent="0.25">
      <c r="A20" s="18" t="s">
        <v>263</v>
      </c>
      <c r="B20" s="17" t="str">
        <f t="shared" si="19"/>
        <v>MGDG 32:0</v>
      </c>
      <c r="C20" s="1" t="str">
        <f t="shared" si="20"/>
        <v>32</v>
      </c>
      <c r="D20" s="1" t="str">
        <f t="shared" si="21"/>
        <v>0</v>
      </c>
      <c r="E20" s="17">
        <f t="shared" si="22"/>
        <v>41</v>
      </c>
      <c r="F20" s="17">
        <f t="shared" si="23"/>
        <v>78</v>
      </c>
      <c r="G20" s="17">
        <v>0</v>
      </c>
      <c r="H20" s="17">
        <f t="shared" si="24"/>
        <v>10</v>
      </c>
      <c r="I20" s="17">
        <v>0</v>
      </c>
      <c r="L20" s="19" t="str">
        <f t="shared" si="25"/>
        <v>C41H78O10</v>
      </c>
      <c r="M20" s="19">
        <f t="shared" si="8"/>
        <v>730.55946879999999</v>
      </c>
      <c r="N20" s="19">
        <f t="shared" si="26"/>
        <v>731.56674340000006</v>
      </c>
      <c r="O20" s="19">
        <f t="shared" si="27"/>
        <v>713.55562340000006</v>
      </c>
      <c r="P20" s="19">
        <f t="shared" si="28"/>
        <v>748.59328879999998</v>
      </c>
      <c r="Q20" s="19">
        <f t="shared" si="29"/>
        <v>753.54868880000004</v>
      </c>
      <c r="R20" s="19">
        <f t="shared" si="30"/>
        <v>769.52262880000001</v>
      </c>
      <c r="S20" s="19">
        <f t="shared" si="31"/>
        <v>737.57492880000007</v>
      </c>
      <c r="T20" s="19">
        <f t="shared" si="32"/>
        <v>729.55219419999992</v>
      </c>
      <c r="U20" s="19">
        <f t="shared" si="33"/>
        <v>775.55768879999994</v>
      </c>
      <c r="V20" s="19">
        <f t="shared" si="34"/>
        <v>789.57333879999999</v>
      </c>
      <c r="W20" s="42">
        <f t="shared" si="35"/>
        <v>765.52777179999998</v>
      </c>
      <c r="Y20" s="58"/>
      <c r="Z20" s="58"/>
    </row>
    <row r="21" spans="1:26" x14ac:dyDescent="0.25">
      <c r="A21" s="17" t="s">
        <v>687</v>
      </c>
      <c r="B21" s="17" t="str">
        <f t="shared" si="19"/>
        <v>MGDG 33:2</v>
      </c>
      <c r="C21" s="1" t="str">
        <f t="shared" si="20"/>
        <v>33</v>
      </c>
      <c r="D21" s="1" t="str">
        <f t="shared" si="21"/>
        <v>2</v>
      </c>
      <c r="E21" s="17">
        <f t="shared" si="22"/>
        <v>42</v>
      </c>
      <c r="F21" s="17">
        <f t="shared" si="23"/>
        <v>76</v>
      </c>
      <c r="G21" s="17">
        <v>0</v>
      </c>
      <c r="H21" s="17">
        <f t="shared" si="24"/>
        <v>10</v>
      </c>
      <c r="I21" s="17">
        <v>0</v>
      </c>
      <c r="L21" s="19" t="str">
        <f t="shared" si="25"/>
        <v>C42H76O10</v>
      </c>
      <c r="M21" s="19">
        <f t="shared" si="8"/>
        <v>740.54381960000001</v>
      </c>
      <c r="N21" s="19">
        <f t="shared" si="26"/>
        <v>741.55109420000008</v>
      </c>
      <c r="O21" s="19">
        <f t="shared" si="27"/>
        <v>723.53997420000007</v>
      </c>
      <c r="P21" s="19">
        <f t="shared" si="28"/>
        <v>758.5776396</v>
      </c>
      <c r="Q21" s="19">
        <f t="shared" si="29"/>
        <v>763.53303960000005</v>
      </c>
      <c r="R21" s="19">
        <f t="shared" si="30"/>
        <v>779.50697960000002</v>
      </c>
      <c r="S21" s="19">
        <f t="shared" si="31"/>
        <v>747.55927960000008</v>
      </c>
      <c r="T21" s="19">
        <f t="shared" si="32"/>
        <v>739.53654499999993</v>
      </c>
      <c r="U21" s="19">
        <f t="shared" si="33"/>
        <v>785.54203959999995</v>
      </c>
      <c r="V21" s="19">
        <f t="shared" si="34"/>
        <v>799.5576896</v>
      </c>
      <c r="W21" s="42">
        <f t="shared" si="35"/>
        <v>775.5121226</v>
      </c>
      <c r="Y21" s="58"/>
      <c r="Z21" s="58"/>
    </row>
    <row r="22" spans="1:26" x14ac:dyDescent="0.25">
      <c r="A22" s="17" t="s">
        <v>651</v>
      </c>
      <c r="B22" s="17" t="str">
        <f t="shared" si="19"/>
        <v>MGDG 33:1</v>
      </c>
      <c r="C22" s="1" t="str">
        <f t="shared" si="20"/>
        <v>33</v>
      </c>
      <c r="D22" s="1" t="str">
        <f t="shared" si="21"/>
        <v>1</v>
      </c>
      <c r="E22" s="17">
        <f t="shared" si="22"/>
        <v>42</v>
      </c>
      <c r="F22" s="17">
        <f t="shared" si="23"/>
        <v>78</v>
      </c>
      <c r="G22" s="17">
        <v>0</v>
      </c>
      <c r="H22" s="17">
        <f t="shared" si="24"/>
        <v>10</v>
      </c>
      <c r="I22" s="17">
        <v>0</v>
      </c>
      <c r="L22" s="19" t="str">
        <f t="shared" si="25"/>
        <v>C42H78O10</v>
      </c>
      <c r="M22" s="19">
        <f t="shared" si="8"/>
        <v>742.55946879999999</v>
      </c>
      <c r="N22" s="19">
        <f t="shared" si="26"/>
        <v>743.56674340000006</v>
      </c>
      <c r="O22" s="19">
        <f t="shared" si="27"/>
        <v>725.55562340000006</v>
      </c>
      <c r="P22" s="19">
        <f t="shared" si="28"/>
        <v>760.59328879999998</v>
      </c>
      <c r="Q22" s="19">
        <f t="shared" si="29"/>
        <v>765.54868880000004</v>
      </c>
      <c r="R22" s="19">
        <f t="shared" si="30"/>
        <v>781.52262880000001</v>
      </c>
      <c r="S22" s="19">
        <f t="shared" si="31"/>
        <v>749.57492880000007</v>
      </c>
      <c r="T22" s="19">
        <f t="shared" si="32"/>
        <v>741.55219419999992</v>
      </c>
      <c r="U22" s="19">
        <f t="shared" si="33"/>
        <v>787.55768879999994</v>
      </c>
      <c r="V22" s="19">
        <f t="shared" si="34"/>
        <v>801.57333879999999</v>
      </c>
      <c r="W22" s="42">
        <f t="shared" si="35"/>
        <v>777.52777179999998</v>
      </c>
      <c r="Y22" s="58"/>
      <c r="Z22" s="58"/>
    </row>
    <row r="23" spans="1:26" x14ac:dyDescent="0.25">
      <c r="A23" s="17" t="s">
        <v>264</v>
      </c>
      <c r="B23" s="17" t="str">
        <f t="shared" si="19"/>
        <v>MGDG 33:0</v>
      </c>
      <c r="C23" s="1" t="str">
        <f t="shared" si="20"/>
        <v>33</v>
      </c>
      <c r="D23" s="1" t="str">
        <f t="shared" si="21"/>
        <v>0</v>
      </c>
      <c r="E23" s="17">
        <f t="shared" si="22"/>
        <v>42</v>
      </c>
      <c r="F23" s="17">
        <f t="shared" si="23"/>
        <v>80</v>
      </c>
      <c r="G23" s="17">
        <v>0</v>
      </c>
      <c r="H23" s="17">
        <f t="shared" si="24"/>
        <v>10</v>
      </c>
      <c r="I23" s="17">
        <v>0</v>
      </c>
      <c r="L23" s="19" t="str">
        <f t="shared" si="25"/>
        <v>C42H80O10</v>
      </c>
      <c r="M23" s="19">
        <f t="shared" si="8"/>
        <v>744.57511800000009</v>
      </c>
      <c r="N23" s="19">
        <f t="shared" si="26"/>
        <v>745.58239260000016</v>
      </c>
      <c r="O23" s="19">
        <f t="shared" si="27"/>
        <v>727.57127260000016</v>
      </c>
      <c r="P23" s="19">
        <f t="shared" si="28"/>
        <v>762.60893800000008</v>
      </c>
      <c r="Q23" s="19">
        <f t="shared" si="29"/>
        <v>767.56433800000013</v>
      </c>
      <c r="R23" s="19">
        <f t="shared" si="30"/>
        <v>783.5382780000001</v>
      </c>
      <c r="S23" s="19">
        <f t="shared" si="31"/>
        <v>751.59057800000016</v>
      </c>
      <c r="T23" s="19">
        <f t="shared" si="32"/>
        <v>743.56784340000002</v>
      </c>
      <c r="U23" s="19">
        <f t="shared" si="33"/>
        <v>789.57333800000004</v>
      </c>
      <c r="V23" s="19">
        <f t="shared" si="34"/>
        <v>803.58898800000009</v>
      </c>
      <c r="W23" s="42">
        <f t="shared" si="35"/>
        <v>779.54342100000008</v>
      </c>
      <c r="Y23" s="58"/>
      <c r="Z23" s="58"/>
    </row>
    <row r="24" spans="1:26" x14ac:dyDescent="0.25">
      <c r="A24" s="17" t="s">
        <v>632</v>
      </c>
      <c r="B24" s="17" t="str">
        <f t="shared" si="19"/>
        <v>MGDG 34:2</v>
      </c>
      <c r="C24" s="1" t="str">
        <f t="shared" si="20"/>
        <v>34</v>
      </c>
      <c r="D24" s="1" t="str">
        <f t="shared" si="21"/>
        <v>2</v>
      </c>
      <c r="E24" s="17">
        <f t="shared" si="22"/>
        <v>43</v>
      </c>
      <c r="F24" s="17">
        <f t="shared" si="23"/>
        <v>78</v>
      </c>
      <c r="G24" s="17">
        <v>0</v>
      </c>
      <c r="H24" s="17">
        <f t="shared" si="24"/>
        <v>10</v>
      </c>
      <c r="I24" s="17">
        <v>0</v>
      </c>
      <c r="L24" s="19" t="str">
        <f t="shared" si="25"/>
        <v>C43H78O10</v>
      </c>
      <c r="M24" s="19">
        <f t="shared" si="8"/>
        <v>754.55946879999999</v>
      </c>
      <c r="N24" s="19">
        <f t="shared" si="26"/>
        <v>755.56674340000006</v>
      </c>
      <c r="O24" s="19">
        <f t="shared" si="27"/>
        <v>737.55562340000006</v>
      </c>
      <c r="P24" s="19">
        <f t="shared" si="28"/>
        <v>772.59328879999998</v>
      </c>
      <c r="Q24" s="19">
        <f t="shared" si="29"/>
        <v>777.54868880000004</v>
      </c>
      <c r="R24" s="19">
        <f t="shared" si="30"/>
        <v>793.52262880000001</v>
      </c>
      <c r="S24" s="19">
        <f t="shared" si="31"/>
        <v>761.57492880000007</v>
      </c>
      <c r="T24" s="19">
        <f t="shared" si="32"/>
        <v>753.55219419999992</v>
      </c>
      <c r="U24" s="19">
        <f t="shared" si="33"/>
        <v>799.55768879999994</v>
      </c>
      <c r="V24" s="19">
        <f t="shared" si="34"/>
        <v>813.57333879999999</v>
      </c>
      <c r="W24" s="42">
        <f t="shared" si="35"/>
        <v>789.52777179999998</v>
      </c>
      <c r="Y24" s="58"/>
      <c r="Z24" s="58"/>
    </row>
    <row r="25" spans="1:26" x14ac:dyDescent="0.25">
      <c r="A25" s="17" t="s">
        <v>633</v>
      </c>
      <c r="B25" s="17" t="str">
        <f t="shared" si="19"/>
        <v>MGDG 34:1</v>
      </c>
      <c r="C25" s="1" t="str">
        <f t="shared" si="20"/>
        <v>34</v>
      </c>
      <c r="D25" s="1" t="str">
        <f t="shared" si="21"/>
        <v>1</v>
      </c>
      <c r="E25" s="17">
        <f t="shared" si="22"/>
        <v>43</v>
      </c>
      <c r="F25" s="17">
        <f t="shared" si="23"/>
        <v>80</v>
      </c>
      <c r="G25" s="17">
        <v>0</v>
      </c>
      <c r="H25" s="17">
        <f t="shared" si="24"/>
        <v>10</v>
      </c>
      <c r="I25" s="17">
        <v>0</v>
      </c>
      <c r="L25" s="19" t="str">
        <f t="shared" si="25"/>
        <v>C43H80O10</v>
      </c>
      <c r="M25" s="19">
        <f t="shared" si="8"/>
        <v>756.57511800000009</v>
      </c>
      <c r="N25" s="19">
        <f t="shared" si="26"/>
        <v>757.58239260000016</v>
      </c>
      <c r="O25" s="19">
        <f t="shared" si="27"/>
        <v>739.57127260000016</v>
      </c>
      <c r="P25" s="19">
        <f t="shared" si="28"/>
        <v>774.60893800000008</v>
      </c>
      <c r="Q25" s="19">
        <f t="shared" si="29"/>
        <v>779.56433800000013</v>
      </c>
      <c r="R25" s="19">
        <f t="shared" si="30"/>
        <v>795.5382780000001</v>
      </c>
      <c r="S25" s="19">
        <f t="shared" si="31"/>
        <v>763.59057800000016</v>
      </c>
      <c r="T25" s="19">
        <f t="shared" si="32"/>
        <v>755.56784340000002</v>
      </c>
      <c r="U25" s="19">
        <f t="shared" si="33"/>
        <v>801.57333800000004</v>
      </c>
      <c r="V25" s="19">
        <f t="shared" si="34"/>
        <v>815.58898800000009</v>
      </c>
      <c r="W25" s="42">
        <f t="shared" si="35"/>
        <v>791.54342100000008</v>
      </c>
      <c r="Y25" s="58"/>
      <c r="Z25" s="58"/>
    </row>
    <row r="26" spans="1:26" x14ac:dyDescent="0.25">
      <c r="A26" s="17" t="s">
        <v>265</v>
      </c>
      <c r="B26" s="17" t="str">
        <f t="shared" si="19"/>
        <v>MGDG 34:0</v>
      </c>
      <c r="C26" s="1" t="str">
        <f t="shared" si="20"/>
        <v>34</v>
      </c>
      <c r="D26" s="1" t="str">
        <f t="shared" si="21"/>
        <v>0</v>
      </c>
      <c r="E26" s="17">
        <f t="shared" si="22"/>
        <v>43</v>
      </c>
      <c r="F26" s="17">
        <f t="shared" si="23"/>
        <v>82</v>
      </c>
      <c r="G26" s="17">
        <v>0</v>
      </c>
      <c r="H26" s="17">
        <f t="shared" si="24"/>
        <v>10</v>
      </c>
      <c r="I26" s="17">
        <v>0</v>
      </c>
      <c r="L26" s="19" t="str">
        <f t="shared" si="25"/>
        <v>C43H82O10</v>
      </c>
      <c r="M26" s="19">
        <f t="shared" si="8"/>
        <v>758.59076720000007</v>
      </c>
      <c r="N26" s="19">
        <f t="shared" si="26"/>
        <v>759.59804180000015</v>
      </c>
      <c r="O26" s="19">
        <f t="shared" si="27"/>
        <v>741.58692180000014</v>
      </c>
      <c r="P26" s="19">
        <f t="shared" si="28"/>
        <v>776.62458720000006</v>
      </c>
      <c r="Q26" s="19">
        <f t="shared" si="29"/>
        <v>781.57998720000012</v>
      </c>
      <c r="R26" s="19">
        <f t="shared" si="30"/>
        <v>797.55392720000009</v>
      </c>
      <c r="S26" s="19">
        <f t="shared" si="31"/>
        <v>765.60622720000015</v>
      </c>
      <c r="T26" s="19">
        <f t="shared" si="32"/>
        <v>757.5834926</v>
      </c>
      <c r="U26" s="19">
        <f t="shared" si="33"/>
        <v>803.58898720000002</v>
      </c>
      <c r="V26" s="19">
        <f t="shared" si="34"/>
        <v>817.60463720000007</v>
      </c>
      <c r="W26" s="42">
        <f t="shared" si="35"/>
        <v>793.55907020000006</v>
      </c>
      <c r="Y26" s="58"/>
      <c r="Z26" s="58"/>
    </row>
    <row r="27" spans="1:26" x14ac:dyDescent="0.25">
      <c r="A27" s="17" t="s">
        <v>634</v>
      </c>
      <c r="B27" s="17" t="str">
        <f t="shared" si="19"/>
        <v>MGDG 35:2</v>
      </c>
      <c r="C27" s="1" t="str">
        <f t="shared" si="20"/>
        <v>35</v>
      </c>
      <c r="D27" s="1" t="str">
        <f t="shared" si="21"/>
        <v>2</v>
      </c>
      <c r="E27" s="17">
        <f t="shared" si="22"/>
        <v>44</v>
      </c>
      <c r="F27" s="17">
        <f t="shared" si="23"/>
        <v>80</v>
      </c>
      <c r="G27" s="17">
        <v>0</v>
      </c>
      <c r="H27" s="17">
        <f t="shared" si="24"/>
        <v>10</v>
      </c>
      <c r="I27" s="17">
        <v>0</v>
      </c>
      <c r="L27" s="19" t="str">
        <f t="shared" si="25"/>
        <v>C44H80O10</v>
      </c>
      <c r="M27" s="19">
        <f t="shared" si="8"/>
        <v>768.57511800000009</v>
      </c>
      <c r="N27" s="19">
        <f t="shared" si="26"/>
        <v>769.58239260000016</v>
      </c>
      <c r="O27" s="19">
        <f t="shared" si="27"/>
        <v>751.57127260000016</v>
      </c>
      <c r="P27" s="19">
        <f t="shared" si="28"/>
        <v>786.60893800000008</v>
      </c>
      <c r="Q27" s="19">
        <f t="shared" si="29"/>
        <v>791.56433800000013</v>
      </c>
      <c r="R27" s="19">
        <f t="shared" si="30"/>
        <v>807.5382780000001</v>
      </c>
      <c r="S27" s="19">
        <f t="shared" si="31"/>
        <v>775.59057800000016</v>
      </c>
      <c r="T27" s="19">
        <f t="shared" si="32"/>
        <v>767.56784340000002</v>
      </c>
      <c r="U27" s="19">
        <f t="shared" si="33"/>
        <v>813.57333800000004</v>
      </c>
      <c r="V27" s="19">
        <f t="shared" si="34"/>
        <v>827.58898800000009</v>
      </c>
      <c r="W27" s="42">
        <f t="shared" si="35"/>
        <v>803.54342100000008</v>
      </c>
      <c r="Y27" s="58"/>
      <c r="Z27" s="58"/>
    </row>
    <row r="28" spans="1:26" x14ac:dyDescent="0.25">
      <c r="A28" s="17" t="s">
        <v>635</v>
      </c>
      <c r="B28" s="17" t="str">
        <f t="shared" si="19"/>
        <v>MGDG 35:1</v>
      </c>
      <c r="C28" s="1" t="str">
        <f t="shared" si="20"/>
        <v>35</v>
      </c>
      <c r="D28" s="1" t="str">
        <f t="shared" si="21"/>
        <v>1</v>
      </c>
      <c r="E28" s="17">
        <f t="shared" si="22"/>
        <v>44</v>
      </c>
      <c r="F28" s="17">
        <f t="shared" si="23"/>
        <v>82</v>
      </c>
      <c r="G28" s="17">
        <v>0</v>
      </c>
      <c r="H28" s="17">
        <f t="shared" si="24"/>
        <v>10</v>
      </c>
      <c r="I28" s="17">
        <v>0</v>
      </c>
      <c r="L28" s="19" t="str">
        <f t="shared" si="25"/>
        <v>C44H82O10</v>
      </c>
      <c r="M28" s="19">
        <f t="shared" si="8"/>
        <v>770.59076720000007</v>
      </c>
      <c r="N28" s="19">
        <f t="shared" si="26"/>
        <v>771.59804180000015</v>
      </c>
      <c r="O28" s="19">
        <f t="shared" si="27"/>
        <v>753.58692180000014</v>
      </c>
      <c r="P28" s="19">
        <f t="shared" si="28"/>
        <v>788.62458720000006</v>
      </c>
      <c r="Q28" s="19">
        <f t="shared" si="29"/>
        <v>793.57998720000012</v>
      </c>
      <c r="R28" s="19">
        <f t="shared" si="30"/>
        <v>809.55392720000009</v>
      </c>
      <c r="S28" s="19">
        <f t="shared" si="31"/>
        <v>777.60622720000015</v>
      </c>
      <c r="T28" s="19">
        <f t="shared" si="32"/>
        <v>769.5834926</v>
      </c>
      <c r="U28" s="19">
        <f t="shared" si="33"/>
        <v>815.58898720000002</v>
      </c>
      <c r="V28" s="19">
        <f t="shared" si="34"/>
        <v>829.60463720000007</v>
      </c>
      <c r="W28" s="42">
        <f t="shared" si="35"/>
        <v>805.55907020000006</v>
      </c>
      <c r="Y28" s="58"/>
      <c r="Z28" s="58"/>
    </row>
    <row r="29" spans="1:26" x14ac:dyDescent="0.25">
      <c r="A29" s="17" t="s">
        <v>266</v>
      </c>
      <c r="B29" s="17" t="str">
        <f t="shared" si="19"/>
        <v>MGDG 35:0</v>
      </c>
      <c r="C29" s="1" t="str">
        <f t="shared" si="20"/>
        <v>35</v>
      </c>
      <c r="D29" s="1" t="str">
        <f t="shared" si="21"/>
        <v>0</v>
      </c>
      <c r="E29" s="17">
        <f t="shared" si="22"/>
        <v>44</v>
      </c>
      <c r="F29" s="17">
        <f t="shared" si="23"/>
        <v>84</v>
      </c>
      <c r="G29" s="17">
        <v>0</v>
      </c>
      <c r="H29" s="17">
        <f t="shared" si="24"/>
        <v>10</v>
      </c>
      <c r="I29" s="17">
        <v>0</v>
      </c>
      <c r="L29" s="19" t="str">
        <f t="shared" si="25"/>
        <v>C44H84O10</v>
      </c>
      <c r="M29" s="19">
        <f t="shared" si="8"/>
        <v>772.60641640000006</v>
      </c>
      <c r="N29" s="19">
        <f t="shared" si="26"/>
        <v>773.61369100000013</v>
      </c>
      <c r="O29" s="19">
        <f t="shared" si="27"/>
        <v>755.60257100000013</v>
      </c>
      <c r="P29" s="19">
        <f t="shared" si="28"/>
        <v>790.64023640000005</v>
      </c>
      <c r="Q29" s="19">
        <f t="shared" si="29"/>
        <v>795.5956364000001</v>
      </c>
      <c r="R29" s="19">
        <f t="shared" si="30"/>
        <v>811.56957640000007</v>
      </c>
      <c r="S29" s="19">
        <f t="shared" si="31"/>
        <v>779.62187640000013</v>
      </c>
      <c r="T29" s="19">
        <f t="shared" si="32"/>
        <v>771.59914179999998</v>
      </c>
      <c r="U29" s="19">
        <f t="shared" si="33"/>
        <v>817.6046364</v>
      </c>
      <c r="V29" s="19">
        <f t="shared" si="34"/>
        <v>831.62028640000005</v>
      </c>
      <c r="W29" s="42">
        <f t="shared" si="35"/>
        <v>807.57471940000005</v>
      </c>
      <c r="Y29" s="58"/>
      <c r="Z29" s="58"/>
    </row>
    <row r="30" spans="1:26" x14ac:dyDescent="0.25">
      <c r="A30" s="17" t="s">
        <v>636</v>
      </c>
      <c r="B30" s="17" t="str">
        <f t="shared" si="19"/>
        <v>MGDG 36:2</v>
      </c>
      <c r="C30" s="1" t="str">
        <f t="shared" si="20"/>
        <v>36</v>
      </c>
      <c r="D30" s="1" t="str">
        <f t="shared" si="21"/>
        <v>2</v>
      </c>
      <c r="E30" s="17">
        <f t="shared" si="22"/>
        <v>45</v>
      </c>
      <c r="F30" s="17">
        <f t="shared" si="23"/>
        <v>82</v>
      </c>
      <c r="G30" s="17">
        <v>0</v>
      </c>
      <c r="H30" s="17">
        <f t="shared" si="24"/>
        <v>10</v>
      </c>
      <c r="I30" s="17">
        <v>0</v>
      </c>
      <c r="L30" s="19" t="str">
        <f t="shared" si="25"/>
        <v>C45H82O10</v>
      </c>
      <c r="M30" s="19">
        <f t="shared" si="8"/>
        <v>782.59076720000007</v>
      </c>
      <c r="N30" s="19">
        <f t="shared" si="26"/>
        <v>783.59804180000015</v>
      </c>
      <c r="O30" s="19">
        <f t="shared" si="27"/>
        <v>765.58692180000014</v>
      </c>
      <c r="P30" s="19">
        <f t="shared" si="28"/>
        <v>800.62458720000006</v>
      </c>
      <c r="Q30" s="19">
        <f t="shared" si="29"/>
        <v>805.57998720000012</v>
      </c>
      <c r="R30" s="19">
        <f t="shared" si="30"/>
        <v>821.55392720000009</v>
      </c>
      <c r="S30" s="19">
        <f t="shared" si="31"/>
        <v>789.60622720000015</v>
      </c>
      <c r="T30" s="19">
        <f t="shared" si="32"/>
        <v>781.5834926</v>
      </c>
      <c r="U30" s="19">
        <f t="shared" si="33"/>
        <v>827.58898720000002</v>
      </c>
      <c r="V30" s="19">
        <f t="shared" si="34"/>
        <v>841.60463720000007</v>
      </c>
      <c r="W30" s="42">
        <f t="shared" si="35"/>
        <v>817.55907020000006</v>
      </c>
      <c r="Y30" s="58"/>
      <c r="Z30" s="58"/>
    </row>
    <row r="31" spans="1:26" x14ac:dyDescent="0.25">
      <c r="A31" s="17" t="s">
        <v>637</v>
      </c>
      <c r="B31" s="17" t="str">
        <f t="shared" si="19"/>
        <v>MGDG 36:1</v>
      </c>
      <c r="C31" s="1" t="str">
        <f t="shared" si="20"/>
        <v>36</v>
      </c>
      <c r="D31" s="1" t="str">
        <f t="shared" si="21"/>
        <v>1</v>
      </c>
      <c r="E31" s="17">
        <f t="shared" si="22"/>
        <v>45</v>
      </c>
      <c r="F31" s="17">
        <f t="shared" si="23"/>
        <v>84</v>
      </c>
      <c r="G31" s="17">
        <v>0</v>
      </c>
      <c r="H31" s="17">
        <f t="shared" si="24"/>
        <v>10</v>
      </c>
      <c r="I31" s="17">
        <v>0</v>
      </c>
      <c r="L31" s="19" t="str">
        <f t="shared" si="25"/>
        <v>C45H84O10</v>
      </c>
      <c r="M31" s="19">
        <f t="shared" si="8"/>
        <v>784.60641640000006</v>
      </c>
      <c r="N31" s="19">
        <f t="shared" si="26"/>
        <v>785.61369100000013</v>
      </c>
      <c r="O31" s="19">
        <f t="shared" si="27"/>
        <v>767.60257100000013</v>
      </c>
      <c r="P31" s="19">
        <f t="shared" si="28"/>
        <v>802.64023640000005</v>
      </c>
      <c r="Q31" s="19">
        <f t="shared" si="29"/>
        <v>807.5956364000001</v>
      </c>
      <c r="R31" s="19">
        <f t="shared" si="30"/>
        <v>823.56957640000007</v>
      </c>
      <c r="S31" s="19">
        <f t="shared" si="31"/>
        <v>791.62187640000013</v>
      </c>
      <c r="T31" s="19">
        <f t="shared" si="32"/>
        <v>783.59914179999998</v>
      </c>
      <c r="U31" s="19">
        <f t="shared" si="33"/>
        <v>829.6046364</v>
      </c>
      <c r="V31" s="19">
        <f t="shared" si="34"/>
        <v>843.62028640000005</v>
      </c>
      <c r="W31" s="42">
        <f t="shared" si="35"/>
        <v>819.57471940000005</v>
      </c>
      <c r="Y31" s="58"/>
      <c r="Z31" s="58"/>
    </row>
    <row r="32" spans="1:26" x14ac:dyDescent="0.25">
      <c r="A32" s="17" t="s">
        <v>267</v>
      </c>
      <c r="B32" s="17" t="str">
        <f t="shared" si="19"/>
        <v>MGDG 36:0</v>
      </c>
      <c r="C32" s="1" t="str">
        <f t="shared" si="20"/>
        <v>36</v>
      </c>
      <c r="D32" s="1" t="str">
        <f t="shared" si="21"/>
        <v>0</v>
      </c>
      <c r="E32" s="17">
        <f t="shared" si="22"/>
        <v>45</v>
      </c>
      <c r="F32" s="17">
        <f t="shared" si="23"/>
        <v>86</v>
      </c>
      <c r="G32" s="17">
        <v>0</v>
      </c>
      <c r="H32" s="17">
        <f t="shared" si="24"/>
        <v>10</v>
      </c>
      <c r="I32" s="17">
        <v>0</v>
      </c>
      <c r="L32" s="19" t="str">
        <f t="shared" si="25"/>
        <v>C45H86O10</v>
      </c>
      <c r="M32" s="19">
        <f t="shared" si="8"/>
        <v>786.62206560000004</v>
      </c>
      <c r="N32" s="19">
        <f t="shared" si="26"/>
        <v>787.62934020000012</v>
      </c>
      <c r="O32" s="19">
        <f t="shared" si="27"/>
        <v>769.61822020000011</v>
      </c>
      <c r="P32" s="19">
        <f t="shared" si="28"/>
        <v>804.65588560000003</v>
      </c>
      <c r="Q32" s="19">
        <f t="shared" si="29"/>
        <v>809.61128560000009</v>
      </c>
      <c r="R32" s="19">
        <f t="shared" si="30"/>
        <v>825.58522560000006</v>
      </c>
      <c r="S32" s="19">
        <f t="shared" si="31"/>
        <v>793.63752560000012</v>
      </c>
      <c r="T32" s="19">
        <f t="shared" si="32"/>
        <v>785.61479099999997</v>
      </c>
      <c r="U32" s="19">
        <f t="shared" si="33"/>
        <v>831.62028559999999</v>
      </c>
      <c r="V32" s="19">
        <f t="shared" si="34"/>
        <v>845.63593560000004</v>
      </c>
      <c r="W32" s="42">
        <f t="shared" si="35"/>
        <v>821.59036860000003</v>
      </c>
      <c r="Y32" s="58"/>
      <c r="Z32" s="58"/>
    </row>
    <row r="33" spans="1:26" x14ac:dyDescent="0.25">
      <c r="A33" s="17" t="s">
        <v>638</v>
      </c>
      <c r="B33" s="17" t="str">
        <f t="shared" si="19"/>
        <v>MGDG 37:2</v>
      </c>
      <c r="C33" s="1" t="str">
        <f t="shared" si="20"/>
        <v>37</v>
      </c>
      <c r="D33" s="1" t="str">
        <f t="shared" si="21"/>
        <v>2</v>
      </c>
      <c r="E33" s="17">
        <f t="shared" si="22"/>
        <v>46</v>
      </c>
      <c r="F33" s="17">
        <f t="shared" si="23"/>
        <v>84</v>
      </c>
      <c r="G33" s="17">
        <v>0</v>
      </c>
      <c r="H33" s="17">
        <f t="shared" si="24"/>
        <v>10</v>
      </c>
      <c r="I33" s="17">
        <v>0</v>
      </c>
      <c r="L33" s="19" t="str">
        <f t="shared" si="25"/>
        <v>C46H84O10</v>
      </c>
      <c r="M33" s="19">
        <f t="shared" si="8"/>
        <v>796.60641640000006</v>
      </c>
      <c r="N33" s="19">
        <f t="shared" si="26"/>
        <v>797.61369100000013</v>
      </c>
      <c r="O33" s="19">
        <f t="shared" si="27"/>
        <v>779.60257100000013</v>
      </c>
      <c r="P33" s="19">
        <f t="shared" si="28"/>
        <v>814.64023640000005</v>
      </c>
      <c r="Q33" s="19">
        <f t="shared" si="29"/>
        <v>819.5956364000001</v>
      </c>
      <c r="R33" s="19">
        <f t="shared" si="30"/>
        <v>835.56957640000007</v>
      </c>
      <c r="S33" s="19">
        <f t="shared" si="31"/>
        <v>803.62187640000013</v>
      </c>
      <c r="T33" s="19">
        <f t="shared" si="32"/>
        <v>795.59914179999998</v>
      </c>
      <c r="U33" s="19">
        <f t="shared" si="33"/>
        <v>841.6046364</v>
      </c>
      <c r="V33" s="19">
        <f t="shared" si="34"/>
        <v>855.62028640000005</v>
      </c>
      <c r="W33" s="42">
        <f t="shared" si="35"/>
        <v>831.57471940000005</v>
      </c>
      <c r="Y33" s="58"/>
      <c r="Z33" s="58"/>
    </row>
    <row r="34" spans="1:26" x14ac:dyDescent="0.25">
      <c r="A34" s="17" t="s">
        <v>639</v>
      </c>
      <c r="B34" s="17" t="str">
        <f t="shared" si="19"/>
        <v>MGDG 37:1</v>
      </c>
      <c r="C34" s="1" t="str">
        <f t="shared" si="20"/>
        <v>37</v>
      </c>
      <c r="D34" s="1" t="str">
        <f t="shared" si="21"/>
        <v>1</v>
      </c>
      <c r="E34" s="17">
        <f t="shared" si="22"/>
        <v>46</v>
      </c>
      <c r="F34" s="17">
        <f t="shared" si="23"/>
        <v>86</v>
      </c>
      <c r="G34" s="17">
        <v>0</v>
      </c>
      <c r="H34" s="17">
        <f t="shared" si="24"/>
        <v>10</v>
      </c>
      <c r="I34" s="17">
        <v>0</v>
      </c>
      <c r="L34" s="19" t="str">
        <f t="shared" si="25"/>
        <v>C46H86O10</v>
      </c>
      <c r="M34" s="19">
        <f t="shared" si="8"/>
        <v>798.62206560000004</v>
      </c>
      <c r="N34" s="19">
        <f t="shared" si="26"/>
        <v>799.62934020000012</v>
      </c>
      <c r="O34" s="19">
        <f t="shared" si="27"/>
        <v>781.61822020000011</v>
      </c>
      <c r="P34" s="19">
        <f t="shared" si="28"/>
        <v>816.65588560000003</v>
      </c>
      <c r="Q34" s="19">
        <f t="shared" si="29"/>
        <v>821.61128560000009</v>
      </c>
      <c r="R34" s="19">
        <f t="shared" si="30"/>
        <v>837.58522560000006</v>
      </c>
      <c r="S34" s="19">
        <f t="shared" si="31"/>
        <v>805.63752560000012</v>
      </c>
      <c r="T34" s="19">
        <f t="shared" si="32"/>
        <v>797.61479099999997</v>
      </c>
      <c r="U34" s="19">
        <f t="shared" si="33"/>
        <v>843.62028559999999</v>
      </c>
      <c r="V34" s="19">
        <f t="shared" si="34"/>
        <v>857.63593560000004</v>
      </c>
      <c r="W34" s="42">
        <f t="shared" si="35"/>
        <v>833.59036860000003</v>
      </c>
      <c r="Y34" s="58"/>
      <c r="Z34" s="58"/>
    </row>
    <row r="35" spans="1:26" x14ac:dyDescent="0.25">
      <c r="A35" s="17" t="s">
        <v>268</v>
      </c>
      <c r="B35" s="17" t="str">
        <f t="shared" si="19"/>
        <v>MGDG 37:0</v>
      </c>
      <c r="C35" s="1" t="str">
        <f t="shared" si="20"/>
        <v>37</v>
      </c>
      <c r="D35" s="1" t="str">
        <f t="shared" si="21"/>
        <v>0</v>
      </c>
      <c r="E35" s="17">
        <f t="shared" si="22"/>
        <v>46</v>
      </c>
      <c r="F35" s="17">
        <f t="shared" si="23"/>
        <v>88</v>
      </c>
      <c r="G35" s="17">
        <v>0</v>
      </c>
      <c r="H35" s="17">
        <f t="shared" si="24"/>
        <v>10</v>
      </c>
      <c r="I35" s="17">
        <v>0</v>
      </c>
      <c r="L35" s="19" t="str">
        <f t="shared" si="25"/>
        <v>C46H88O10</v>
      </c>
      <c r="M35" s="19">
        <f t="shared" si="8"/>
        <v>800.63771480000003</v>
      </c>
      <c r="N35" s="19">
        <f t="shared" si="26"/>
        <v>801.6449894000001</v>
      </c>
      <c r="O35" s="19">
        <f t="shared" si="27"/>
        <v>783.63386940000009</v>
      </c>
      <c r="P35" s="19">
        <f t="shared" si="28"/>
        <v>818.67153480000002</v>
      </c>
      <c r="Q35" s="19">
        <f t="shared" si="29"/>
        <v>823.62693480000007</v>
      </c>
      <c r="R35" s="19">
        <f t="shared" si="30"/>
        <v>839.60087480000004</v>
      </c>
      <c r="S35" s="19">
        <f t="shared" si="31"/>
        <v>807.6531748000001</v>
      </c>
      <c r="T35" s="19">
        <f t="shared" si="32"/>
        <v>799.63044019999995</v>
      </c>
      <c r="U35" s="19">
        <f t="shared" si="33"/>
        <v>845.63593479999997</v>
      </c>
      <c r="V35" s="19">
        <f t="shared" si="34"/>
        <v>859.65158480000002</v>
      </c>
      <c r="W35" s="42">
        <f t="shared" si="35"/>
        <v>835.60601780000002</v>
      </c>
      <c r="Y35" s="58"/>
      <c r="Z35" s="58"/>
    </row>
    <row r="36" spans="1:26" x14ac:dyDescent="0.25">
      <c r="A36" s="17" t="s">
        <v>640</v>
      </c>
      <c r="B36" s="17" t="str">
        <f t="shared" si="19"/>
        <v>MGDG 38:2</v>
      </c>
      <c r="C36" s="1" t="str">
        <f t="shared" si="20"/>
        <v>38</v>
      </c>
      <c r="D36" s="1" t="str">
        <f t="shared" si="21"/>
        <v>2</v>
      </c>
      <c r="E36" s="17">
        <f t="shared" si="22"/>
        <v>47</v>
      </c>
      <c r="F36" s="17">
        <f t="shared" si="23"/>
        <v>86</v>
      </c>
      <c r="G36" s="17">
        <v>0</v>
      </c>
      <c r="H36" s="17">
        <f t="shared" si="24"/>
        <v>10</v>
      </c>
      <c r="I36" s="17">
        <v>0</v>
      </c>
      <c r="L36" s="19" t="str">
        <f t="shared" si="25"/>
        <v>C47H86O10</v>
      </c>
      <c r="M36" s="19">
        <f t="shared" si="8"/>
        <v>810.62206560000004</v>
      </c>
      <c r="N36" s="19">
        <f t="shared" si="26"/>
        <v>811.62934020000012</v>
      </c>
      <c r="O36" s="19">
        <f t="shared" si="27"/>
        <v>793.61822020000011</v>
      </c>
      <c r="P36" s="19">
        <f t="shared" si="28"/>
        <v>828.65588560000003</v>
      </c>
      <c r="Q36" s="19">
        <f t="shared" si="29"/>
        <v>833.61128560000009</v>
      </c>
      <c r="R36" s="19">
        <f t="shared" si="30"/>
        <v>849.58522560000006</v>
      </c>
      <c r="S36" s="19">
        <f t="shared" si="31"/>
        <v>817.63752560000012</v>
      </c>
      <c r="T36" s="19">
        <f t="shared" si="32"/>
        <v>809.61479099999997</v>
      </c>
      <c r="U36" s="19">
        <f t="shared" si="33"/>
        <v>855.62028559999999</v>
      </c>
      <c r="V36" s="19">
        <f t="shared" si="34"/>
        <v>869.63593560000004</v>
      </c>
      <c r="W36" s="42">
        <f t="shared" si="35"/>
        <v>845.59036860000003</v>
      </c>
      <c r="Y36" s="58"/>
      <c r="Z36" s="58"/>
    </row>
    <row r="37" spans="1:26" x14ac:dyDescent="0.25">
      <c r="A37" s="17" t="s">
        <v>641</v>
      </c>
      <c r="B37" s="17" t="str">
        <f t="shared" si="19"/>
        <v>MGDG 38:1</v>
      </c>
      <c r="C37" s="1" t="str">
        <f t="shared" si="20"/>
        <v>38</v>
      </c>
      <c r="D37" s="1" t="str">
        <f t="shared" si="21"/>
        <v>1</v>
      </c>
      <c r="E37" s="17">
        <f t="shared" si="22"/>
        <v>47</v>
      </c>
      <c r="F37" s="17">
        <f t="shared" si="23"/>
        <v>88</v>
      </c>
      <c r="G37" s="17">
        <v>0</v>
      </c>
      <c r="H37" s="17">
        <f t="shared" si="24"/>
        <v>10</v>
      </c>
      <c r="I37" s="17">
        <v>0</v>
      </c>
      <c r="L37" s="19" t="str">
        <f t="shared" si="25"/>
        <v>C47H88O10</v>
      </c>
      <c r="M37" s="19">
        <f t="shared" si="8"/>
        <v>812.63771480000003</v>
      </c>
      <c r="N37" s="19">
        <f t="shared" si="26"/>
        <v>813.6449894000001</v>
      </c>
      <c r="O37" s="19">
        <f t="shared" si="27"/>
        <v>795.63386940000009</v>
      </c>
      <c r="P37" s="19">
        <f t="shared" si="28"/>
        <v>830.67153480000002</v>
      </c>
      <c r="Q37" s="19">
        <f t="shared" si="29"/>
        <v>835.62693480000007</v>
      </c>
      <c r="R37" s="19">
        <f t="shared" si="30"/>
        <v>851.60087480000004</v>
      </c>
      <c r="S37" s="19">
        <f t="shared" si="31"/>
        <v>819.6531748000001</v>
      </c>
      <c r="T37" s="19">
        <f t="shared" si="32"/>
        <v>811.63044019999995</v>
      </c>
      <c r="U37" s="19">
        <f t="shared" si="33"/>
        <v>857.63593479999997</v>
      </c>
      <c r="V37" s="19">
        <f t="shared" si="34"/>
        <v>871.65158480000002</v>
      </c>
      <c r="W37" s="42">
        <f t="shared" si="35"/>
        <v>847.60601780000002</v>
      </c>
      <c r="Y37" s="58"/>
      <c r="Z37" s="58"/>
    </row>
    <row r="38" spans="1:26" x14ac:dyDescent="0.25">
      <c r="A38" s="17" t="s">
        <v>269</v>
      </c>
      <c r="B38" s="17" t="str">
        <f t="shared" si="19"/>
        <v>MGDG 38:0</v>
      </c>
      <c r="C38" s="1" t="str">
        <f t="shared" si="20"/>
        <v>38</v>
      </c>
      <c r="D38" s="1" t="str">
        <f t="shared" si="21"/>
        <v>0</v>
      </c>
      <c r="E38" s="17">
        <f t="shared" si="22"/>
        <v>47</v>
      </c>
      <c r="F38" s="17">
        <f t="shared" si="23"/>
        <v>90</v>
      </c>
      <c r="G38" s="17">
        <v>0</v>
      </c>
      <c r="H38" s="17">
        <f t="shared" si="24"/>
        <v>10</v>
      </c>
      <c r="I38" s="17">
        <v>0</v>
      </c>
      <c r="L38" s="19" t="str">
        <f t="shared" si="25"/>
        <v>C47H90O10</v>
      </c>
      <c r="M38" s="19">
        <f t="shared" si="8"/>
        <v>814.65336400000001</v>
      </c>
      <c r="N38" s="19">
        <f t="shared" si="26"/>
        <v>815.66063860000008</v>
      </c>
      <c r="O38" s="19">
        <f t="shared" si="27"/>
        <v>797.64951860000008</v>
      </c>
      <c r="P38" s="19">
        <f t="shared" si="28"/>
        <v>832.687184</v>
      </c>
      <c r="Q38" s="19">
        <f t="shared" si="29"/>
        <v>837.64258400000006</v>
      </c>
      <c r="R38" s="19">
        <f t="shared" si="30"/>
        <v>853.61652400000003</v>
      </c>
      <c r="S38" s="19">
        <f t="shared" si="31"/>
        <v>821.66882400000009</v>
      </c>
      <c r="T38" s="19">
        <f t="shared" si="32"/>
        <v>813.64608939999994</v>
      </c>
      <c r="U38" s="19">
        <f t="shared" si="33"/>
        <v>859.65158399999996</v>
      </c>
      <c r="V38" s="19">
        <f t="shared" si="34"/>
        <v>873.66723400000001</v>
      </c>
      <c r="W38" s="42">
        <f t="shared" si="35"/>
        <v>849.621667</v>
      </c>
      <c r="Y38" s="58"/>
      <c r="Z38" s="5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1"/>
  <dimension ref="A1:X69"/>
  <sheetViews>
    <sheetView showGridLines="0" zoomScaleNormal="100" workbookViewId="0">
      <pane xSplit="1" ySplit="2" topLeftCell="B3" activePane="bottomRight" state="frozen"/>
      <selection pane="topRight"/>
      <selection pane="bottomLeft"/>
      <selection pane="bottomRight" activeCell="M14" sqref="M14"/>
    </sheetView>
  </sheetViews>
  <sheetFormatPr defaultColWidth="9.140625" defaultRowHeight="15.75" x14ac:dyDescent="0.25"/>
  <cols>
    <col min="1" max="1" width="18.42578125" style="17" customWidth="1"/>
    <col min="2" max="2" width="0.42578125" style="17" customWidth="1"/>
    <col min="3" max="5" width="10.85546875" style="17" hidden="1" customWidth="1"/>
    <col min="6" max="6" width="12.140625" style="17" hidden="1" customWidth="1"/>
    <col min="7" max="7" width="9.5703125" style="17" hidden="1" customWidth="1"/>
    <col min="8" max="8" width="10.85546875" style="17" hidden="1" customWidth="1"/>
    <col min="9" max="9" width="9.5703125" style="17" hidden="1" customWidth="1"/>
    <col min="10" max="10" width="9.140625" style="17" hidden="1" customWidth="1"/>
    <col min="11" max="11" width="0.140625" style="17" hidden="1" customWidth="1"/>
    <col min="12" max="12" width="15.42578125" style="19" bestFit="1" customWidth="1"/>
    <col min="13" max="13" width="15.85546875" style="21" bestFit="1" customWidth="1"/>
    <col min="14" max="14" width="10.85546875" style="42" bestFit="1" customWidth="1"/>
    <col min="15" max="15" width="14.42578125" style="42" bestFit="1" customWidth="1"/>
    <col min="16" max="18" width="12.140625" style="42" bestFit="1" customWidth="1"/>
    <col min="19" max="20" width="10.85546875" style="42" bestFit="1" customWidth="1"/>
    <col min="21" max="21" width="13.5703125" style="42" bestFit="1" customWidth="1"/>
    <col min="22" max="22" width="16.5703125" style="42" bestFit="1" customWidth="1"/>
    <col min="23" max="23" width="12.140625" style="17" bestFit="1" customWidth="1"/>
    <col min="24" max="24" width="15.42578125" style="17" bestFit="1" customWidth="1"/>
  </cols>
  <sheetData>
    <row r="1" spans="1:24" s="28" customFormat="1" ht="15" customHeight="1" x14ac:dyDescent="0.25">
      <c r="A1" s="27" t="s">
        <v>59</v>
      </c>
      <c r="B1" s="27" t="s">
        <v>5</v>
      </c>
      <c r="C1" s="27"/>
      <c r="D1" s="27"/>
      <c r="E1" s="27" t="s">
        <v>0</v>
      </c>
      <c r="F1" s="27" t="s">
        <v>1</v>
      </c>
      <c r="G1" s="27" t="s">
        <v>8</v>
      </c>
      <c r="H1" s="27" t="s">
        <v>2</v>
      </c>
      <c r="I1" s="27" t="s">
        <v>9</v>
      </c>
      <c r="J1" s="27"/>
      <c r="K1" s="27"/>
      <c r="L1" s="29" t="s">
        <v>14</v>
      </c>
      <c r="M1" s="48" t="s">
        <v>3</v>
      </c>
      <c r="N1" s="40" t="s">
        <v>7</v>
      </c>
      <c r="O1" s="40" t="s">
        <v>13</v>
      </c>
      <c r="P1" s="40" t="s">
        <v>4</v>
      </c>
      <c r="Q1" s="40" t="s">
        <v>6</v>
      </c>
      <c r="R1" s="40" t="s">
        <v>29</v>
      </c>
      <c r="S1" s="40" t="s">
        <v>30</v>
      </c>
      <c r="T1" s="40" t="s">
        <v>12</v>
      </c>
      <c r="U1" s="40" t="s">
        <v>10</v>
      </c>
      <c r="V1" s="40" t="s">
        <v>11</v>
      </c>
      <c r="W1" s="27" t="s">
        <v>413</v>
      </c>
      <c r="X1" s="27"/>
    </row>
    <row r="2" spans="1:24" ht="15.75" hidden="1" customHeight="1" x14ac:dyDescent="0.25">
      <c r="A2" s="17" t="s">
        <v>326</v>
      </c>
      <c r="B2" s="17" t="str">
        <f t="shared" ref="B2:B40" si="0">IF(ISNUMBER(SEARCH("(",A2)),IF(ISNUMBER(SEARCH("/",A2)),CONCATENATE(MID(A2,1,4),"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2,1,4)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DGDG 34:0</v>
      </c>
      <c r="C2" s="1" t="str">
        <f t="shared" ref="C2:C40" si="1">MID(B2,6,FIND(":",B2)-FIND(" ",B2)-1)</f>
        <v>34</v>
      </c>
      <c r="D2" s="1" t="str">
        <f t="shared" ref="D2:D40" si="2">IF(ISNUMBER(SEARCH("__",B2)),MID(B2,FIND(":",B2)+1,FIND("__",B2)-FIND(":",B2)-1),MID(B2,FIND(":",B2)+1,7))</f>
        <v>0</v>
      </c>
      <c r="E2" s="17">
        <f t="shared" ref="E2:E40" si="3">C2+15</f>
        <v>49</v>
      </c>
      <c r="F2" s="17">
        <f t="shared" ref="F2:F40" si="4">2*E2-(2*D2)-4-((LEN(A2)-LEN(SUBSTITUTE(A2,"_O_","")))/LEN("_O_"))*2-((LEN(A2)-LEN(SUBSTITUTE(A2,"_CHO_","")))/LEN("_CHO_"))*2-((LEN(A2)-LEN(SUBSTITUTE(A2,"_COOH_","")))/LEN("_COOH_"))*2-2</f>
        <v>92</v>
      </c>
      <c r="G2" s="17">
        <v>0</v>
      </c>
      <c r="H2" s="17">
        <f t="shared" ref="H2:H40" si="5">10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+5</f>
        <v>15</v>
      </c>
      <c r="I2" s="17">
        <v>0</v>
      </c>
      <c r="L2" s="19" t="str">
        <f t="shared" ref="L2:L40" si="6">CONCATENATE("C",E2,"H",F2,"O",H2,)</f>
        <v>C49H92O15</v>
      </c>
      <c r="M2" s="21">
        <f t="shared" ref="M2" si="7">(E2*12)+(F2*1.0078246)+(G2*14.003074)+(H2*15.994915)+(I2*30.973763)</f>
        <v>920.64358819999995</v>
      </c>
      <c r="N2" s="42">
        <f t="shared" ref="N2:N40" si="8">M2+1.0078246-0.00055</f>
        <v>921.65086280000003</v>
      </c>
      <c r="O2" s="42">
        <f t="shared" ref="O2:O40" si="9">N2-18.01057-0.00055</f>
        <v>903.63974280000002</v>
      </c>
      <c r="P2" s="42">
        <f t="shared" ref="P2:P40" si="10">M2+18.03437-0.00055</f>
        <v>938.67740819999995</v>
      </c>
      <c r="Q2" s="42">
        <f t="shared" ref="Q2:Q40" si="11">M2+22.98977-0.00055</f>
        <v>943.6328082</v>
      </c>
      <c r="R2" s="42">
        <f t="shared" ref="R2:R40" si="12">M2+38.96371-0.00055</f>
        <v>959.60674819999997</v>
      </c>
      <c r="S2" s="42">
        <f t="shared" ref="S2:S40" si="13">M2+7.01601-0.00055</f>
        <v>927.65904820000003</v>
      </c>
      <c r="T2" s="42">
        <f t="shared" ref="T2:T40" si="14">M2-1.0078246+0.00055</f>
        <v>919.63631359999988</v>
      </c>
      <c r="U2" s="42">
        <f t="shared" ref="U2:U40" si="15">M2+44.99767+0.00055</f>
        <v>965.6418081999999</v>
      </c>
      <c r="V2" s="42">
        <f t="shared" ref="V2:V40" si="16">M2+59.01332+0.00055</f>
        <v>979.65745819999995</v>
      </c>
      <c r="W2" s="42">
        <f t="shared" ref="W2:W25" si="17">M2+34.968853-0.00055</f>
        <v>955.61189119999995</v>
      </c>
    </row>
    <row r="3" spans="1:24" x14ac:dyDescent="0.25">
      <c r="A3" s="18" t="s">
        <v>327</v>
      </c>
      <c r="B3" s="17" t="str">
        <f t="shared" si="0"/>
        <v>DGDG 25:0</v>
      </c>
      <c r="C3" s="1" t="str">
        <f t="shared" si="1"/>
        <v>25</v>
      </c>
      <c r="D3" s="1" t="str">
        <f t="shared" si="2"/>
        <v>0</v>
      </c>
      <c r="E3" s="17">
        <f t="shared" si="3"/>
        <v>40</v>
      </c>
      <c r="F3" s="17">
        <f t="shared" si="4"/>
        <v>74</v>
      </c>
      <c r="G3" s="17">
        <v>0</v>
      </c>
      <c r="H3" s="17">
        <f t="shared" si="5"/>
        <v>15</v>
      </c>
      <c r="I3" s="17">
        <v>0</v>
      </c>
      <c r="L3" s="19" t="str">
        <f t="shared" si="6"/>
        <v>C40H74O15</v>
      </c>
      <c r="M3" s="21">
        <f t="shared" ref="M3:M40" si="18">(E3*12)+(F3*1.0078246)+(G3*14.003074)+(H3*15.994915)+(I3*30.973763)</f>
        <v>794.50274539999998</v>
      </c>
      <c r="N3" s="42">
        <f t="shared" si="8"/>
        <v>795.51002000000005</v>
      </c>
      <c r="O3" s="42">
        <f t="shared" si="9"/>
        <v>777.49890000000005</v>
      </c>
      <c r="P3" s="42">
        <f t="shared" si="10"/>
        <v>812.53656539999997</v>
      </c>
      <c r="Q3" s="42">
        <f t="shared" si="11"/>
        <v>817.49196540000003</v>
      </c>
      <c r="R3" s="42">
        <f t="shared" si="12"/>
        <v>833.4659054</v>
      </c>
      <c r="S3" s="42">
        <f t="shared" si="13"/>
        <v>801.51820540000006</v>
      </c>
      <c r="T3" s="42">
        <f t="shared" si="14"/>
        <v>793.49547079999991</v>
      </c>
      <c r="U3" s="42">
        <f t="shared" si="15"/>
        <v>839.50096539999993</v>
      </c>
      <c r="V3" s="42">
        <f t="shared" si="16"/>
        <v>853.51661539999998</v>
      </c>
      <c r="W3" s="42">
        <f t="shared" si="17"/>
        <v>829.47104839999997</v>
      </c>
    </row>
    <row r="4" spans="1:24" x14ac:dyDescent="0.25">
      <c r="A4" s="18" t="s">
        <v>328</v>
      </c>
      <c r="B4" s="17" t="str">
        <f t="shared" si="0"/>
        <v>DGDG 26:0</v>
      </c>
      <c r="C4" s="1" t="str">
        <f t="shared" si="1"/>
        <v>26</v>
      </c>
      <c r="D4" s="1" t="str">
        <f t="shared" si="2"/>
        <v>0</v>
      </c>
      <c r="E4" s="17">
        <f t="shared" si="3"/>
        <v>41</v>
      </c>
      <c r="F4" s="17">
        <f t="shared" si="4"/>
        <v>76</v>
      </c>
      <c r="G4" s="17">
        <v>0</v>
      </c>
      <c r="H4" s="17">
        <f t="shared" si="5"/>
        <v>15</v>
      </c>
      <c r="I4" s="17">
        <v>0</v>
      </c>
      <c r="L4" s="19" t="str">
        <f t="shared" si="6"/>
        <v>C41H76O15</v>
      </c>
      <c r="M4" s="21">
        <f t="shared" si="18"/>
        <v>808.51839459999997</v>
      </c>
      <c r="N4" s="42">
        <f t="shared" si="8"/>
        <v>809.52566920000004</v>
      </c>
      <c r="O4" s="42">
        <f t="shared" si="9"/>
        <v>791.51454920000003</v>
      </c>
      <c r="P4" s="42">
        <f t="shared" si="10"/>
        <v>826.55221459999996</v>
      </c>
      <c r="Q4" s="42">
        <f t="shared" si="11"/>
        <v>831.50761460000001</v>
      </c>
      <c r="R4" s="42">
        <f t="shared" si="12"/>
        <v>847.48155459999998</v>
      </c>
      <c r="S4" s="42">
        <f t="shared" si="13"/>
        <v>815.53385460000004</v>
      </c>
      <c r="T4" s="42">
        <f t="shared" si="14"/>
        <v>807.51111999999989</v>
      </c>
      <c r="U4" s="42">
        <f t="shared" si="15"/>
        <v>853.51661459999991</v>
      </c>
      <c r="V4" s="42">
        <f t="shared" si="16"/>
        <v>867.53226459999996</v>
      </c>
      <c r="W4" s="42">
        <f t="shared" si="17"/>
        <v>843.48669759999996</v>
      </c>
    </row>
    <row r="5" spans="1:24" x14ac:dyDescent="0.25">
      <c r="A5" s="18" t="s">
        <v>329</v>
      </c>
      <c r="B5" s="17" t="str">
        <f t="shared" si="0"/>
        <v>DGDG 27:0</v>
      </c>
      <c r="C5" s="1" t="str">
        <f t="shared" si="1"/>
        <v>27</v>
      </c>
      <c r="D5" s="1" t="str">
        <f t="shared" si="2"/>
        <v>0</v>
      </c>
      <c r="E5" s="17">
        <f t="shared" si="3"/>
        <v>42</v>
      </c>
      <c r="F5" s="17">
        <f t="shared" si="4"/>
        <v>78</v>
      </c>
      <c r="G5" s="17">
        <v>0</v>
      </c>
      <c r="H5" s="17">
        <f t="shared" si="5"/>
        <v>15</v>
      </c>
      <c r="I5" s="17">
        <v>0</v>
      </c>
      <c r="L5" s="19" t="str">
        <f t="shared" si="6"/>
        <v>C42H78O15</v>
      </c>
      <c r="M5" s="21">
        <f t="shared" si="18"/>
        <v>822.53404379999995</v>
      </c>
      <c r="N5" s="42">
        <f t="shared" si="8"/>
        <v>823.54131840000002</v>
      </c>
      <c r="O5" s="42">
        <f t="shared" si="9"/>
        <v>805.53019840000002</v>
      </c>
      <c r="P5" s="42">
        <f t="shared" si="10"/>
        <v>840.56786379999994</v>
      </c>
      <c r="Q5" s="42">
        <f t="shared" si="11"/>
        <v>845.5232638</v>
      </c>
      <c r="R5" s="42">
        <f t="shared" si="12"/>
        <v>861.49720379999997</v>
      </c>
      <c r="S5" s="42">
        <f t="shared" si="13"/>
        <v>829.54950380000002</v>
      </c>
      <c r="T5" s="42">
        <f t="shared" si="14"/>
        <v>821.52676919999988</v>
      </c>
      <c r="U5" s="42">
        <f t="shared" si="15"/>
        <v>867.5322637999999</v>
      </c>
      <c r="V5" s="42">
        <f t="shared" si="16"/>
        <v>881.54791379999995</v>
      </c>
      <c r="W5" s="42">
        <f t="shared" si="17"/>
        <v>857.50234679999994</v>
      </c>
    </row>
    <row r="6" spans="1:24" x14ac:dyDescent="0.25">
      <c r="A6" s="18" t="s">
        <v>330</v>
      </c>
      <c r="B6" s="17" t="str">
        <f t="shared" si="0"/>
        <v>DGDG 28:2</v>
      </c>
      <c r="C6" s="1" t="str">
        <f t="shared" si="1"/>
        <v>28</v>
      </c>
      <c r="D6" s="1" t="str">
        <f t="shared" si="2"/>
        <v>2</v>
      </c>
      <c r="E6" s="17">
        <f t="shared" si="3"/>
        <v>43</v>
      </c>
      <c r="F6" s="17">
        <f t="shared" si="4"/>
        <v>76</v>
      </c>
      <c r="G6" s="17">
        <v>0</v>
      </c>
      <c r="H6" s="17">
        <f t="shared" si="5"/>
        <v>15</v>
      </c>
      <c r="I6" s="17">
        <v>0</v>
      </c>
      <c r="L6" s="19" t="str">
        <f t="shared" si="6"/>
        <v>C43H76O15</v>
      </c>
      <c r="M6" s="21">
        <f t="shared" si="18"/>
        <v>832.51839459999997</v>
      </c>
      <c r="N6" s="42">
        <f t="shared" si="8"/>
        <v>833.52566920000004</v>
      </c>
      <c r="O6" s="42">
        <f t="shared" si="9"/>
        <v>815.51454920000003</v>
      </c>
      <c r="P6" s="42">
        <f t="shared" si="10"/>
        <v>850.55221459999996</v>
      </c>
      <c r="Q6" s="42">
        <f t="shared" si="11"/>
        <v>855.50761460000001</v>
      </c>
      <c r="R6" s="42">
        <f t="shared" si="12"/>
        <v>871.48155459999998</v>
      </c>
      <c r="S6" s="42">
        <f t="shared" si="13"/>
        <v>839.53385460000004</v>
      </c>
      <c r="T6" s="42">
        <f t="shared" si="14"/>
        <v>831.51111999999989</v>
      </c>
      <c r="U6" s="42">
        <f t="shared" si="15"/>
        <v>877.51661459999991</v>
      </c>
      <c r="V6" s="42">
        <f t="shared" si="16"/>
        <v>891.53226459999996</v>
      </c>
      <c r="W6" s="42">
        <f t="shared" si="17"/>
        <v>867.48669759999996</v>
      </c>
    </row>
    <row r="7" spans="1:24" x14ac:dyDescent="0.25">
      <c r="A7" s="18" t="s">
        <v>331</v>
      </c>
      <c r="B7" s="17" t="str">
        <f t="shared" si="0"/>
        <v>DGDG 28:1</v>
      </c>
      <c r="C7" s="1" t="str">
        <f t="shared" si="1"/>
        <v>28</v>
      </c>
      <c r="D7" s="1" t="str">
        <f t="shared" si="2"/>
        <v>1</v>
      </c>
      <c r="E7" s="17">
        <f t="shared" si="3"/>
        <v>43</v>
      </c>
      <c r="F7" s="17">
        <f t="shared" si="4"/>
        <v>78</v>
      </c>
      <c r="G7" s="17">
        <v>0</v>
      </c>
      <c r="H7" s="17">
        <f t="shared" si="5"/>
        <v>15</v>
      </c>
      <c r="I7" s="17">
        <v>0</v>
      </c>
      <c r="L7" s="19" t="str">
        <f t="shared" si="6"/>
        <v>C43H78O15</v>
      </c>
      <c r="M7" s="21">
        <f t="shared" si="18"/>
        <v>834.53404379999995</v>
      </c>
      <c r="N7" s="42">
        <f t="shared" si="8"/>
        <v>835.54131840000002</v>
      </c>
      <c r="O7" s="42">
        <f t="shared" si="9"/>
        <v>817.53019840000002</v>
      </c>
      <c r="P7" s="42">
        <f t="shared" si="10"/>
        <v>852.56786379999994</v>
      </c>
      <c r="Q7" s="42">
        <f t="shared" si="11"/>
        <v>857.5232638</v>
      </c>
      <c r="R7" s="42">
        <f t="shared" si="12"/>
        <v>873.49720379999997</v>
      </c>
      <c r="S7" s="42">
        <f t="shared" si="13"/>
        <v>841.54950380000002</v>
      </c>
      <c r="T7" s="42">
        <f t="shared" si="14"/>
        <v>833.52676919999988</v>
      </c>
      <c r="U7" s="42">
        <f t="shared" si="15"/>
        <v>879.5322637999999</v>
      </c>
      <c r="V7" s="42">
        <f t="shared" si="16"/>
        <v>893.54791379999995</v>
      </c>
      <c r="W7" s="42">
        <f t="shared" si="17"/>
        <v>869.50234679999994</v>
      </c>
    </row>
    <row r="8" spans="1:24" x14ac:dyDescent="0.25">
      <c r="A8" s="18" t="s">
        <v>332</v>
      </c>
      <c r="B8" s="17" t="str">
        <f t="shared" si="0"/>
        <v>DGDG 28:0</v>
      </c>
      <c r="C8" s="1" t="str">
        <f t="shared" si="1"/>
        <v>28</v>
      </c>
      <c r="D8" s="1" t="str">
        <f t="shared" si="2"/>
        <v>0</v>
      </c>
      <c r="E8" s="17">
        <f t="shared" si="3"/>
        <v>43</v>
      </c>
      <c r="F8" s="17">
        <f t="shared" si="4"/>
        <v>80</v>
      </c>
      <c r="G8" s="17">
        <v>0</v>
      </c>
      <c r="H8" s="17">
        <f t="shared" si="5"/>
        <v>15</v>
      </c>
      <c r="I8" s="17">
        <v>0</v>
      </c>
      <c r="L8" s="19" t="str">
        <f t="shared" si="6"/>
        <v>C43H80O15</v>
      </c>
      <c r="M8" s="21">
        <f t="shared" si="18"/>
        <v>836.54969300000005</v>
      </c>
      <c r="N8" s="42">
        <f t="shared" si="8"/>
        <v>837.55696760000012</v>
      </c>
      <c r="O8" s="42">
        <f t="shared" si="9"/>
        <v>819.54584760000012</v>
      </c>
      <c r="P8" s="42">
        <f t="shared" si="10"/>
        <v>854.58351300000004</v>
      </c>
      <c r="Q8" s="42">
        <f t="shared" si="11"/>
        <v>859.53891300000009</v>
      </c>
      <c r="R8" s="42">
        <f t="shared" si="12"/>
        <v>875.51285300000006</v>
      </c>
      <c r="S8" s="42">
        <f t="shared" si="13"/>
        <v>843.56515300000012</v>
      </c>
      <c r="T8" s="42">
        <f t="shared" si="14"/>
        <v>835.54241839999997</v>
      </c>
      <c r="U8" s="42">
        <f t="shared" si="15"/>
        <v>881.54791299999999</v>
      </c>
      <c r="V8" s="42">
        <f t="shared" si="16"/>
        <v>895.56356300000004</v>
      </c>
      <c r="W8" s="42">
        <f t="shared" si="17"/>
        <v>871.51799600000004</v>
      </c>
    </row>
    <row r="9" spans="1:24" x14ac:dyDescent="0.25">
      <c r="A9" s="18" t="s">
        <v>333</v>
      </c>
      <c r="B9" s="17" t="str">
        <f t="shared" si="0"/>
        <v>DGDG 29:2</v>
      </c>
      <c r="C9" s="1" t="str">
        <f t="shared" si="1"/>
        <v>29</v>
      </c>
      <c r="D9" s="1" t="str">
        <f t="shared" si="2"/>
        <v>2</v>
      </c>
      <c r="E9" s="17">
        <f t="shared" si="3"/>
        <v>44</v>
      </c>
      <c r="F9" s="17">
        <f t="shared" si="4"/>
        <v>78</v>
      </c>
      <c r="G9" s="17">
        <v>0</v>
      </c>
      <c r="H9" s="17">
        <f t="shared" si="5"/>
        <v>15</v>
      </c>
      <c r="I9" s="17">
        <v>0</v>
      </c>
      <c r="L9" s="19" t="str">
        <f t="shared" si="6"/>
        <v>C44H78O15</v>
      </c>
      <c r="M9" s="21">
        <f t="shared" si="18"/>
        <v>846.53404379999995</v>
      </c>
      <c r="N9" s="42">
        <f t="shared" si="8"/>
        <v>847.54131840000002</v>
      </c>
      <c r="O9" s="42">
        <f t="shared" si="9"/>
        <v>829.53019840000002</v>
      </c>
      <c r="P9" s="42">
        <f t="shared" si="10"/>
        <v>864.56786379999994</v>
      </c>
      <c r="Q9" s="42">
        <f t="shared" si="11"/>
        <v>869.5232638</v>
      </c>
      <c r="R9" s="42">
        <f t="shared" si="12"/>
        <v>885.49720379999997</v>
      </c>
      <c r="S9" s="42">
        <f t="shared" si="13"/>
        <v>853.54950380000002</v>
      </c>
      <c r="T9" s="42">
        <f t="shared" si="14"/>
        <v>845.52676919999988</v>
      </c>
      <c r="U9" s="42">
        <f t="shared" si="15"/>
        <v>891.5322637999999</v>
      </c>
      <c r="V9" s="42">
        <f t="shared" si="16"/>
        <v>905.54791379999995</v>
      </c>
      <c r="W9" s="42">
        <f t="shared" si="17"/>
        <v>881.50234679999994</v>
      </c>
    </row>
    <row r="10" spans="1:24" x14ac:dyDescent="0.25">
      <c r="A10" s="18" t="s">
        <v>334</v>
      </c>
      <c r="B10" s="17" t="str">
        <f t="shared" si="0"/>
        <v>DGDG 29:1</v>
      </c>
      <c r="C10" s="1" t="str">
        <f t="shared" si="1"/>
        <v>29</v>
      </c>
      <c r="D10" s="1" t="str">
        <f t="shared" si="2"/>
        <v>1</v>
      </c>
      <c r="E10" s="17">
        <f t="shared" si="3"/>
        <v>44</v>
      </c>
      <c r="F10" s="17">
        <f t="shared" si="4"/>
        <v>80</v>
      </c>
      <c r="G10" s="17">
        <v>0</v>
      </c>
      <c r="H10" s="17">
        <f t="shared" si="5"/>
        <v>15</v>
      </c>
      <c r="I10" s="17">
        <v>0</v>
      </c>
      <c r="L10" s="19" t="str">
        <f t="shared" si="6"/>
        <v>C44H80O15</v>
      </c>
      <c r="M10" s="21">
        <f t="shared" si="18"/>
        <v>848.54969300000005</v>
      </c>
      <c r="N10" s="42">
        <f t="shared" si="8"/>
        <v>849.55696760000012</v>
      </c>
      <c r="O10" s="42">
        <f t="shared" si="9"/>
        <v>831.54584760000012</v>
      </c>
      <c r="P10" s="42">
        <f t="shared" si="10"/>
        <v>866.58351300000004</v>
      </c>
      <c r="Q10" s="42">
        <f t="shared" si="11"/>
        <v>871.53891300000009</v>
      </c>
      <c r="R10" s="42">
        <f t="shared" si="12"/>
        <v>887.51285300000006</v>
      </c>
      <c r="S10" s="42">
        <f t="shared" si="13"/>
        <v>855.56515300000012</v>
      </c>
      <c r="T10" s="42">
        <f t="shared" si="14"/>
        <v>847.54241839999997</v>
      </c>
      <c r="U10" s="42">
        <f t="shared" si="15"/>
        <v>893.54791299999999</v>
      </c>
      <c r="V10" s="42">
        <f t="shared" si="16"/>
        <v>907.56356300000004</v>
      </c>
      <c r="W10" s="42">
        <f t="shared" si="17"/>
        <v>883.51799600000004</v>
      </c>
    </row>
    <row r="11" spans="1:24" x14ac:dyDescent="0.25">
      <c r="A11" s="18" t="s">
        <v>335</v>
      </c>
      <c r="B11" s="17" t="str">
        <f t="shared" si="0"/>
        <v>DGDG 29:0</v>
      </c>
      <c r="C11" s="1" t="str">
        <f t="shared" si="1"/>
        <v>29</v>
      </c>
      <c r="D11" s="1" t="str">
        <f t="shared" si="2"/>
        <v>0</v>
      </c>
      <c r="E11" s="17">
        <f t="shared" si="3"/>
        <v>44</v>
      </c>
      <c r="F11" s="17">
        <f t="shared" si="4"/>
        <v>82</v>
      </c>
      <c r="G11" s="17">
        <v>0</v>
      </c>
      <c r="H11" s="17">
        <f t="shared" si="5"/>
        <v>15</v>
      </c>
      <c r="I11" s="17">
        <v>0</v>
      </c>
      <c r="L11" s="19" t="str">
        <f t="shared" si="6"/>
        <v>C44H82O15</v>
      </c>
      <c r="M11" s="21">
        <f t="shared" si="18"/>
        <v>850.56534220000003</v>
      </c>
      <c r="N11" s="42">
        <f t="shared" si="8"/>
        <v>851.57261680000011</v>
      </c>
      <c r="O11" s="42">
        <f t="shared" si="9"/>
        <v>833.5614968000001</v>
      </c>
      <c r="P11" s="42">
        <f t="shared" si="10"/>
        <v>868.59916220000002</v>
      </c>
      <c r="Q11" s="42">
        <f t="shared" si="11"/>
        <v>873.55456220000008</v>
      </c>
      <c r="R11" s="42">
        <f t="shared" si="12"/>
        <v>889.52850220000005</v>
      </c>
      <c r="S11" s="42">
        <f t="shared" si="13"/>
        <v>857.58080220000011</v>
      </c>
      <c r="T11" s="42">
        <f t="shared" si="14"/>
        <v>849.55806759999996</v>
      </c>
      <c r="U11" s="42">
        <f t="shared" si="15"/>
        <v>895.56356219999998</v>
      </c>
      <c r="V11" s="42">
        <f t="shared" si="16"/>
        <v>909.57921220000003</v>
      </c>
      <c r="W11" s="42">
        <f t="shared" si="17"/>
        <v>885.53364520000002</v>
      </c>
    </row>
    <row r="12" spans="1:24" x14ac:dyDescent="0.25">
      <c r="A12" s="18" t="s">
        <v>336</v>
      </c>
      <c r="B12" s="17" t="str">
        <f t="shared" si="0"/>
        <v>DGDG 30:2</v>
      </c>
      <c r="C12" s="1" t="str">
        <f t="shared" si="1"/>
        <v>30</v>
      </c>
      <c r="D12" s="1" t="str">
        <f t="shared" si="2"/>
        <v>2</v>
      </c>
      <c r="E12" s="17">
        <f t="shared" si="3"/>
        <v>45</v>
      </c>
      <c r="F12" s="17">
        <f t="shared" si="4"/>
        <v>80</v>
      </c>
      <c r="G12" s="17">
        <v>0</v>
      </c>
      <c r="H12" s="17">
        <f t="shared" si="5"/>
        <v>15</v>
      </c>
      <c r="I12" s="17">
        <v>0</v>
      </c>
      <c r="L12" s="19" t="str">
        <f t="shared" si="6"/>
        <v>C45H80O15</v>
      </c>
      <c r="M12" s="21">
        <f t="shared" si="18"/>
        <v>860.54969300000005</v>
      </c>
      <c r="N12" s="42">
        <f t="shared" si="8"/>
        <v>861.55696760000012</v>
      </c>
      <c r="O12" s="42">
        <f t="shared" si="9"/>
        <v>843.54584760000012</v>
      </c>
      <c r="P12" s="42">
        <f t="shared" si="10"/>
        <v>878.58351300000004</v>
      </c>
      <c r="Q12" s="42">
        <f t="shared" si="11"/>
        <v>883.53891300000009</v>
      </c>
      <c r="R12" s="42">
        <f t="shared" si="12"/>
        <v>899.51285300000006</v>
      </c>
      <c r="S12" s="42">
        <f t="shared" si="13"/>
        <v>867.56515300000012</v>
      </c>
      <c r="T12" s="42">
        <f t="shared" si="14"/>
        <v>859.54241839999997</v>
      </c>
      <c r="U12" s="42">
        <f t="shared" si="15"/>
        <v>905.54791299999999</v>
      </c>
      <c r="V12" s="42">
        <f t="shared" si="16"/>
        <v>919.56356300000004</v>
      </c>
      <c r="W12" s="42">
        <f t="shared" si="17"/>
        <v>895.51799600000004</v>
      </c>
    </row>
    <row r="13" spans="1:24" x14ac:dyDescent="0.25">
      <c r="A13" s="18" t="s">
        <v>337</v>
      </c>
      <c r="B13" s="17" t="str">
        <f t="shared" si="0"/>
        <v>DGDG 30:1</v>
      </c>
      <c r="C13" s="1" t="str">
        <f t="shared" si="1"/>
        <v>30</v>
      </c>
      <c r="D13" s="1" t="str">
        <f t="shared" si="2"/>
        <v>1</v>
      </c>
      <c r="E13" s="17">
        <f t="shared" si="3"/>
        <v>45</v>
      </c>
      <c r="F13" s="17">
        <f t="shared" si="4"/>
        <v>82</v>
      </c>
      <c r="G13" s="17">
        <v>0</v>
      </c>
      <c r="H13" s="17">
        <f t="shared" si="5"/>
        <v>15</v>
      </c>
      <c r="I13" s="17">
        <v>0</v>
      </c>
      <c r="L13" s="19" t="str">
        <f t="shared" si="6"/>
        <v>C45H82O15</v>
      </c>
      <c r="M13" s="21">
        <f t="shared" si="18"/>
        <v>862.56534220000003</v>
      </c>
      <c r="N13" s="42">
        <f t="shared" si="8"/>
        <v>863.57261680000011</v>
      </c>
      <c r="O13" s="42">
        <f t="shared" si="9"/>
        <v>845.5614968000001</v>
      </c>
      <c r="P13" s="42">
        <f t="shared" si="10"/>
        <v>880.59916220000002</v>
      </c>
      <c r="Q13" s="42">
        <f t="shared" si="11"/>
        <v>885.55456220000008</v>
      </c>
      <c r="R13" s="42">
        <f t="shared" si="12"/>
        <v>901.52850220000005</v>
      </c>
      <c r="S13" s="42">
        <f t="shared" si="13"/>
        <v>869.58080220000011</v>
      </c>
      <c r="T13" s="42">
        <f t="shared" si="14"/>
        <v>861.55806759999996</v>
      </c>
      <c r="U13" s="42">
        <f t="shared" si="15"/>
        <v>907.56356219999998</v>
      </c>
      <c r="V13" s="42">
        <f t="shared" si="16"/>
        <v>921.57921220000003</v>
      </c>
      <c r="W13" s="42">
        <f t="shared" si="17"/>
        <v>897.53364520000002</v>
      </c>
    </row>
    <row r="14" spans="1:24" x14ac:dyDescent="0.25">
      <c r="A14" s="18" t="s">
        <v>338</v>
      </c>
      <c r="B14" s="17" t="str">
        <f t="shared" si="0"/>
        <v>DGDG 30:0</v>
      </c>
      <c r="C14" s="1" t="str">
        <f t="shared" si="1"/>
        <v>30</v>
      </c>
      <c r="D14" s="1" t="str">
        <f t="shared" si="2"/>
        <v>0</v>
      </c>
      <c r="E14" s="17">
        <f t="shared" si="3"/>
        <v>45</v>
      </c>
      <c r="F14" s="17">
        <f t="shared" si="4"/>
        <v>84</v>
      </c>
      <c r="G14" s="17">
        <v>0</v>
      </c>
      <c r="H14" s="17">
        <f t="shared" si="5"/>
        <v>15</v>
      </c>
      <c r="I14" s="17">
        <v>0</v>
      </c>
      <c r="L14" s="19" t="str">
        <f t="shared" si="6"/>
        <v>C45H84O15</v>
      </c>
      <c r="M14" s="21">
        <f t="shared" si="18"/>
        <v>864.58099140000002</v>
      </c>
      <c r="N14" s="42">
        <f t="shared" si="8"/>
        <v>865.58826600000009</v>
      </c>
      <c r="O14" s="42">
        <f t="shared" si="9"/>
        <v>847.57714600000008</v>
      </c>
      <c r="P14" s="42">
        <f t="shared" si="10"/>
        <v>882.61481140000001</v>
      </c>
      <c r="Q14" s="42">
        <f t="shared" si="11"/>
        <v>887.57021140000006</v>
      </c>
      <c r="R14" s="42">
        <f t="shared" si="12"/>
        <v>903.54415140000003</v>
      </c>
      <c r="S14" s="42">
        <f t="shared" si="13"/>
        <v>871.59645140000009</v>
      </c>
      <c r="T14" s="42">
        <f t="shared" si="14"/>
        <v>863.57371679999994</v>
      </c>
      <c r="U14" s="42">
        <f t="shared" si="15"/>
        <v>909.57921139999996</v>
      </c>
      <c r="V14" s="42">
        <f t="shared" si="16"/>
        <v>923.59486140000001</v>
      </c>
      <c r="W14" s="42">
        <f t="shared" si="17"/>
        <v>899.54929440000001</v>
      </c>
    </row>
    <row r="15" spans="1:24" x14ac:dyDescent="0.25">
      <c r="A15" s="18" t="s">
        <v>339</v>
      </c>
      <c r="B15" s="17" t="str">
        <f t="shared" si="0"/>
        <v>DGDG 31:3</v>
      </c>
      <c r="C15" s="1" t="str">
        <f t="shared" si="1"/>
        <v>31</v>
      </c>
      <c r="D15" s="1" t="str">
        <f t="shared" si="2"/>
        <v>3</v>
      </c>
      <c r="E15" s="17">
        <f t="shared" si="3"/>
        <v>46</v>
      </c>
      <c r="F15" s="17">
        <f t="shared" si="4"/>
        <v>80</v>
      </c>
      <c r="G15" s="17">
        <v>0</v>
      </c>
      <c r="H15" s="17">
        <f t="shared" si="5"/>
        <v>15</v>
      </c>
      <c r="I15" s="17">
        <v>0</v>
      </c>
      <c r="L15" s="19" t="str">
        <f t="shared" si="6"/>
        <v>C46H80O15</v>
      </c>
      <c r="M15" s="21">
        <f t="shared" si="18"/>
        <v>872.54969300000005</v>
      </c>
      <c r="N15" s="42">
        <f t="shared" si="8"/>
        <v>873.55696760000012</v>
      </c>
      <c r="O15" s="42">
        <f t="shared" si="9"/>
        <v>855.54584760000012</v>
      </c>
      <c r="P15" s="42">
        <f t="shared" si="10"/>
        <v>890.58351300000004</v>
      </c>
      <c r="Q15" s="42">
        <f t="shared" si="11"/>
        <v>895.53891300000009</v>
      </c>
      <c r="R15" s="42">
        <f t="shared" si="12"/>
        <v>911.51285300000006</v>
      </c>
      <c r="S15" s="42">
        <f t="shared" si="13"/>
        <v>879.56515300000012</v>
      </c>
      <c r="T15" s="42">
        <f t="shared" si="14"/>
        <v>871.54241839999997</v>
      </c>
      <c r="U15" s="42">
        <f t="shared" si="15"/>
        <v>917.54791299999999</v>
      </c>
      <c r="V15" s="42">
        <f t="shared" si="16"/>
        <v>931.56356300000004</v>
      </c>
      <c r="W15" s="42">
        <f t="shared" si="17"/>
        <v>907.51799600000004</v>
      </c>
    </row>
    <row r="16" spans="1:24" x14ac:dyDescent="0.25">
      <c r="A16" s="18" t="s">
        <v>340</v>
      </c>
      <c r="B16" s="17" t="str">
        <f t="shared" si="0"/>
        <v>DGDG 31:2</v>
      </c>
      <c r="C16" s="1" t="str">
        <f t="shared" si="1"/>
        <v>31</v>
      </c>
      <c r="D16" s="1" t="str">
        <f t="shared" si="2"/>
        <v>2</v>
      </c>
      <c r="E16" s="17">
        <f t="shared" si="3"/>
        <v>46</v>
      </c>
      <c r="F16" s="17">
        <f t="shared" si="4"/>
        <v>82</v>
      </c>
      <c r="G16" s="17">
        <v>0</v>
      </c>
      <c r="H16" s="17">
        <f t="shared" si="5"/>
        <v>15</v>
      </c>
      <c r="I16" s="17">
        <v>0</v>
      </c>
      <c r="L16" s="19" t="str">
        <f t="shared" si="6"/>
        <v>C46H82O15</v>
      </c>
      <c r="M16" s="21">
        <f t="shared" si="18"/>
        <v>874.56534220000003</v>
      </c>
      <c r="N16" s="42">
        <f t="shared" si="8"/>
        <v>875.57261680000011</v>
      </c>
      <c r="O16" s="42">
        <f t="shared" si="9"/>
        <v>857.5614968000001</v>
      </c>
      <c r="P16" s="42">
        <f t="shared" si="10"/>
        <v>892.59916220000002</v>
      </c>
      <c r="Q16" s="42">
        <f t="shared" si="11"/>
        <v>897.55456220000008</v>
      </c>
      <c r="R16" s="42">
        <f t="shared" si="12"/>
        <v>913.52850220000005</v>
      </c>
      <c r="S16" s="42">
        <f t="shared" si="13"/>
        <v>881.58080220000011</v>
      </c>
      <c r="T16" s="42">
        <f t="shared" si="14"/>
        <v>873.55806759999996</v>
      </c>
      <c r="U16" s="42">
        <f t="shared" si="15"/>
        <v>919.56356219999998</v>
      </c>
      <c r="V16" s="42">
        <f t="shared" si="16"/>
        <v>933.57921220000003</v>
      </c>
      <c r="W16" s="42">
        <f t="shared" si="17"/>
        <v>909.53364520000002</v>
      </c>
    </row>
    <row r="17" spans="1:23" x14ac:dyDescent="0.25">
      <c r="A17" s="18" t="s">
        <v>341</v>
      </c>
      <c r="B17" s="17" t="str">
        <f t="shared" si="0"/>
        <v>DGDG 31:1</v>
      </c>
      <c r="C17" s="1" t="str">
        <f t="shared" si="1"/>
        <v>31</v>
      </c>
      <c r="D17" s="1" t="str">
        <f t="shared" si="2"/>
        <v>1</v>
      </c>
      <c r="E17" s="17">
        <f t="shared" si="3"/>
        <v>46</v>
      </c>
      <c r="F17" s="17">
        <f t="shared" si="4"/>
        <v>84</v>
      </c>
      <c r="G17" s="17">
        <v>0</v>
      </c>
      <c r="H17" s="17">
        <f t="shared" si="5"/>
        <v>15</v>
      </c>
      <c r="I17" s="17">
        <v>0</v>
      </c>
      <c r="L17" s="19" t="str">
        <f t="shared" si="6"/>
        <v>C46H84O15</v>
      </c>
      <c r="M17" s="21">
        <f t="shared" si="18"/>
        <v>876.58099140000002</v>
      </c>
      <c r="N17" s="42">
        <f t="shared" si="8"/>
        <v>877.58826600000009</v>
      </c>
      <c r="O17" s="42">
        <f t="shared" si="9"/>
        <v>859.57714600000008</v>
      </c>
      <c r="P17" s="42">
        <f t="shared" si="10"/>
        <v>894.61481140000001</v>
      </c>
      <c r="Q17" s="42">
        <f t="shared" si="11"/>
        <v>899.57021140000006</v>
      </c>
      <c r="R17" s="42">
        <f t="shared" si="12"/>
        <v>915.54415140000003</v>
      </c>
      <c r="S17" s="42">
        <f t="shared" si="13"/>
        <v>883.59645140000009</v>
      </c>
      <c r="T17" s="42">
        <f t="shared" si="14"/>
        <v>875.57371679999994</v>
      </c>
      <c r="U17" s="42">
        <f t="shared" si="15"/>
        <v>921.57921139999996</v>
      </c>
      <c r="V17" s="42">
        <f t="shared" si="16"/>
        <v>935.59486140000001</v>
      </c>
      <c r="W17" s="42">
        <f t="shared" si="17"/>
        <v>911.54929440000001</v>
      </c>
    </row>
    <row r="18" spans="1:23" x14ac:dyDescent="0.25">
      <c r="A18" s="18" t="s">
        <v>342</v>
      </c>
      <c r="B18" s="17" t="str">
        <f t="shared" si="0"/>
        <v>DGDG 31:0</v>
      </c>
      <c r="C18" s="1" t="str">
        <f t="shared" si="1"/>
        <v>31</v>
      </c>
      <c r="D18" s="1" t="str">
        <f t="shared" si="2"/>
        <v>0</v>
      </c>
      <c r="E18" s="17">
        <f t="shared" si="3"/>
        <v>46</v>
      </c>
      <c r="F18" s="17">
        <f t="shared" si="4"/>
        <v>86</v>
      </c>
      <c r="G18" s="17">
        <v>0</v>
      </c>
      <c r="H18" s="17">
        <f t="shared" si="5"/>
        <v>15</v>
      </c>
      <c r="I18" s="17">
        <v>0</v>
      </c>
      <c r="L18" s="19" t="str">
        <f t="shared" si="6"/>
        <v>C46H86O15</v>
      </c>
      <c r="M18" s="21">
        <f t="shared" si="18"/>
        <v>878.5966406</v>
      </c>
      <c r="N18" s="42">
        <f t="shared" si="8"/>
        <v>879.60391520000007</v>
      </c>
      <c r="O18" s="42">
        <f t="shared" si="9"/>
        <v>861.59279520000007</v>
      </c>
      <c r="P18" s="42">
        <f t="shared" si="10"/>
        <v>896.63046059999999</v>
      </c>
      <c r="Q18" s="42">
        <f t="shared" si="11"/>
        <v>901.58586060000005</v>
      </c>
      <c r="R18" s="42">
        <f t="shared" si="12"/>
        <v>917.55980060000002</v>
      </c>
      <c r="S18" s="42">
        <f t="shared" si="13"/>
        <v>885.61210060000008</v>
      </c>
      <c r="T18" s="42">
        <f t="shared" si="14"/>
        <v>877.58936599999993</v>
      </c>
      <c r="U18" s="42">
        <f t="shared" si="15"/>
        <v>923.59486059999995</v>
      </c>
      <c r="V18" s="42">
        <f t="shared" si="16"/>
        <v>937.6105106</v>
      </c>
      <c r="W18" s="42">
        <f t="shared" si="17"/>
        <v>913.56494359999999</v>
      </c>
    </row>
    <row r="19" spans="1:23" x14ac:dyDescent="0.25">
      <c r="A19" s="18" t="s">
        <v>343</v>
      </c>
      <c r="B19" s="17" t="str">
        <f t="shared" si="0"/>
        <v>DGDG 32:2</v>
      </c>
      <c r="C19" s="1" t="str">
        <f t="shared" si="1"/>
        <v>32</v>
      </c>
      <c r="D19" s="1" t="str">
        <f t="shared" si="2"/>
        <v>2</v>
      </c>
      <c r="E19" s="17">
        <f t="shared" si="3"/>
        <v>47</v>
      </c>
      <c r="F19" s="17">
        <f t="shared" si="4"/>
        <v>84</v>
      </c>
      <c r="G19" s="17">
        <v>0</v>
      </c>
      <c r="H19" s="17">
        <f t="shared" si="5"/>
        <v>15</v>
      </c>
      <c r="I19" s="17">
        <v>0</v>
      </c>
      <c r="L19" s="19" t="str">
        <f t="shared" si="6"/>
        <v>C47H84O15</v>
      </c>
      <c r="M19" s="21">
        <f t="shared" si="18"/>
        <v>888.58099140000002</v>
      </c>
      <c r="N19" s="42">
        <f t="shared" si="8"/>
        <v>889.58826600000009</v>
      </c>
      <c r="O19" s="42">
        <f t="shared" si="9"/>
        <v>871.57714600000008</v>
      </c>
      <c r="P19" s="42">
        <f t="shared" si="10"/>
        <v>906.61481140000001</v>
      </c>
      <c r="Q19" s="42">
        <f t="shared" si="11"/>
        <v>911.57021140000006</v>
      </c>
      <c r="R19" s="42">
        <f t="shared" si="12"/>
        <v>927.54415140000003</v>
      </c>
      <c r="S19" s="42">
        <f t="shared" si="13"/>
        <v>895.59645140000009</v>
      </c>
      <c r="T19" s="42">
        <f t="shared" si="14"/>
        <v>887.57371679999994</v>
      </c>
      <c r="U19" s="42">
        <f t="shared" si="15"/>
        <v>933.57921139999996</v>
      </c>
      <c r="V19" s="42">
        <f t="shared" si="16"/>
        <v>947.59486140000001</v>
      </c>
      <c r="W19" s="42">
        <f t="shared" si="17"/>
        <v>923.54929440000001</v>
      </c>
    </row>
    <row r="20" spans="1:23" x14ac:dyDescent="0.25">
      <c r="A20" s="18" t="s">
        <v>344</v>
      </c>
      <c r="B20" s="17" t="str">
        <f t="shared" si="0"/>
        <v>DGDG 32:1</v>
      </c>
      <c r="C20" s="1" t="str">
        <f t="shared" si="1"/>
        <v>32</v>
      </c>
      <c r="D20" s="1" t="str">
        <f t="shared" si="2"/>
        <v>1</v>
      </c>
      <c r="E20" s="17">
        <f t="shared" si="3"/>
        <v>47</v>
      </c>
      <c r="F20" s="17">
        <f t="shared" si="4"/>
        <v>86</v>
      </c>
      <c r="G20" s="17">
        <v>0</v>
      </c>
      <c r="H20" s="17">
        <f t="shared" si="5"/>
        <v>15</v>
      </c>
      <c r="I20" s="17">
        <v>0</v>
      </c>
      <c r="L20" s="19" t="str">
        <f t="shared" si="6"/>
        <v>C47H86O15</v>
      </c>
      <c r="M20" s="21">
        <f t="shared" si="18"/>
        <v>890.5966406</v>
      </c>
      <c r="N20" s="42">
        <f t="shared" si="8"/>
        <v>891.60391520000007</v>
      </c>
      <c r="O20" s="42">
        <f t="shared" si="9"/>
        <v>873.59279520000007</v>
      </c>
      <c r="P20" s="42">
        <f t="shared" si="10"/>
        <v>908.63046059999999</v>
      </c>
      <c r="Q20" s="42">
        <f t="shared" si="11"/>
        <v>913.58586060000005</v>
      </c>
      <c r="R20" s="42">
        <f t="shared" si="12"/>
        <v>929.55980060000002</v>
      </c>
      <c r="S20" s="42">
        <f t="shared" si="13"/>
        <v>897.61210060000008</v>
      </c>
      <c r="T20" s="42">
        <f t="shared" si="14"/>
        <v>889.58936599999993</v>
      </c>
      <c r="U20" s="42">
        <f t="shared" si="15"/>
        <v>935.59486059999995</v>
      </c>
      <c r="V20" s="42">
        <f t="shared" si="16"/>
        <v>949.6105106</v>
      </c>
      <c r="W20" s="42">
        <f t="shared" si="17"/>
        <v>925.56494359999999</v>
      </c>
    </row>
    <row r="21" spans="1:23" x14ac:dyDescent="0.25">
      <c r="A21" s="18" t="s">
        <v>345</v>
      </c>
      <c r="B21" s="17" t="str">
        <f t="shared" si="0"/>
        <v>DGDG 32:0</v>
      </c>
      <c r="C21" s="1" t="str">
        <f t="shared" si="1"/>
        <v>32</v>
      </c>
      <c r="D21" s="1" t="str">
        <f t="shared" si="2"/>
        <v>0</v>
      </c>
      <c r="E21" s="17">
        <f t="shared" si="3"/>
        <v>47</v>
      </c>
      <c r="F21" s="17">
        <f t="shared" si="4"/>
        <v>88</v>
      </c>
      <c r="G21" s="17">
        <v>0</v>
      </c>
      <c r="H21" s="17">
        <f t="shared" si="5"/>
        <v>15</v>
      </c>
      <c r="I21" s="17">
        <v>0</v>
      </c>
      <c r="L21" s="19" t="str">
        <f t="shared" si="6"/>
        <v>C47H88O15</v>
      </c>
      <c r="M21" s="21">
        <f t="shared" si="18"/>
        <v>892.61228979999999</v>
      </c>
      <c r="N21" s="42">
        <f t="shared" si="8"/>
        <v>893.61956440000006</v>
      </c>
      <c r="O21" s="42">
        <f t="shared" si="9"/>
        <v>875.60844440000005</v>
      </c>
      <c r="P21" s="42">
        <f t="shared" si="10"/>
        <v>910.64610979999998</v>
      </c>
      <c r="Q21" s="42">
        <f t="shared" si="11"/>
        <v>915.60150980000003</v>
      </c>
      <c r="R21" s="42">
        <f t="shared" si="12"/>
        <v>931.5754498</v>
      </c>
      <c r="S21" s="42">
        <f t="shared" si="13"/>
        <v>899.62774980000006</v>
      </c>
      <c r="T21" s="42">
        <f t="shared" si="14"/>
        <v>891.60501519999991</v>
      </c>
      <c r="U21" s="42">
        <f t="shared" si="15"/>
        <v>937.61050979999993</v>
      </c>
      <c r="V21" s="42">
        <f t="shared" si="16"/>
        <v>951.62615979999998</v>
      </c>
      <c r="W21" s="42">
        <f t="shared" si="17"/>
        <v>927.58059279999998</v>
      </c>
    </row>
    <row r="22" spans="1:23" x14ac:dyDescent="0.25">
      <c r="A22" s="18" t="s">
        <v>346</v>
      </c>
      <c r="B22" s="17" t="str">
        <f t="shared" si="0"/>
        <v>DGDG 33:2</v>
      </c>
      <c r="C22" s="1" t="str">
        <f t="shared" si="1"/>
        <v>33</v>
      </c>
      <c r="D22" s="1" t="str">
        <f t="shared" si="2"/>
        <v>2</v>
      </c>
      <c r="E22" s="17">
        <f t="shared" si="3"/>
        <v>48</v>
      </c>
      <c r="F22" s="17">
        <f t="shared" si="4"/>
        <v>86</v>
      </c>
      <c r="G22" s="17">
        <v>0</v>
      </c>
      <c r="H22" s="17">
        <f t="shared" si="5"/>
        <v>15</v>
      </c>
      <c r="I22" s="17">
        <v>0</v>
      </c>
      <c r="L22" s="19" t="str">
        <f t="shared" si="6"/>
        <v>C48H86O15</v>
      </c>
      <c r="M22" s="21">
        <f t="shared" si="18"/>
        <v>902.5966406</v>
      </c>
      <c r="N22" s="42">
        <f t="shared" si="8"/>
        <v>903.60391520000007</v>
      </c>
      <c r="O22" s="42">
        <f t="shared" si="9"/>
        <v>885.59279520000007</v>
      </c>
      <c r="P22" s="42">
        <f t="shared" si="10"/>
        <v>920.63046059999999</v>
      </c>
      <c r="Q22" s="42">
        <f t="shared" si="11"/>
        <v>925.58586060000005</v>
      </c>
      <c r="R22" s="42">
        <f t="shared" si="12"/>
        <v>941.55980060000002</v>
      </c>
      <c r="S22" s="42">
        <f t="shared" si="13"/>
        <v>909.61210060000008</v>
      </c>
      <c r="T22" s="42">
        <f t="shared" si="14"/>
        <v>901.58936599999993</v>
      </c>
      <c r="U22" s="42">
        <f t="shared" si="15"/>
        <v>947.59486059999995</v>
      </c>
      <c r="V22" s="42">
        <f t="shared" si="16"/>
        <v>961.6105106</v>
      </c>
      <c r="W22" s="42">
        <f t="shared" si="17"/>
        <v>937.56494359999999</v>
      </c>
    </row>
    <row r="23" spans="1:23" x14ac:dyDescent="0.25">
      <c r="A23" s="18" t="s">
        <v>347</v>
      </c>
      <c r="B23" s="17" t="str">
        <f t="shared" si="0"/>
        <v>DGDG 33:1</v>
      </c>
      <c r="C23" s="1" t="str">
        <f t="shared" si="1"/>
        <v>33</v>
      </c>
      <c r="D23" s="1" t="str">
        <f t="shared" si="2"/>
        <v>1</v>
      </c>
      <c r="E23" s="17">
        <f t="shared" si="3"/>
        <v>48</v>
      </c>
      <c r="F23" s="17">
        <f t="shared" si="4"/>
        <v>88</v>
      </c>
      <c r="G23" s="17">
        <v>0</v>
      </c>
      <c r="H23" s="17">
        <f t="shared" si="5"/>
        <v>15</v>
      </c>
      <c r="I23" s="17">
        <v>0</v>
      </c>
      <c r="L23" s="19" t="str">
        <f t="shared" si="6"/>
        <v>C48H88O15</v>
      </c>
      <c r="M23" s="21">
        <f t="shared" si="18"/>
        <v>904.61228979999999</v>
      </c>
      <c r="N23" s="42">
        <f t="shared" si="8"/>
        <v>905.61956440000006</v>
      </c>
      <c r="O23" s="42">
        <f t="shared" si="9"/>
        <v>887.60844440000005</v>
      </c>
      <c r="P23" s="42">
        <f t="shared" si="10"/>
        <v>922.64610979999998</v>
      </c>
      <c r="Q23" s="42">
        <f t="shared" si="11"/>
        <v>927.60150980000003</v>
      </c>
      <c r="R23" s="42">
        <f t="shared" si="12"/>
        <v>943.5754498</v>
      </c>
      <c r="S23" s="42">
        <f t="shared" si="13"/>
        <v>911.62774980000006</v>
      </c>
      <c r="T23" s="42">
        <f t="shared" si="14"/>
        <v>903.60501519999991</v>
      </c>
      <c r="U23" s="42">
        <f t="shared" si="15"/>
        <v>949.61050979999993</v>
      </c>
      <c r="V23" s="42">
        <f t="shared" si="16"/>
        <v>963.62615979999998</v>
      </c>
      <c r="W23" s="42">
        <f t="shared" si="17"/>
        <v>939.58059279999998</v>
      </c>
    </row>
    <row r="24" spans="1:23" x14ac:dyDescent="0.25">
      <c r="A24" s="18" t="s">
        <v>348</v>
      </c>
      <c r="B24" s="17" t="str">
        <f t="shared" si="0"/>
        <v>DGDG 33:0</v>
      </c>
      <c r="C24" s="1" t="str">
        <f t="shared" si="1"/>
        <v>33</v>
      </c>
      <c r="D24" s="1" t="str">
        <f t="shared" si="2"/>
        <v>0</v>
      </c>
      <c r="E24" s="17">
        <f t="shared" si="3"/>
        <v>48</v>
      </c>
      <c r="F24" s="17">
        <f t="shared" si="4"/>
        <v>90</v>
      </c>
      <c r="G24" s="17">
        <v>0</v>
      </c>
      <c r="H24" s="17">
        <f t="shared" si="5"/>
        <v>15</v>
      </c>
      <c r="I24" s="17">
        <v>0</v>
      </c>
      <c r="L24" s="19" t="str">
        <f t="shared" si="6"/>
        <v>C48H90O15</v>
      </c>
      <c r="M24" s="21">
        <f t="shared" si="18"/>
        <v>906.62793899999997</v>
      </c>
      <c r="N24" s="42">
        <f t="shared" si="8"/>
        <v>907.63521360000004</v>
      </c>
      <c r="O24" s="42">
        <f t="shared" si="9"/>
        <v>889.62409360000004</v>
      </c>
      <c r="P24" s="42">
        <f t="shared" si="10"/>
        <v>924.66175899999996</v>
      </c>
      <c r="Q24" s="42">
        <f t="shared" si="11"/>
        <v>929.61715900000002</v>
      </c>
      <c r="R24" s="42">
        <f t="shared" si="12"/>
        <v>945.59109899999999</v>
      </c>
      <c r="S24" s="42">
        <f t="shared" si="13"/>
        <v>913.64339900000004</v>
      </c>
      <c r="T24" s="42">
        <f t="shared" si="14"/>
        <v>905.6206643999999</v>
      </c>
      <c r="U24" s="42">
        <f t="shared" si="15"/>
        <v>951.62615899999992</v>
      </c>
      <c r="V24" s="42">
        <f t="shared" si="16"/>
        <v>965.64180899999997</v>
      </c>
      <c r="W24" s="42">
        <f t="shared" si="17"/>
        <v>941.59624199999996</v>
      </c>
    </row>
    <row r="25" spans="1:23" x14ac:dyDescent="0.25">
      <c r="A25" s="18" t="s">
        <v>349</v>
      </c>
      <c r="B25" s="17" t="str">
        <f t="shared" si="0"/>
        <v>DGDG 34:2</v>
      </c>
      <c r="C25" s="1" t="str">
        <f t="shared" si="1"/>
        <v>34</v>
      </c>
      <c r="D25" s="1" t="str">
        <f t="shared" si="2"/>
        <v>2</v>
      </c>
      <c r="E25" s="17">
        <f t="shared" si="3"/>
        <v>49</v>
      </c>
      <c r="F25" s="17">
        <f t="shared" si="4"/>
        <v>88</v>
      </c>
      <c r="G25" s="17">
        <v>0</v>
      </c>
      <c r="H25" s="17">
        <f t="shared" si="5"/>
        <v>15</v>
      </c>
      <c r="I25" s="17">
        <v>0</v>
      </c>
      <c r="L25" s="19" t="str">
        <f t="shared" si="6"/>
        <v>C49H88O15</v>
      </c>
      <c r="M25" s="21">
        <f t="shared" si="18"/>
        <v>916.61228979999999</v>
      </c>
      <c r="N25" s="42">
        <f t="shared" si="8"/>
        <v>917.61956440000006</v>
      </c>
      <c r="O25" s="42">
        <f t="shared" si="9"/>
        <v>899.60844440000005</v>
      </c>
      <c r="P25" s="42">
        <f t="shared" si="10"/>
        <v>934.64610979999998</v>
      </c>
      <c r="Q25" s="42">
        <f t="shared" si="11"/>
        <v>939.60150980000003</v>
      </c>
      <c r="R25" s="42">
        <f t="shared" si="12"/>
        <v>955.5754498</v>
      </c>
      <c r="S25" s="42">
        <f t="shared" si="13"/>
        <v>923.62774980000006</v>
      </c>
      <c r="T25" s="42">
        <f t="shared" si="14"/>
        <v>915.60501519999991</v>
      </c>
      <c r="U25" s="42">
        <f t="shared" si="15"/>
        <v>961.61050979999993</v>
      </c>
      <c r="V25" s="42">
        <f t="shared" si="16"/>
        <v>975.62615979999998</v>
      </c>
      <c r="W25" s="42">
        <f t="shared" si="17"/>
        <v>951.58059279999998</v>
      </c>
    </row>
    <row r="26" spans="1:23" x14ac:dyDescent="0.25">
      <c r="A26" s="18" t="s">
        <v>350</v>
      </c>
      <c r="B26" s="17" t="str">
        <f t="shared" si="0"/>
        <v>DGDG 34:1</v>
      </c>
      <c r="C26" s="1" t="str">
        <f t="shared" si="1"/>
        <v>34</v>
      </c>
      <c r="D26" s="1" t="str">
        <f t="shared" si="2"/>
        <v>1</v>
      </c>
      <c r="E26" s="17">
        <f t="shared" si="3"/>
        <v>49</v>
      </c>
      <c r="F26" s="17">
        <f t="shared" si="4"/>
        <v>90</v>
      </c>
      <c r="G26" s="17">
        <v>0</v>
      </c>
      <c r="H26" s="17">
        <f t="shared" si="5"/>
        <v>15</v>
      </c>
      <c r="I26" s="17">
        <v>0</v>
      </c>
      <c r="L26" s="19" t="str">
        <f t="shared" si="6"/>
        <v>C49H90O15</v>
      </c>
      <c r="M26" s="21">
        <f t="shared" si="18"/>
        <v>918.62793899999997</v>
      </c>
      <c r="N26" s="42">
        <f t="shared" si="8"/>
        <v>919.63521360000004</v>
      </c>
      <c r="O26" s="42">
        <f t="shared" si="9"/>
        <v>901.62409360000004</v>
      </c>
      <c r="P26" s="42">
        <f t="shared" si="10"/>
        <v>936.66175899999996</v>
      </c>
      <c r="Q26" s="42">
        <f t="shared" si="11"/>
        <v>941.61715900000002</v>
      </c>
      <c r="R26" s="42">
        <f t="shared" si="12"/>
        <v>957.59109899999999</v>
      </c>
      <c r="S26" s="42">
        <f t="shared" si="13"/>
        <v>925.64339900000004</v>
      </c>
      <c r="T26" s="42">
        <f t="shared" si="14"/>
        <v>917.6206643999999</v>
      </c>
      <c r="U26" s="42">
        <f t="shared" si="15"/>
        <v>963.62615899999992</v>
      </c>
      <c r="V26" s="42">
        <f t="shared" si="16"/>
        <v>977.64180899999997</v>
      </c>
      <c r="W26" s="42">
        <f>M26+34.968853-0.00055</f>
        <v>953.59624199999996</v>
      </c>
    </row>
    <row r="27" spans="1:23" x14ac:dyDescent="0.25">
      <c r="A27" s="18" t="s">
        <v>326</v>
      </c>
      <c r="B27" s="17" t="str">
        <f t="shared" si="0"/>
        <v>DGDG 34:0</v>
      </c>
      <c r="C27" s="1" t="str">
        <f t="shared" si="1"/>
        <v>34</v>
      </c>
      <c r="D27" s="1" t="str">
        <f t="shared" si="2"/>
        <v>0</v>
      </c>
      <c r="E27" s="17">
        <f t="shared" si="3"/>
        <v>49</v>
      </c>
      <c r="F27" s="17">
        <f t="shared" si="4"/>
        <v>92</v>
      </c>
      <c r="G27" s="17">
        <v>0</v>
      </c>
      <c r="H27" s="17">
        <f t="shared" si="5"/>
        <v>15</v>
      </c>
      <c r="I27" s="17">
        <v>0</v>
      </c>
      <c r="L27" s="19" t="str">
        <f t="shared" si="6"/>
        <v>C49H92O15</v>
      </c>
      <c r="M27" s="21">
        <f t="shared" si="18"/>
        <v>920.64358819999995</v>
      </c>
      <c r="N27" s="42">
        <f t="shared" si="8"/>
        <v>921.65086280000003</v>
      </c>
      <c r="O27" s="42">
        <f t="shared" si="9"/>
        <v>903.63974280000002</v>
      </c>
      <c r="P27" s="42">
        <f t="shared" si="10"/>
        <v>938.67740819999995</v>
      </c>
      <c r="Q27" s="42">
        <f t="shared" si="11"/>
        <v>943.6328082</v>
      </c>
      <c r="R27" s="42">
        <f t="shared" si="12"/>
        <v>959.60674819999997</v>
      </c>
      <c r="S27" s="42">
        <f t="shared" si="13"/>
        <v>927.65904820000003</v>
      </c>
      <c r="T27" s="42">
        <f t="shared" si="14"/>
        <v>919.63631359999988</v>
      </c>
      <c r="U27" s="42">
        <f t="shared" si="15"/>
        <v>965.6418081999999</v>
      </c>
      <c r="V27" s="42">
        <f t="shared" si="16"/>
        <v>979.65745819999995</v>
      </c>
      <c r="W27" s="42">
        <f t="shared" ref="W27:W40" si="19">M27+34.968853-0.00055</f>
        <v>955.61189119999995</v>
      </c>
    </row>
    <row r="28" spans="1:23" x14ac:dyDescent="0.25">
      <c r="A28" s="18" t="s">
        <v>351</v>
      </c>
      <c r="B28" s="17" t="str">
        <f t="shared" si="0"/>
        <v>DGDG 35:2</v>
      </c>
      <c r="C28" s="1" t="str">
        <f t="shared" si="1"/>
        <v>35</v>
      </c>
      <c r="D28" s="1" t="str">
        <f t="shared" si="2"/>
        <v>2</v>
      </c>
      <c r="E28" s="17">
        <f t="shared" si="3"/>
        <v>50</v>
      </c>
      <c r="F28" s="17">
        <f t="shared" si="4"/>
        <v>90</v>
      </c>
      <c r="G28" s="17">
        <v>0</v>
      </c>
      <c r="H28" s="17">
        <f t="shared" si="5"/>
        <v>15</v>
      </c>
      <c r="I28" s="17">
        <v>0</v>
      </c>
      <c r="L28" s="19" t="str">
        <f t="shared" si="6"/>
        <v>C50H90O15</v>
      </c>
      <c r="M28" s="21">
        <f t="shared" si="18"/>
        <v>930.62793899999997</v>
      </c>
      <c r="N28" s="42">
        <f t="shared" si="8"/>
        <v>931.63521360000004</v>
      </c>
      <c r="O28" s="42">
        <f t="shared" si="9"/>
        <v>913.62409360000004</v>
      </c>
      <c r="P28" s="42">
        <f t="shared" si="10"/>
        <v>948.66175899999996</v>
      </c>
      <c r="Q28" s="42">
        <f t="shared" si="11"/>
        <v>953.61715900000002</v>
      </c>
      <c r="R28" s="42">
        <f t="shared" si="12"/>
        <v>969.59109899999999</v>
      </c>
      <c r="S28" s="42">
        <f t="shared" si="13"/>
        <v>937.64339900000004</v>
      </c>
      <c r="T28" s="42">
        <f t="shared" si="14"/>
        <v>929.6206643999999</v>
      </c>
      <c r="U28" s="42">
        <f t="shared" si="15"/>
        <v>975.62615899999992</v>
      </c>
      <c r="V28" s="42">
        <f t="shared" si="16"/>
        <v>989.64180899999997</v>
      </c>
      <c r="W28" s="42">
        <f t="shared" si="19"/>
        <v>965.59624199999996</v>
      </c>
    </row>
    <row r="29" spans="1:23" x14ac:dyDescent="0.25">
      <c r="A29" s="18" t="s">
        <v>352</v>
      </c>
      <c r="B29" s="17" t="str">
        <f t="shared" si="0"/>
        <v>DGDG 35:1</v>
      </c>
      <c r="C29" s="1" t="str">
        <f t="shared" si="1"/>
        <v>35</v>
      </c>
      <c r="D29" s="1" t="str">
        <f t="shared" si="2"/>
        <v>1</v>
      </c>
      <c r="E29" s="17">
        <f t="shared" si="3"/>
        <v>50</v>
      </c>
      <c r="F29" s="17">
        <f t="shared" si="4"/>
        <v>92</v>
      </c>
      <c r="G29" s="17">
        <v>0</v>
      </c>
      <c r="H29" s="17">
        <f t="shared" si="5"/>
        <v>15</v>
      </c>
      <c r="I29" s="17">
        <v>0</v>
      </c>
      <c r="L29" s="19" t="str">
        <f t="shared" si="6"/>
        <v>C50H92O15</v>
      </c>
      <c r="M29" s="21">
        <f t="shared" si="18"/>
        <v>932.64358819999995</v>
      </c>
      <c r="N29" s="42">
        <f t="shared" si="8"/>
        <v>933.65086280000003</v>
      </c>
      <c r="O29" s="42">
        <f t="shared" si="9"/>
        <v>915.63974280000002</v>
      </c>
      <c r="P29" s="42">
        <f t="shared" si="10"/>
        <v>950.67740819999995</v>
      </c>
      <c r="Q29" s="42">
        <f t="shared" si="11"/>
        <v>955.6328082</v>
      </c>
      <c r="R29" s="42">
        <f t="shared" si="12"/>
        <v>971.60674819999997</v>
      </c>
      <c r="S29" s="42">
        <f t="shared" si="13"/>
        <v>939.65904820000003</v>
      </c>
      <c r="T29" s="42">
        <f t="shared" si="14"/>
        <v>931.63631359999988</v>
      </c>
      <c r="U29" s="42">
        <f t="shared" si="15"/>
        <v>977.6418081999999</v>
      </c>
      <c r="V29" s="42">
        <f t="shared" si="16"/>
        <v>991.65745819999995</v>
      </c>
      <c r="W29" s="42">
        <f t="shared" si="19"/>
        <v>967.61189119999995</v>
      </c>
    </row>
    <row r="30" spans="1:23" x14ac:dyDescent="0.25">
      <c r="A30" s="18" t="s">
        <v>353</v>
      </c>
      <c r="B30" s="17" t="str">
        <f t="shared" si="0"/>
        <v>DGDG 35:0</v>
      </c>
      <c r="C30" s="1" t="str">
        <f t="shared" si="1"/>
        <v>35</v>
      </c>
      <c r="D30" s="1" t="str">
        <f t="shared" si="2"/>
        <v>0</v>
      </c>
      <c r="E30" s="17">
        <f t="shared" si="3"/>
        <v>50</v>
      </c>
      <c r="F30" s="17">
        <f t="shared" si="4"/>
        <v>94</v>
      </c>
      <c r="G30" s="17">
        <v>0</v>
      </c>
      <c r="H30" s="17">
        <f t="shared" si="5"/>
        <v>15</v>
      </c>
      <c r="I30" s="17">
        <v>0</v>
      </c>
      <c r="L30" s="19" t="str">
        <f t="shared" si="6"/>
        <v>C50H94O15</v>
      </c>
      <c r="M30" s="21">
        <f t="shared" si="18"/>
        <v>934.65923739999994</v>
      </c>
      <c r="N30" s="42">
        <f t="shared" si="8"/>
        <v>935.66651200000001</v>
      </c>
      <c r="O30" s="42">
        <f t="shared" si="9"/>
        <v>917.65539200000001</v>
      </c>
      <c r="P30" s="42">
        <f t="shared" si="10"/>
        <v>952.69305739999993</v>
      </c>
      <c r="Q30" s="42">
        <f t="shared" si="11"/>
        <v>957.64845739999998</v>
      </c>
      <c r="R30" s="42">
        <f t="shared" si="12"/>
        <v>973.62239739999995</v>
      </c>
      <c r="S30" s="42">
        <f t="shared" si="13"/>
        <v>941.67469740000001</v>
      </c>
      <c r="T30" s="42">
        <f t="shared" si="14"/>
        <v>933.65196279999986</v>
      </c>
      <c r="U30" s="42">
        <f t="shared" si="15"/>
        <v>979.65745739999988</v>
      </c>
      <c r="V30" s="42">
        <f t="shared" si="16"/>
        <v>993.67310739999994</v>
      </c>
      <c r="W30" s="42">
        <f t="shared" si="19"/>
        <v>969.62754039999993</v>
      </c>
    </row>
    <row r="31" spans="1:23" x14ac:dyDescent="0.25">
      <c r="A31" s="18" t="s">
        <v>354</v>
      </c>
      <c r="B31" s="17" t="str">
        <f t="shared" si="0"/>
        <v>DGDG 36:2</v>
      </c>
      <c r="C31" s="1" t="str">
        <f t="shared" si="1"/>
        <v>36</v>
      </c>
      <c r="D31" s="1" t="str">
        <f t="shared" si="2"/>
        <v>2</v>
      </c>
      <c r="E31" s="17">
        <f t="shared" si="3"/>
        <v>51</v>
      </c>
      <c r="F31" s="17">
        <f t="shared" si="4"/>
        <v>92</v>
      </c>
      <c r="G31" s="17">
        <v>0</v>
      </c>
      <c r="H31" s="17">
        <f t="shared" si="5"/>
        <v>15</v>
      </c>
      <c r="I31" s="17">
        <v>0</v>
      </c>
      <c r="L31" s="19" t="str">
        <f t="shared" si="6"/>
        <v>C51H92O15</v>
      </c>
      <c r="M31" s="21">
        <f t="shared" si="18"/>
        <v>944.64358819999995</v>
      </c>
      <c r="N31" s="42">
        <f t="shared" si="8"/>
        <v>945.65086280000003</v>
      </c>
      <c r="O31" s="42">
        <f t="shared" si="9"/>
        <v>927.63974280000002</v>
      </c>
      <c r="P31" s="42">
        <f t="shared" si="10"/>
        <v>962.67740819999995</v>
      </c>
      <c r="Q31" s="42">
        <f t="shared" si="11"/>
        <v>967.6328082</v>
      </c>
      <c r="R31" s="42">
        <f t="shared" si="12"/>
        <v>983.60674819999997</v>
      </c>
      <c r="S31" s="42">
        <f t="shared" si="13"/>
        <v>951.65904820000003</v>
      </c>
      <c r="T31" s="42">
        <f t="shared" si="14"/>
        <v>943.63631359999988</v>
      </c>
      <c r="U31" s="42">
        <f t="shared" si="15"/>
        <v>989.6418081999999</v>
      </c>
      <c r="V31" s="42">
        <f t="shared" si="16"/>
        <v>1003.6574582</v>
      </c>
      <c r="W31" s="42">
        <f t="shared" si="19"/>
        <v>979.61189119999995</v>
      </c>
    </row>
    <row r="32" spans="1:23" x14ac:dyDescent="0.25">
      <c r="A32" s="18" t="s">
        <v>355</v>
      </c>
      <c r="B32" s="17" t="str">
        <f t="shared" si="0"/>
        <v>DGDG 36:1</v>
      </c>
      <c r="C32" s="1" t="str">
        <f t="shared" si="1"/>
        <v>36</v>
      </c>
      <c r="D32" s="1" t="str">
        <f t="shared" si="2"/>
        <v>1</v>
      </c>
      <c r="E32" s="17">
        <f t="shared" si="3"/>
        <v>51</v>
      </c>
      <c r="F32" s="17">
        <f t="shared" si="4"/>
        <v>94</v>
      </c>
      <c r="G32" s="17">
        <v>0</v>
      </c>
      <c r="H32" s="17">
        <f t="shared" si="5"/>
        <v>15</v>
      </c>
      <c r="I32" s="17">
        <v>0</v>
      </c>
      <c r="L32" s="19" t="str">
        <f t="shared" si="6"/>
        <v>C51H94O15</v>
      </c>
      <c r="M32" s="21">
        <f t="shared" si="18"/>
        <v>946.65923739999994</v>
      </c>
      <c r="N32" s="42">
        <f t="shared" si="8"/>
        <v>947.66651200000001</v>
      </c>
      <c r="O32" s="42">
        <f t="shared" si="9"/>
        <v>929.65539200000001</v>
      </c>
      <c r="P32" s="42">
        <f t="shared" si="10"/>
        <v>964.69305739999993</v>
      </c>
      <c r="Q32" s="42">
        <f t="shared" si="11"/>
        <v>969.64845739999998</v>
      </c>
      <c r="R32" s="42">
        <f t="shared" si="12"/>
        <v>985.62239739999995</v>
      </c>
      <c r="S32" s="42">
        <f t="shared" si="13"/>
        <v>953.67469740000001</v>
      </c>
      <c r="T32" s="42">
        <f t="shared" si="14"/>
        <v>945.65196279999986</v>
      </c>
      <c r="U32" s="42">
        <f t="shared" si="15"/>
        <v>991.65745739999988</v>
      </c>
      <c r="V32" s="42">
        <f t="shared" si="16"/>
        <v>1005.6731073999999</v>
      </c>
      <c r="W32" s="42">
        <f t="shared" si="19"/>
        <v>981.62754039999993</v>
      </c>
    </row>
    <row r="33" spans="1:23" x14ac:dyDescent="0.25">
      <c r="A33" s="18" t="s">
        <v>356</v>
      </c>
      <c r="B33" s="17" t="str">
        <f t="shared" si="0"/>
        <v>DGDG 36:0</v>
      </c>
      <c r="C33" s="1" t="str">
        <f t="shared" si="1"/>
        <v>36</v>
      </c>
      <c r="D33" s="1" t="str">
        <f t="shared" si="2"/>
        <v>0</v>
      </c>
      <c r="E33" s="17">
        <f t="shared" si="3"/>
        <v>51</v>
      </c>
      <c r="F33" s="17">
        <f t="shared" si="4"/>
        <v>96</v>
      </c>
      <c r="G33" s="17">
        <v>0</v>
      </c>
      <c r="H33" s="17">
        <f t="shared" si="5"/>
        <v>15</v>
      </c>
      <c r="I33" s="17">
        <v>0</v>
      </c>
      <c r="L33" s="19" t="str">
        <f t="shared" si="6"/>
        <v>C51H96O15</v>
      </c>
      <c r="M33" s="21">
        <f t="shared" si="18"/>
        <v>948.67488659999992</v>
      </c>
      <c r="N33" s="42">
        <f t="shared" si="8"/>
        <v>949.6821612</v>
      </c>
      <c r="O33" s="42">
        <f t="shared" si="9"/>
        <v>931.67104119999999</v>
      </c>
      <c r="P33" s="42">
        <f t="shared" si="10"/>
        <v>966.70870659999991</v>
      </c>
      <c r="Q33" s="42">
        <f t="shared" si="11"/>
        <v>971.66410659999997</v>
      </c>
      <c r="R33" s="42">
        <f t="shared" si="12"/>
        <v>987.63804659999994</v>
      </c>
      <c r="S33" s="42">
        <f t="shared" si="13"/>
        <v>955.6903466</v>
      </c>
      <c r="T33" s="42">
        <f t="shared" si="14"/>
        <v>947.66761199999985</v>
      </c>
      <c r="U33" s="42">
        <f t="shared" si="15"/>
        <v>993.67310659999987</v>
      </c>
      <c r="V33" s="42">
        <f t="shared" si="16"/>
        <v>1007.6887565999999</v>
      </c>
      <c r="W33" s="42">
        <f t="shared" si="19"/>
        <v>983.64318959999991</v>
      </c>
    </row>
    <row r="34" spans="1:23" x14ac:dyDescent="0.25">
      <c r="A34" s="18" t="s">
        <v>357</v>
      </c>
      <c r="B34" s="17" t="str">
        <f t="shared" si="0"/>
        <v>DGDG 37:2</v>
      </c>
      <c r="C34" s="1" t="str">
        <f t="shared" si="1"/>
        <v>37</v>
      </c>
      <c r="D34" s="1" t="str">
        <f t="shared" si="2"/>
        <v>2</v>
      </c>
      <c r="E34" s="17">
        <f t="shared" si="3"/>
        <v>52</v>
      </c>
      <c r="F34" s="17">
        <f t="shared" si="4"/>
        <v>94</v>
      </c>
      <c r="G34" s="17">
        <v>0</v>
      </c>
      <c r="H34" s="17">
        <f t="shared" si="5"/>
        <v>15</v>
      </c>
      <c r="I34" s="17">
        <v>0</v>
      </c>
      <c r="L34" s="19" t="str">
        <f t="shared" si="6"/>
        <v>C52H94O15</v>
      </c>
      <c r="M34" s="21">
        <f t="shared" si="18"/>
        <v>958.65923739999994</v>
      </c>
      <c r="N34" s="42">
        <f t="shared" si="8"/>
        <v>959.66651200000001</v>
      </c>
      <c r="O34" s="42">
        <f t="shared" si="9"/>
        <v>941.65539200000001</v>
      </c>
      <c r="P34" s="42">
        <f t="shared" si="10"/>
        <v>976.69305739999993</v>
      </c>
      <c r="Q34" s="42">
        <f t="shared" si="11"/>
        <v>981.64845739999998</v>
      </c>
      <c r="R34" s="42">
        <f t="shared" si="12"/>
        <v>997.62239739999995</v>
      </c>
      <c r="S34" s="42">
        <f t="shared" si="13"/>
        <v>965.67469740000001</v>
      </c>
      <c r="T34" s="42">
        <f t="shared" si="14"/>
        <v>957.65196279999986</v>
      </c>
      <c r="U34" s="42">
        <f t="shared" si="15"/>
        <v>1003.6574573999999</v>
      </c>
      <c r="V34" s="42">
        <f t="shared" si="16"/>
        <v>1017.6731073999999</v>
      </c>
      <c r="W34" s="42">
        <f t="shared" si="19"/>
        <v>993.62754039999993</v>
      </c>
    </row>
    <row r="35" spans="1:23" x14ac:dyDescent="0.25">
      <c r="A35" s="18" t="s">
        <v>358</v>
      </c>
      <c r="B35" s="17" t="str">
        <f t="shared" si="0"/>
        <v>DGDG 37:1</v>
      </c>
      <c r="C35" s="1" t="str">
        <f t="shared" si="1"/>
        <v>37</v>
      </c>
      <c r="D35" s="1" t="str">
        <f t="shared" si="2"/>
        <v>1</v>
      </c>
      <c r="E35" s="17">
        <f t="shared" si="3"/>
        <v>52</v>
      </c>
      <c r="F35" s="17">
        <f t="shared" si="4"/>
        <v>96</v>
      </c>
      <c r="G35" s="17">
        <v>0</v>
      </c>
      <c r="H35" s="17">
        <f t="shared" si="5"/>
        <v>15</v>
      </c>
      <c r="I35" s="17">
        <v>0</v>
      </c>
      <c r="L35" s="19" t="str">
        <f t="shared" si="6"/>
        <v>C52H96O15</v>
      </c>
      <c r="M35" s="21">
        <f t="shared" si="18"/>
        <v>960.67488659999992</v>
      </c>
      <c r="N35" s="42">
        <f t="shared" si="8"/>
        <v>961.6821612</v>
      </c>
      <c r="O35" s="42">
        <f t="shared" si="9"/>
        <v>943.67104119999999</v>
      </c>
      <c r="P35" s="42">
        <f t="shared" si="10"/>
        <v>978.70870659999991</v>
      </c>
      <c r="Q35" s="42">
        <f t="shared" si="11"/>
        <v>983.66410659999997</v>
      </c>
      <c r="R35" s="42">
        <f t="shared" si="12"/>
        <v>999.63804659999994</v>
      </c>
      <c r="S35" s="42">
        <f t="shared" si="13"/>
        <v>967.6903466</v>
      </c>
      <c r="T35" s="42">
        <f t="shared" si="14"/>
        <v>959.66761199999985</v>
      </c>
      <c r="U35" s="42">
        <f t="shared" si="15"/>
        <v>1005.6731065999999</v>
      </c>
      <c r="V35" s="42">
        <f t="shared" si="16"/>
        <v>1019.6887565999999</v>
      </c>
      <c r="W35" s="42">
        <f t="shared" si="19"/>
        <v>995.64318959999991</v>
      </c>
    </row>
    <row r="36" spans="1:23" x14ac:dyDescent="0.25">
      <c r="A36" s="18" t="s">
        <v>359</v>
      </c>
      <c r="B36" s="17" t="str">
        <f t="shared" si="0"/>
        <v>DGDG 37:0</v>
      </c>
      <c r="C36" s="1" t="str">
        <f t="shared" si="1"/>
        <v>37</v>
      </c>
      <c r="D36" s="1" t="str">
        <f t="shared" si="2"/>
        <v>0</v>
      </c>
      <c r="E36" s="17">
        <f t="shared" si="3"/>
        <v>52</v>
      </c>
      <c r="F36" s="17">
        <f t="shared" si="4"/>
        <v>98</v>
      </c>
      <c r="G36" s="17">
        <v>0</v>
      </c>
      <c r="H36" s="17">
        <f t="shared" si="5"/>
        <v>15</v>
      </c>
      <c r="I36" s="17">
        <v>0</v>
      </c>
      <c r="L36" s="19" t="str">
        <f t="shared" si="6"/>
        <v>C52H98O15</v>
      </c>
      <c r="M36" s="21">
        <f t="shared" si="18"/>
        <v>962.69053580000002</v>
      </c>
      <c r="N36" s="42">
        <f t="shared" si="8"/>
        <v>963.69781040000009</v>
      </c>
      <c r="O36" s="42">
        <f t="shared" si="9"/>
        <v>945.68669040000009</v>
      </c>
      <c r="P36" s="42">
        <f t="shared" si="10"/>
        <v>980.72435580000001</v>
      </c>
      <c r="Q36" s="42">
        <f t="shared" si="11"/>
        <v>985.67975580000007</v>
      </c>
      <c r="R36" s="42">
        <f t="shared" si="12"/>
        <v>1001.6536958</v>
      </c>
      <c r="S36" s="42">
        <f t="shared" si="13"/>
        <v>969.7059958000001</v>
      </c>
      <c r="T36" s="42">
        <f t="shared" si="14"/>
        <v>961.68326119999995</v>
      </c>
      <c r="U36" s="42">
        <f t="shared" si="15"/>
        <v>1007.6887558</v>
      </c>
      <c r="V36" s="42">
        <f t="shared" si="16"/>
        <v>1021.7044058</v>
      </c>
      <c r="W36" s="42">
        <f t="shared" si="19"/>
        <v>997.65883880000001</v>
      </c>
    </row>
    <row r="37" spans="1:23" x14ac:dyDescent="0.25">
      <c r="A37" s="18" t="s">
        <v>360</v>
      </c>
      <c r="B37" s="17" t="str">
        <f t="shared" si="0"/>
        <v>DGDG 38:2</v>
      </c>
      <c r="C37" s="1" t="str">
        <f t="shared" si="1"/>
        <v>38</v>
      </c>
      <c r="D37" s="1" t="str">
        <f t="shared" si="2"/>
        <v>2</v>
      </c>
      <c r="E37" s="17">
        <f t="shared" si="3"/>
        <v>53</v>
      </c>
      <c r="F37" s="17">
        <f t="shared" si="4"/>
        <v>96</v>
      </c>
      <c r="G37" s="17">
        <v>0</v>
      </c>
      <c r="H37" s="17">
        <f t="shared" si="5"/>
        <v>15</v>
      </c>
      <c r="I37" s="17">
        <v>0</v>
      </c>
      <c r="L37" s="19" t="str">
        <f t="shared" si="6"/>
        <v>C53H96O15</v>
      </c>
      <c r="M37" s="21">
        <f t="shared" si="18"/>
        <v>972.67488659999992</v>
      </c>
      <c r="N37" s="42">
        <f t="shared" si="8"/>
        <v>973.6821612</v>
      </c>
      <c r="O37" s="42">
        <f t="shared" si="9"/>
        <v>955.67104119999999</v>
      </c>
      <c r="P37" s="42">
        <f t="shared" si="10"/>
        <v>990.70870659999991</v>
      </c>
      <c r="Q37" s="42">
        <f t="shared" si="11"/>
        <v>995.66410659999997</v>
      </c>
      <c r="R37" s="42">
        <f t="shared" si="12"/>
        <v>1011.6380465999999</v>
      </c>
      <c r="S37" s="42">
        <f t="shared" si="13"/>
        <v>979.6903466</v>
      </c>
      <c r="T37" s="42">
        <f t="shared" si="14"/>
        <v>971.66761199999985</v>
      </c>
      <c r="U37" s="42">
        <f t="shared" si="15"/>
        <v>1017.6731065999999</v>
      </c>
      <c r="V37" s="42">
        <f t="shared" si="16"/>
        <v>1031.6887565999998</v>
      </c>
      <c r="W37" s="42">
        <f t="shared" si="19"/>
        <v>1007.6431895999999</v>
      </c>
    </row>
    <row r="38" spans="1:23" x14ac:dyDescent="0.25">
      <c r="A38" s="18" t="s">
        <v>361</v>
      </c>
      <c r="B38" s="17" t="str">
        <f t="shared" si="0"/>
        <v>DGDG 38:1</v>
      </c>
      <c r="C38" s="1" t="str">
        <f t="shared" si="1"/>
        <v>38</v>
      </c>
      <c r="D38" s="1" t="str">
        <f t="shared" si="2"/>
        <v>1</v>
      </c>
      <c r="E38" s="17">
        <f t="shared" si="3"/>
        <v>53</v>
      </c>
      <c r="F38" s="17">
        <f t="shared" si="4"/>
        <v>98</v>
      </c>
      <c r="G38" s="17">
        <v>0</v>
      </c>
      <c r="H38" s="17">
        <f t="shared" si="5"/>
        <v>15</v>
      </c>
      <c r="I38" s="17">
        <v>0</v>
      </c>
      <c r="L38" s="19" t="str">
        <f t="shared" si="6"/>
        <v>C53H98O15</v>
      </c>
      <c r="M38" s="21">
        <f t="shared" si="18"/>
        <v>974.69053580000002</v>
      </c>
      <c r="N38" s="42">
        <f t="shared" si="8"/>
        <v>975.69781040000009</v>
      </c>
      <c r="O38" s="42">
        <f t="shared" si="9"/>
        <v>957.68669040000009</v>
      </c>
      <c r="P38" s="42">
        <f t="shared" si="10"/>
        <v>992.72435580000001</v>
      </c>
      <c r="Q38" s="42">
        <f t="shared" si="11"/>
        <v>997.67975580000007</v>
      </c>
      <c r="R38" s="42">
        <f t="shared" si="12"/>
        <v>1013.6536958</v>
      </c>
      <c r="S38" s="42">
        <f t="shared" si="13"/>
        <v>981.7059958000001</v>
      </c>
      <c r="T38" s="42">
        <f t="shared" si="14"/>
        <v>973.68326119999995</v>
      </c>
      <c r="U38" s="42">
        <f t="shared" si="15"/>
        <v>1019.6887558</v>
      </c>
      <c r="V38" s="42">
        <f t="shared" si="16"/>
        <v>1033.7044057999999</v>
      </c>
      <c r="W38" s="42">
        <f t="shared" si="19"/>
        <v>1009.6588388</v>
      </c>
    </row>
    <row r="39" spans="1:23" x14ac:dyDescent="0.25">
      <c r="A39" s="18" t="s">
        <v>362</v>
      </c>
      <c r="B39" s="17" t="str">
        <f t="shared" si="0"/>
        <v>DGDG 38:0</v>
      </c>
      <c r="C39" s="1" t="str">
        <f t="shared" si="1"/>
        <v>38</v>
      </c>
      <c r="D39" s="1" t="str">
        <f t="shared" si="2"/>
        <v>0</v>
      </c>
      <c r="E39" s="17">
        <f t="shared" si="3"/>
        <v>53</v>
      </c>
      <c r="F39" s="17">
        <f t="shared" si="4"/>
        <v>100</v>
      </c>
      <c r="G39" s="17">
        <v>0</v>
      </c>
      <c r="H39" s="17">
        <f t="shared" si="5"/>
        <v>15</v>
      </c>
      <c r="I39" s="17">
        <v>0</v>
      </c>
      <c r="L39" s="19" t="str">
        <f t="shared" si="6"/>
        <v>C53H100O15</v>
      </c>
      <c r="M39" s="21">
        <f t="shared" si="18"/>
        <v>976.706185</v>
      </c>
      <c r="N39" s="42">
        <f t="shared" si="8"/>
        <v>977.71345960000008</v>
      </c>
      <c r="O39" s="42">
        <f t="shared" si="9"/>
        <v>959.70233960000007</v>
      </c>
      <c r="P39" s="42">
        <f t="shared" si="10"/>
        <v>994.740005</v>
      </c>
      <c r="Q39" s="42">
        <f t="shared" si="11"/>
        <v>999.69540500000005</v>
      </c>
      <c r="R39" s="42">
        <f t="shared" si="12"/>
        <v>1015.669345</v>
      </c>
      <c r="S39" s="42">
        <f t="shared" si="13"/>
        <v>983.72164500000008</v>
      </c>
      <c r="T39" s="42">
        <f t="shared" si="14"/>
        <v>975.69891039999993</v>
      </c>
      <c r="U39" s="42">
        <f t="shared" si="15"/>
        <v>1021.704405</v>
      </c>
      <c r="V39" s="42">
        <f t="shared" si="16"/>
        <v>1035.720055</v>
      </c>
      <c r="W39" s="42">
        <f t="shared" si="19"/>
        <v>1011.674488</v>
      </c>
    </row>
    <row r="40" spans="1:23" x14ac:dyDescent="0.25">
      <c r="A40" s="17" t="s">
        <v>373</v>
      </c>
      <c r="B40" s="17" t="str">
        <f t="shared" si="0"/>
        <v>DGDG 39:0</v>
      </c>
      <c r="C40" s="1" t="str">
        <f t="shared" si="1"/>
        <v>39</v>
      </c>
      <c r="D40" s="1" t="str">
        <f t="shared" si="2"/>
        <v>0</v>
      </c>
      <c r="E40" s="17">
        <f t="shared" si="3"/>
        <v>54</v>
      </c>
      <c r="F40" s="17">
        <f t="shared" si="4"/>
        <v>102</v>
      </c>
      <c r="G40" s="17">
        <v>0</v>
      </c>
      <c r="H40" s="17">
        <f t="shared" si="5"/>
        <v>15</v>
      </c>
      <c r="I40" s="17">
        <v>0</v>
      </c>
      <c r="L40" s="19" t="str">
        <f t="shared" si="6"/>
        <v>C54H102O15</v>
      </c>
      <c r="M40" s="21">
        <f t="shared" si="18"/>
        <v>990.72183419999999</v>
      </c>
      <c r="N40" s="42">
        <f t="shared" si="8"/>
        <v>991.72910880000006</v>
      </c>
      <c r="O40" s="42">
        <f t="shared" si="9"/>
        <v>973.71798880000006</v>
      </c>
      <c r="P40" s="42">
        <f t="shared" si="10"/>
        <v>1008.7556542</v>
      </c>
      <c r="Q40" s="42">
        <f t="shared" si="11"/>
        <v>1013.7110542</v>
      </c>
      <c r="R40" s="42">
        <f t="shared" si="12"/>
        <v>1029.6849942000001</v>
      </c>
      <c r="S40" s="42">
        <f t="shared" si="13"/>
        <v>997.73729420000006</v>
      </c>
      <c r="T40" s="42">
        <f t="shared" si="14"/>
        <v>989.71455959999992</v>
      </c>
      <c r="U40" s="42">
        <f t="shared" si="15"/>
        <v>1035.7200542</v>
      </c>
      <c r="V40" s="42">
        <f t="shared" si="16"/>
        <v>1049.7357041999999</v>
      </c>
      <c r="W40" s="42">
        <f t="shared" si="19"/>
        <v>1025.6901372</v>
      </c>
    </row>
    <row r="41" spans="1:23" x14ac:dyDescent="0.25">
      <c r="C41" s="1"/>
      <c r="D41" s="1"/>
    </row>
    <row r="44" spans="1:23" x14ac:dyDescent="0.25">
      <c r="C44" s="43"/>
      <c r="D44" s="43"/>
      <c r="W44" s="44"/>
    </row>
    <row r="45" spans="1:23" x14ac:dyDescent="0.25">
      <c r="C45" s="1"/>
      <c r="D45" s="1"/>
      <c r="W45" s="42"/>
    </row>
    <row r="46" spans="1:23" x14ac:dyDescent="0.25">
      <c r="C46" s="1"/>
      <c r="D46" s="1"/>
      <c r="W46" s="42"/>
    </row>
    <row r="47" spans="1:23" x14ac:dyDescent="0.25">
      <c r="C47" s="1"/>
      <c r="D47" s="1"/>
      <c r="W47" s="42"/>
    </row>
    <row r="48" spans="1:23" x14ac:dyDescent="0.25">
      <c r="C48" s="1"/>
      <c r="D48" s="1"/>
      <c r="W48" s="42"/>
    </row>
    <row r="49" spans="1:23" x14ac:dyDescent="0.25">
      <c r="C49" s="1"/>
      <c r="D49" s="1"/>
      <c r="W49" s="42"/>
    </row>
    <row r="50" spans="1:23" x14ac:dyDescent="0.25">
      <c r="C50" s="1"/>
      <c r="D50" s="1"/>
      <c r="W50" s="42"/>
    </row>
    <row r="51" spans="1:23" x14ac:dyDescent="0.25">
      <c r="C51" s="1"/>
      <c r="D51" s="1"/>
      <c r="W51" s="42"/>
    </row>
    <row r="52" spans="1:23" x14ac:dyDescent="0.25">
      <c r="C52" s="1"/>
      <c r="D52" s="1"/>
      <c r="W52" s="42"/>
    </row>
    <row r="53" spans="1:23" x14ac:dyDescent="0.25">
      <c r="C53" s="1"/>
      <c r="D53" s="1"/>
      <c r="W53" s="42"/>
    </row>
    <row r="54" spans="1:23" x14ac:dyDescent="0.25">
      <c r="C54" s="1"/>
      <c r="D54" s="1"/>
      <c r="W54" s="42"/>
    </row>
    <row r="57" spans="1:23" x14ac:dyDescent="0.25">
      <c r="A57"/>
      <c r="C57" s="1"/>
      <c r="D57" s="1"/>
      <c r="W57" s="42"/>
    </row>
    <row r="58" spans="1:23" x14ac:dyDescent="0.25">
      <c r="A58"/>
      <c r="C58" s="1"/>
      <c r="D58" s="1"/>
      <c r="W58" s="42"/>
    </row>
    <row r="59" spans="1:23" x14ac:dyDescent="0.25">
      <c r="A59"/>
      <c r="C59" s="1"/>
      <c r="D59" s="1"/>
      <c r="W59" s="42"/>
    </row>
    <row r="60" spans="1:23" x14ac:dyDescent="0.25">
      <c r="A60"/>
      <c r="C60" s="1"/>
      <c r="D60" s="1"/>
      <c r="W60" s="42"/>
    </row>
    <row r="61" spans="1:23" x14ac:dyDescent="0.25">
      <c r="A61"/>
      <c r="C61" s="1"/>
      <c r="D61" s="1"/>
      <c r="W61" s="42"/>
    </row>
    <row r="62" spans="1:23" x14ac:dyDescent="0.25">
      <c r="A62"/>
      <c r="C62" s="1"/>
      <c r="D62" s="1"/>
      <c r="W62" s="42"/>
    </row>
    <row r="63" spans="1:23" x14ac:dyDescent="0.25">
      <c r="A63"/>
      <c r="C63" s="1"/>
      <c r="D63" s="1"/>
      <c r="W63" s="42"/>
    </row>
    <row r="64" spans="1:23" x14ac:dyDescent="0.25">
      <c r="A64"/>
      <c r="C64" s="1"/>
      <c r="D64" s="1"/>
      <c r="W64" s="42"/>
    </row>
    <row r="65" spans="1:23" x14ac:dyDescent="0.25">
      <c r="A65"/>
      <c r="C65" s="1"/>
      <c r="D65" s="1"/>
      <c r="W65" s="42"/>
    </row>
    <row r="67" spans="1:23" x14ac:dyDescent="0.25">
      <c r="C67" s="1"/>
      <c r="D67" s="1"/>
      <c r="W67" s="42"/>
    </row>
    <row r="68" spans="1:23" x14ac:dyDescent="0.25">
      <c r="C68" s="1"/>
      <c r="D68" s="1"/>
      <c r="W68" s="42"/>
    </row>
    <row r="69" spans="1:23" x14ac:dyDescent="0.25">
      <c r="C69" s="1"/>
      <c r="D69" s="1"/>
      <c r="W69" s="42"/>
    </row>
  </sheetData>
  <sortState ref="A3:X41">
    <sortCondition ref="M3:M41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X72"/>
  <sheetViews>
    <sheetView showGridLines="0" zoomScaleNormal="100" workbookViewId="0">
      <pane xSplit="1" ySplit="2" topLeftCell="B3" activePane="bottomRight" state="frozen"/>
      <selection pane="topRight"/>
      <selection pane="bottomLeft"/>
      <selection pane="bottomRight" activeCell="Q27" sqref="Q27"/>
    </sheetView>
  </sheetViews>
  <sheetFormatPr defaultColWidth="9.140625" defaultRowHeight="15.75" x14ac:dyDescent="0.25"/>
  <cols>
    <col min="1" max="1" width="19.7109375" style="17" customWidth="1"/>
    <col min="2" max="2" width="0.7109375" style="17" customWidth="1"/>
    <col min="3" max="3" width="3.85546875" style="17" hidden="1" customWidth="1"/>
    <col min="4" max="4" width="2.5703125" style="17" hidden="1" customWidth="1"/>
    <col min="5" max="5" width="4.85546875" style="17" hidden="1" customWidth="1"/>
    <col min="6" max="6" width="6.85546875" style="17" hidden="1" customWidth="1"/>
    <col min="7" max="9" width="10.85546875" style="17" hidden="1" customWidth="1"/>
    <col min="10" max="10" width="9.5703125" style="17" hidden="1" customWidth="1"/>
    <col min="11" max="11" width="18.7109375" style="17" hidden="1" customWidth="1"/>
    <col min="12" max="12" width="17" style="19" bestFit="1" customWidth="1"/>
    <col min="13" max="13" width="15.85546875" style="19" bestFit="1" customWidth="1"/>
    <col min="14" max="14" width="12.140625" style="19" bestFit="1" customWidth="1"/>
    <col min="15" max="15" width="14.42578125" style="19" bestFit="1" customWidth="1"/>
    <col min="16" max="16" width="12.140625" style="19" bestFit="1" customWidth="1"/>
    <col min="17" max="17" width="10.85546875" style="42" bestFit="1" customWidth="1"/>
    <col min="18" max="19" width="12.140625" style="19" bestFit="1" customWidth="1"/>
    <col min="20" max="20" width="13.5703125" style="49" bestFit="1" customWidth="1"/>
    <col min="21" max="21" width="13.28515625" style="42" bestFit="1" customWidth="1"/>
    <col min="22" max="22" width="13.5703125" style="19" bestFit="1" customWidth="1"/>
    <col min="23" max="23" width="16.5703125" style="19" bestFit="1" customWidth="1"/>
    <col min="24" max="24" width="15.42578125" style="17" bestFit="1" customWidth="1"/>
  </cols>
  <sheetData>
    <row r="1" spans="1:24" s="28" customFormat="1" x14ac:dyDescent="0.25">
      <c r="A1" s="27" t="s">
        <v>59</v>
      </c>
      <c r="B1" s="27" t="s">
        <v>5</v>
      </c>
      <c r="C1" s="27"/>
      <c r="D1" s="27"/>
      <c r="E1" s="27"/>
      <c r="F1" s="27"/>
      <c r="G1" s="27" t="s">
        <v>0</v>
      </c>
      <c r="H1" s="27" t="s">
        <v>1</v>
      </c>
      <c r="I1" s="27" t="s">
        <v>2</v>
      </c>
      <c r="J1" s="27" t="s">
        <v>9</v>
      </c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40" t="s">
        <v>6</v>
      </c>
      <c r="R1" s="29" t="s">
        <v>29</v>
      </c>
      <c r="S1" s="29" t="s">
        <v>30</v>
      </c>
      <c r="T1" s="50" t="s">
        <v>12</v>
      </c>
      <c r="U1" s="40" t="s">
        <v>545</v>
      </c>
      <c r="V1" s="29" t="s">
        <v>10</v>
      </c>
      <c r="W1" s="29" t="s">
        <v>11</v>
      </c>
      <c r="X1" s="27"/>
    </row>
    <row r="2" spans="1:24" hidden="1" x14ac:dyDescent="0.25">
      <c r="A2" s="17" t="s">
        <v>91</v>
      </c>
      <c r="B2" s="17" t="str">
        <f t="shared" ref="B2:B47" si="0"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PG 32:1</v>
      </c>
      <c r="C2" s="1" t="str">
        <f t="shared" ref="C2:C47" si="1">MID(B2,4,FIND(":",B2)-FIND(" ",B2)-1)</f>
        <v>32</v>
      </c>
      <c r="D2" s="1" t="str">
        <f t="shared" ref="D2:D47" si="2">IF(ISNUMBER(SEARCH("__",B2)),MID(B2,FIND(":",B2)+1,FIND("__",B2)-FIND(":",B2)-1),MID(B2,FIND(":",B2)+1,7))</f>
        <v>1</v>
      </c>
      <c r="G2" s="17">
        <f t="shared" ref="G2:G47" si="3">C2+6</f>
        <v>38</v>
      </c>
      <c r="H2" s="17">
        <f t="shared" ref="H2:H47" si="4">2*G2-(2*D2)-1-((LEN(A2)-LEN(SUBSTITUTE(A2,"_O_","")))/LEN("_O_"))*2-((LEN(A2)-LEN(SUBSTITUTE(A2,"_CHO_","")))/LEN("_CHO_"))*2-((LEN(A2)-LEN(SUBSTITUTE(A2,"_COOH_","")))/LEN("_COOH_"))*2</f>
        <v>73</v>
      </c>
      <c r="I2" s="17">
        <f t="shared" ref="I2:I47" si="5">10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10</v>
      </c>
      <c r="J2" s="17">
        <v>1</v>
      </c>
      <c r="L2" s="19" t="str">
        <f t="shared" ref="L2:L47" si="6">CONCATENATE("C",G2,"H",H2,"O",I2,"P",J2)</f>
        <v>C38H73O10P1</v>
      </c>
      <c r="M2" s="19">
        <f t="shared" ref="M2:M47" si="7">(G2*12)+(H2*1.0078246)+(I2*15.994915)+(J2*30.973763)</f>
        <v>720.49410879999994</v>
      </c>
      <c r="N2" s="19">
        <f t="shared" ref="N2:N47" si="8">M2+1.0078246-0.00055</f>
        <v>721.50138340000001</v>
      </c>
      <c r="O2" s="19">
        <f t="shared" ref="O2:O47" si="9">N2-18.01057-0.00055</f>
        <v>703.4902634</v>
      </c>
      <c r="P2" s="19">
        <f t="shared" ref="P2:P47" si="10">M2+18.03437-0.00055</f>
        <v>738.52792879999993</v>
      </c>
      <c r="Q2" s="42">
        <f t="shared" ref="Q2:Q47" si="11">M2+22.98977-0.00055</f>
        <v>743.48332879999998</v>
      </c>
      <c r="R2" s="19">
        <f t="shared" ref="R2:R47" si="12">M2+38.96371-0.00055</f>
        <v>759.45726879999995</v>
      </c>
      <c r="S2" s="19">
        <f t="shared" ref="S2:S47" si="13">M2+7.01601-0.00055</f>
        <v>727.50956880000001</v>
      </c>
      <c r="T2" s="49">
        <f t="shared" ref="T2:T47" si="14">M2-1.0078246+0.00055</f>
        <v>719.48683419999986</v>
      </c>
      <c r="V2" s="19">
        <f t="shared" ref="V2:V47" si="15">M2+44.99767+0.00055</f>
        <v>765.49232879999988</v>
      </c>
      <c r="W2" s="19">
        <f t="shared" ref="W2:W47" si="16">M2+59.01332+0.00055</f>
        <v>779.50797879999993</v>
      </c>
    </row>
    <row r="3" spans="1:24" x14ac:dyDescent="0.25">
      <c r="A3" s="17" t="s">
        <v>385</v>
      </c>
      <c r="B3" s="17" t="str">
        <f t="shared" si="0"/>
        <v>PG 24:0</v>
      </c>
      <c r="C3" s="1" t="str">
        <f t="shared" si="1"/>
        <v>24</v>
      </c>
      <c r="D3" s="1" t="str">
        <f t="shared" si="2"/>
        <v>0</v>
      </c>
      <c r="G3" s="17">
        <f t="shared" si="3"/>
        <v>30</v>
      </c>
      <c r="H3" s="17">
        <f t="shared" si="4"/>
        <v>59</v>
      </c>
      <c r="I3" s="17">
        <f t="shared" si="5"/>
        <v>10</v>
      </c>
      <c r="J3" s="17">
        <v>1</v>
      </c>
      <c r="L3" s="19" t="str">
        <f t="shared" si="6"/>
        <v>C30H59O10P1</v>
      </c>
      <c r="M3" s="19">
        <f t="shared" si="7"/>
        <v>610.38456439999993</v>
      </c>
      <c r="N3" s="19">
        <f t="shared" si="8"/>
        <v>611.391839</v>
      </c>
      <c r="O3" s="19">
        <f t="shared" si="9"/>
        <v>593.380719</v>
      </c>
      <c r="P3" s="19">
        <f t="shared" si="10"/>
        <v>628.41838439999992</v>
      </c>
      <c r="Q3" s="42">
        <f t="shared" si="11"/>
        <v>633.37378439999998</v>
      </c>
      <c r="R3" s="19">
        <f t="shared" si="12"/>
        <v>649.34772439999995</v>
      </c>
      <c r="S3" s="19">
        <f t="shared" si="13"/>
        <v>617.40002440000001</v>
      </c>
      <c r="T3" s="49">
        <f t="shared" si="14"/>
        <v>609.37728979999986</v>
      </c>
      <c r="U3" s="42">
        <f t="shared" ref="U3:U47" si="17">T3-18.01057</f>
        <v>591.36671979999983</v>
      </c>
      <c r="V3" s="19">
        <f t="shared" si="15"/>
        <v>655.38278439999988</v>
      </c>
      <c r="W3" s="19">
        <f t="shared" si="16"/>
        <v>669.39843439999993</v>
      </c>
    </row>
    <row r="4" spans="1:24" x14ac:dyDescent="0.25">
      <c r="A4" s="17" t="s">
        <v>384</v>
      </c>
      <c r="B4" s="17" t="str">
        <f t="shared" si="0"/>
        <v>PG 25:0</v>
      </c>
      <c r="C4" s="1" t="str">
        <f t="shared" si="1"/>
        <v>25</v>
      </c>
      <c r="D4" s="1" t="str">
        <f t="shared" si="2"/>
        <v>0</v>
      </c>
      <c r="G4" s="17">
        <f t="shared" si="3"/>
        <v>31</v>
      </c>
      <c r="H4" s="17">
        <f t="shared" si="4"/>
        <v>61</v>
      </c>
      <c r="I4" s="17">
        <f t="shared" si="5"/>
        <v>10</v>
      </c>
      <c r="J4" s="17">
        <v>1</v>
      </c>
      <c r="L4" s="19" t="str">
        <f t="shared" si="6"/>
        <v>C31H61O10P1</v>
      </c>
      <c r="M4" s="19">
        <f t="shared" si="7"/>
        <v>624.40021359999992</v>
      </c>
      <c r="N4" s="19">
        <f t="shared" si="8"/>
        <v>625.40748819999999</v>
      </c>
      <c r="O4" s="19">
        <f t="shared" si="9"/>
        <v>607.39636819999998</v>
      </c>
      <c r="P4" s="19">
        <f t="shared" si="10"/>
        <v>642.43403359999991</v>
      </c>
      <c r="Q4" s="42">
        <f t="shared" si="11"/>
        <v>647.38943359999996</v>
      </c>
      <c r="R4" s="19">
        <f t="shared" si="12"/>
        <v>663.36337359999993</v>
      </c>
      <c r="S4" s="19">
        <f t="shared" si="13"/>
        <v>631.41567359999999</v>
      </c>
      <c r="T4" s="49">
        <f t="shared" si="14"/>
        <v>623.39293899999984</v>
      </c>
      <c r="U4" s="42">
        <f t="shared" si="17"/>
        <v>605.38236899999981</v>
      </c>
      <c r="V4" s="19">
        <f t="shared" si="15"/>
        <v>669.39843359999986</v>
      </c>
      <c r="W4" s="19">
        <f t="shared" si="16"/>
        <v>683.41408359999991</v>
      </c>
    </row>
    <row r="5" spans="1:24" x14ac:dyDescent="0.25">
      <c r="A5" s="17" t="s">
        <v>300</v>
      </c>
      <c r="B5" s="17" t="str">
        <f t="shared" si="0"/>
        <v>PG 26:0</v>
      </c>
      <c r="C5" s="1" t="str">
        <f t="shared" si="1"/>
        <v>26</v>
      </c>
      <c r="D5" s="1" t="str">
        <f t="shared" si="2"/>
        <v>0</v>
      </c>
      <c r="G5" s="17">
        <f t="shared" si="3"/>
        <v>32</v>
      </c>
      <c r="H5" s="17">
        <f t="shared" si="4"/>
        <v>63</v>
      </c>
      <c r="I5" s="17">
        <f t="shared" si="5"/>
        <v>10</v>
      </c>
      <c r="J5" s="17">
        <v>1</v>
      </c>
      <c r="L5" s="19" t="str">
        <f t="shared" si="6"/>
        <v>C32H63O10P1</v>
      </c>
      <c r="M5" s="19">
        <f t="shared" si="7"/>
        <v>638.41586280000001</v>
      </c>
      <c r="N5" s="19">
        <f t="shared" si="8"/>
        <v>639.42313740000009</v>
      </c>
      <c r="O5" s="19">
        <f t="shared" si="9"/>
        <v>621.41201740000008</v>
      </c>
      <c r="P5" s="19">
        <f t="shared" si="10"/>
        <v>656.44968280000001</v>
      </c>
      <c r="Q5" s="42">
        <f t="shared" si="11"/>
        <v>661.40508280000006</v>
      </c>
      <c r="R5" s="19">
        <f t="shared" si="12"/>
        <v>677.37902280000003</v>
      </c>
      <c r="S5" s="19">
        <f t="shared" si="13"/>
        <v>645.43132280000009</v>
      </c>
      <c r="T5" s="49">
        <f t="shared" si="14"/>
        <v>637.40858819999994</v>
      </c>
      <c r="U5" s="42">
        <f t="shared" si="17"/>
        <v>619.39801819999991</v>
      </c>
      <c r="V5" s="19">
        <f t="shared" si="15"/>
        <v>683.41408279999996</v>
      </c>
      <c r="W5" s="19">
        <f t="shared" si="16"/>
        <v>697.42973280000001</v>
      </c>
    </row>
    <row r="6" spans="1:24" x14ac:dyDescent="0.25">
      <c r="A6" s="17" t="s">
        <v>299</v>
      </c>
      <c r="B6" s="17" t="str">
        <f t="shared" si="0"/>
        <v>PG 27:0</v>
      </c>
      <c r="C6" s="1" t="str">
        <f t="shared" si="1"/>
        <v>27</v>
      </c>
      <c r="D6" s="1" t="str">
        <f t="shared" si="2"/>
        <v>0</v>
      </c>
      <c r="G6" s="17">
        <f t="shared" si="3"/>
        <v>33</v>
      </c>
      <c r="H6" s="17">
        <f t="shared" si="4"/>
        <v>65</v>
      </c>
      <c r="I6" s="17">
        <f t="shared" si="5"/>
        <v>10</v>
      </c>
      <c r="J6" s="17">
        <v>1</v>
      </c>
      <c r="L6" s="19" t="str">
        <f t="shared" si="6"/>
        <v>C33H65O10P1</v>
      </c>
      <c r="M6" s="19">
        <f t="shared" si="7"/>
        <v>652.431512</v>
      </c>
      <c r="N6" s="19">
        <f t="shared" si="8"/>
        <v>653.43878660000007</v>
      </c>
      <c r="O6" s="19">
        <f t="shared" si="9"/>
        <v>635.42766660000007</v>
      </c>
      <c r="P6" s="19">
        <f t="shared" si="10"/>
        <v>670.46533199999999</v>
      </c>
      <c r="Q6" s="42">
        <f t="shared" si="11"/>
        <v>675.42073200000004</v>
      </c>
      <c r="R6" s="19">
        <f t="shared" si="12"/>
        <v>691.39467200000001</v>
      </c>
      <c r="S6" s="19">
        <f t="shared" si="13"/>
        <v>659.44697200000007</v>
      </c>
      <c r="T6" s="49">
        <f t="shared" si="14"/>
        <v>651.42423739999992</v>
      </c>
      <c r="U6" s="42">
        <f t="shared" si="17"/>
        <v>633.41366739999989</v>
      </c>
      <c r="V6" s="19">
        <f t="shared" si="15"/>
        <v>697.42973199999994</v>
      </c>
      <c r="W6" s="19">
        <f t="shared" si="16"/>
        <v>711.445382</v>
      </c>
    </row>
    <row r="7" spans="1:24" x14ac:dyDescent="0.25">
      <c r="A7" s="17" t="s">
        <v>652</v>
      </c>
      <c r="B7" s="17" t="str">
        <f t="shared" ref="B7" si="18">IF(ISNUMBER(SEARCH("(",A7)),IF(ISNUMBER(SEARCH("/",A7)),CONCATENATE(MID(A7,1,2)," ",(SUM(MID(A7,FIND("(",A7)+1,FIND(":",A7)-FIND("(",A7)-1),MID(A7,FIND("/",A7)+1,FIND(":",A7,FIND("/",A7))-FIND("/",A7)-1))),":",SUM(MID(A7,FIND(":",A7)+1,FIND("/",A7)-FIND(":",A7)-1),MID(A7,FIND(":",A7,FIND("/",A7))+1,FIND(")",A7)-FIND(":",A7,FIND("/",A7))-1)),MID(A7,(FIND(")",A7)+1),100)),CONCATENATE(MID(A7,1,2)," ",(SUM(MID(A7,FIND("(",A7)+1,FIND(":",A7)-FIND("(",A7)-1),MID(A7,FIND("_",A7)+1,FIND(":",A7,FIND("_",A7))-FIND("_",A7)-1))),":",SUM(MID(A7,FIND(":",A7)+1,FIND("_",A7)-FIND(":",A7)-1),MID(A7,FIND(":",A7,FIND("_",A7))+1,FIND(")",A7)-FIND(":",A7,FIND("_",A7))-1)),MID(A7,(FIND(")",A7)+1),100))),A7)</f>
        <v>PG 28:1</v>
      </c>
      <c r="C7" s="1" t="str">
        <f t="shared" ref="C7" si="19">MID(B7,4,FIND(":",B7)-FIND(" ",B7)-1)</f>
        <v>28</v>
      </c>
      <c r="D7" s="1" t="str">
        <f t="shared" ref="D7" si="20">IF(ISNUMBER(SEARCH("__",B7)),MID(B7,FIND(":",B7)+1,FIND("__",B7)-FIND(":",B7)-1),MID(B7,FIND(":",B7)+1,7))</f>
        <v>1</v>
      </c>
      <c r="G7" s="17">
        <f t="shared" ref="G7" si="21">C7+6</f>
        <v>34</v>
      </c>
      <c r="H7" s="17">
        <f t="shared" ref="H7" si="22">2*G7-(2*D7)-1-((LEN(A7)-LEN(SUBSTITUTE(A7,"_O_","")))/LEN("_O_"))*2-((LEN(A7)-LEN(SUBSTITUTE(A7,"_CHO_","")))/LEN("_CHO_"))*2-((LEN(A7)-LEN(SUBSTITUTE(A7,"_COOH_","")))/LEN("_COOH_"))*2</f>
        <v>65</v>
      </c>
      <c r="I7" s="17">
        <f t="shared" ref="I7" si="23">10+((LEN(A7)-LEN(SUBSTITUTE(A7,"_OH_","")))/LEN("_OH_"))*1+((LEN(A7)-LEN(SUBSTITUTE(A7,"_OOH_","")))/LEN("_OOH_"))*2+((LEN(A7)-LEN(SUBSTITUTE(A7,"_O_","")))/LEN("_O_"))*1+((LEN(A7)-LEN(SUBSTITUTE(A7,"_CHO_","")))/LEN("_CHO_"))*1+((LEN(A7)-LEN(SUBSTITUTE(A7,"_COOH_","")))/LEN("_COOH_"))*2</f>
        <v>10</v>
      </c>
      <c r="J7" s="17">
        <v>1</v>
      </c>
      <c r="L7" s="19" t="str">
        <f t="shared" ref="L7" si="24">CONCATENATE("C",G7,"H",H7,"O",I7,"P",J7)</f>
        <v>C34H65O10P1</v>
      </c>
      <c r="M7" s="19">
        <f t="shared" ref="M7" si="25">(G7*12)+(H7*1.0078246)+(I7*15.994915)+(J7*30.973763)</f>
        <v>664.431512</v>
      </c>
      <c r="N7" s="19">
        <f t="shared" ref="N7" si="26">M7+1.0078246-0.00055</f>
        <v>665.43878660000007</v>
      </c>
      <c r="O7" s="19">
        <f t="shared" ref="O7" si="27">N7-18.01057-0.00055</f>
        <v>647.42766660000007</v>
      </c>
      <c r="P7" s="19">
        <f t="shared" ref="P7" si="28">M7+18.03437-0.00055</f>
        <v>682.46533199999999</v>
      </c>
      <c r="Q7" s="42">
        <f t="shared" ref="Q7" si="29">M7+22.98977-0.00055</f>
        <v>687.42073200000004</v>
      </c>
      <c r="R7" s="19">
        <f t="shared" ref="R7" si="30">M7+38.96371-0.00055</f>
        <v>703.39467200000001</v>
      </c>
      <c r="S7" s="19">
        <f t="shared" ref="S7" si="31">M7+7.01601-0.00055</f>
        <v>671.44697200000007</v>
      </c>
      <c r="T7" s="49">
        <f t="shared" ref="T7" si="32">M7-1.0078246+0.00055</f>
        <v>663.42423739999992</v>
      </c>
      <c r="V7" s="19">
        <f t="shared" ref="V7" si="33">M7+44.99767+0.00055</f>
        <v>709.42973199999994</v>
      </c>
      <c r="W7" s="19">
        <f t="shared" ref="W7" si="34">M7+59.01332+0.00055</f>
        <v>723.445382</v>
      </c>
    </row>
    <row r="8" spans="1:24" x14ac:dyDescent="0.25">
      <c r="A8" s="17" t="s">
        <v>288</v>
      </c>
      <c r="B8" s="17" t="str">
        <f t="shared" si="0"/>
        <v>PG 28:0</v>
      </c>
      <c r="C8" s="1" t="str">
        <f t="shared" si="1"/>
        <v>28</v>
      </c>
      <c r="D8" s="1" t="str">
        <f t="shared" si="2"/>
        <v>0</v>
      </c>
      <c r="G8" s="17">
        <f t="shared" si="3"/>
        <v>34</v>
      </c>
      <c r="H8" s="17">
        <f t="shared" si="4"/>
        <v>67</v>
      </c>
      <c r="I8" s="17">
        <f t="shared" si="5"/>
        <v>10</v>
      </c>
      <c r="J8" s="17">
        <v>1</v>
      </c>
      <c r="L8" s="19" t="str">
        <f t="shared" si="6"/>
        <v>C34H67O10P1</v>
      </c>
      <c r="M8" s="19">
        <f t="shared" si="7"/>
        <v>666.44716119999998</v>
      </c>
      <c r="N8" s="19">
        <f t="shared" si="8"/>
        <v>667.45443580000006</v>
      </c>
      <c r="O8" s="19">
        <f t="shared" si="9"/>
        <v>649.44331580000005</v>
      </c>
      <c r="P8" s="19">
        <f t="shared" si="10"/>
        <v>684.48098119999997</v>
      </c>
      <c r="Q8" s="42">
        <f t="shared" si="11"/>
        <v>689.43638120000003</v>
      </c>
      <c r="R8" s="19">
        <f t="shared" si="12"/>
        <v>705.4103212</v>
      </c>
      <c r="S8" s="19">
        <f t="shared" si="13"/>
        <v>673.46262120000006</v>
      </c>
      <c r="T8" s="49">
        <f t="shared" si="14"/>
        <v>665.43988659999991</v>
      </c>
      <c r="U8" s="42">
        <f t="shared" si="17"/>
        <v>647.42931659999988</v>
      </c>
      <c r="V8" s="19">
        <f t="shared" si="15"/>
        <v>711.44538119999993</v>
      </c>
      <c r="W8" s="19">
        <f t="shared" si="16"/>
        <v>725.46103119999998</v>
      </c>
    </row>
    <row r="9" spans="1:24" x14ac:dyDescent="0.25">
      <c r="A9" s="17" t="s">
        <v>472</v>
      </c>
      <c r="B9" s="17" t="str">
        <f t="shared" si="0"/>
        <v>PG 29:3</v>
      </c>
      <c r="C9" s="1" t="str">
        <f t="shared" si="1"/>
        <v>29</v>
      </c>
      <c r="D9" s="1" t="str">
        <f t="shared" si="2"/>
        <v>3</v>
      </c>
      <c r="G9" s="17">
        <f t="shared" si="3"/>
        <v>35</v>
      </c>
      <c r="H9" s="17">
        <f t="shared" si="4"/>
        <v>63</v>
      </c>
      <c r="I9" s="17">
        <f t="shared" si="5"/>
        <v>10</v>
      </c>
      <c r="J9" s="17">
        <v>1</v>
      </c>
      <c r="L9" s="19" t="str">
        <f t="shared" si="6"/>
        <v>C35H63O10P1</v>
      </c>
      <c r="M9" s="19">
        <f t="shared" si="7"/>
        <v>674.41586280000001</v>
      </c>
      <c r="N9" s="19">
        <f t="shared" si="8"/>
        <v>675.42313740000009</v>
      </c>
      <c r="O9" s="19">
        <f t="shared" si="9"/>
        <v>657.41201740000008</v>
      </c>
      <c r="P9" s="19">
        <f t="shared" si="10"/>
        <v>692.44968280000001</v>
      </c>
      <c r="Q9" s="42">
        <f t="shared" si="11"/>
        <v>697.40508280000006</v>
      </c>
      <c r="R9" s="19">
        <f t="shared" si="12"/>
        <v>713.37902280000003</v>
      </c>
      <c r="S9" s="19">
        <f t="shared" si="13"/>
        <v>681.43132280000009</v>
      </c>
      <c r="T9" s="49">
        <f t="shared" si="14"/>
        <v>673.40858819999994</v>
      </c>
      <c r="U9" s="42">
        <f t="shared" si="17"/>
        <v>655.39801819999991</v>
      </c>
      <c r="V9" s="19">
        <f t="shared" si="15"/>
        <v>719.41408279999996</v>
      </c>
      <c r="W9" s="19">
        <f t="shared" si="16"/>
        <v>733.42973280000001</v>
      </c>
    </row>
    <row r="10" spans="1:24" x14ac:dyDescent="0.25">
      <c r="A10" s="17" t="s">
        <v>461</v>
      </c>
      <c r="B10" s="17" t="str">
        <f t="shared" si="0"/>
        <v>PG 29:2</v>
      </c>
      <c r="C10" s="1" t="str">
        <f t="shared" si="1"/>
        <v>29</v>
      </c>
      <c r="D10" s="1" t="str">
        <f t="shared" si="2"/>
        <v>2</v>
      </c>
      <c r="G10" s="17">
        <f t="shared" si="3"/>
        <v>35</v>
      </c>
      <c r="H10" s="17">
        <f t="shared" si="4"/>
        <v>65</v>
      </c>
      <c r="I10" s="17">
        <f t="shared" si="5"/>
        <v>10</v>
      </c>
      <c r="J10" s="17">
        <v>1</v>
      </c>
      <c r="L10" s="19" t="str">
        <f t="shared" si="6"/>
        <v>C35H65O10P1</v>
      </c>
      <c r="M10" s="19">
        <f t="shared" si="7"/>
        <v>676.431512</v>
      </c>
      <c r="N10" s="19">
        <f t="shared" si="8"/>
        <v>677.43878660000007</v>
      </c>
      <c r="O10" s="19">
        <f t="shared" si="9"/>
        <v>659.42766660000007</v>
      </c>
      <c r="P10" s="19">
        <f t="shared" si="10"/>
        <v>694.46533199999999</v>
      </c>
      <c r="Q10" s="42">
        <f t="shared" si="11"/>
        <v>699.42073200000004</v>
      </c>
      <c r="R10" s="19">
        <f t="shared" si="12"/>
        <v>715.39467200000001</v>
      </c>
      <c r="S10" s="19">
        <f t="shared" si="13"/>
        <v>683.44697200000007</v>
      </c>
      <c r="T10" s="49">
        <f t="shared" si="14"/>
        <v>675.42423739999992</v>
      </c>
      <c r="U10" s="42">
        <f t="shared" si="17"/>
        <v>657.41366739999989</v>
      </c>
      <c r="V10" s="19">
        <f t="shared" si="15"/>
        <v>721.42973199999994</v>
      </c>
      <c r="W10" s="19">
        <f t="shared" si="16"/>
        <v>735.445382</v>
      </c>
      <c r="X10" s="42"/>
    </row>
    <row r="11" spans="1:24" x14ac:dyDescent="0.25">
      <c r="A11" s="17" t="s">
        <v>454</v>
      </c>
      <c r="B11" s="17" t="str">
        <f t="shared" si="0"/>
        <v>PG 29:1</v>
      </c>
      <c r="C11" s="1" t="str">
        <f t="shared" si="1"/>
        <v>29</v>
      </c>
      <c r="D11" s="1" t="str">
        <f t="shared" si="2"/>
        <v>1</v>
      </c>
      <c r="G11" s="17">
        <f t="shared" si="3"/>
        <v>35</v>
      </c>
      <c r="H11" s="17">
        <f t="shared" si="4"/>
        <v>67</v>
      </c>
      <c r="I11" s="17">
        <f t="shared" si="5"/>
        <v>10</v>
      </c>
      <c r="J11" s="17">
        <v>1</v>
      </c>
      <c r="L11" s="19" t="str">
        <f t="shared" si="6"/>
        <v>C35H67O10P1</v>
      </c>
      <c r="M11" s="19">
        <f t="shared" si="7"/>
        <v>678.44716119999998</v>
      </c>
      <c r="N11" s="19">
        <f t="shared" si="8"/>
        <v>679.45443580000006</v>
      </c>
      <c r="O11" s="19">
        <f t="shared" si="9"/>
        <v>661.44331580000005</v>
      </c>
      <c r="P11" s="19">
        <f t="shared" si="10"/>
        <v>696.48098119999997</v>
      </c>
      <c r="Q11" s="42">
        <f t="shared" si="11"/>
        <v>701.43638120000003</v>
      </c>
      <c r="R11" s="19">
        <f t="shared" si="12"/>
        <v>717.4103212</v>
      </c>
      <c r="S11" s="19">
        <f t="shared" si="13"/>
        <v>685.46262120000006</v>
      </c>
      <c r="T11" s="49">
        <f t="shared" si="14"/>
        <v>677.43988659999991</v>
      </c>
      <c r="U11" s="42">
        <f t="shared" si="17"/>
        <v>659.42931659999988</v>
      </c>
      <c r="V11" s="19">
        <f t="shared" si="15"/>
        <v>723.44538119999993</v>
      </c>
      <c r="W11" s="19">
        <f t="shared" si="16"/>
        <v>737.46103119999998</v>
      </c>
      <c r="X11" s="42"/>
    </row>
    <row r="12" spans="1:24" x14ac:dyDescent="0.25">
      <c r="A12" s="17" t="s">
        <v>289</v>
      </c>
      <c r="B12" s="17" t="str">
        <f t="shared" si="0"/>
        <v>PG 29:0</v>
      </c>
      <c r="C12" s="1" t="str">
        <f t="shared" si="1"/>
        <v>29</v>
      </c>
      <c r="D12" s="1" t="str">
        <f t="shared" si="2"/>
        <v>0</v>
      </c>
      <c r="G12" s="17">
        <f t="shared" si="3"/>
        <v>35</v>
      </c>
      <c r="H12" s="17">
        <f t="shared" si="4"/>
        <v>69</v>
      </c>
      <c r="I12" s="17">
        <f t="shared" si="5"/>
        <v>10</v>
      </c>
      <c r="J12" s="17">
        <v>1</v>
      </c>
      <c r="L12" s="19" t="str">
        <f t="shared" si="6"/>
        <v>C35H69O10P1</v>
      </c>
      <c r="M12" s="19">
        <f t="shared" si="7"/>
        <v>680.46281039999997</v>
      </c>
      <c r="N12" s="19">
        <f t="shared" si="8"/>
        <v>681.47008500000004</v>
      </c>
      <c r="O12" s="19">
        <f t="shared" si="9"/>
        <v>663.45896500000003</v>
      </c>
      <c r="P12" s="19">
        <f t="shared" si="10"/>
        <v>698.49663039999996</v>
      </c>
      <c r="Q12" s="42">
        <f t="shared" si="11"/>
        <v>703.45203040000001</v>
      </c>
      <c r="R12" s="19">
        <f t="shared" si="12"/>
        <v>719.42597039999998</v>
      </c>
      <c r="S12" s="19">
        <f t="shared" si="13"/>
        <v>687.47827040000004</v>
      </c>
      <c r="T12" s="49">
        <f t="shared" si="14"/>
        <v>679.45553579999989</v>
      </c>
      <c r="U12" s="42">
        <f t="shared" si="17"/>
        <v>661.44496579999986</v>
      </c>
      <c r="V12" s="19">
        <f t="shared" si="15"/>
        <v>725.46103039999991</v>
      </c>
      <c r="W12" s="19">
        <f t="shared" si="16"/>
        <v>739.47668039999996</v>
      </c>
      <c r="X12" s="42"/>
    </row>
    <row r="13" spans="1:24" x14ac:dyDescent="0.25">
      <c r="A13" s="17" t="s">
        <v>473</v>
      </c>
      <c r="B13" s="17" t="str">
        <f t="shared" si="0"/>
        <v>PG 30:3</v>
      </c>
      <c r="C13" s="1" t="str">
        <f t="shared" si="1"/>
        <v>30</v>
      </c>
      <c r="D13" s="1" t="str">
        <f t="shared" si="2"/>
        <v>3</v>
      </c>
      <c r="G13" s="17">
        <f t="shared" si="3"/>
        <v>36</v>
      </c>
      <c r="H13" s="17">
        <f t="shared" si="4"/>
        <v>65</v>
      </c>
      <c r="I13" s="17">
        <f t="shared" si="5"/>
        <v>10</v>
      </c>
      <c r="J13" s="17">
        <v>1</v>
      </c>
      <c r="L13" s="19" t="str">
        <f t="shared" si="6"/>
        <v>C36H65O10P1</v>
      </c>
      <c r="M13" s="19">
        <f t="shared" si="7"/>
        <v>688.431512</v>
      </c>
      <c r="N13" s="19">
        <f t="shared" si="8"/>
        <v>689.43878660000007</v>
      </c>
      <c r="O13" s="19">
        <f t="shared" si="9"/>
        <v>671.42766660000007</v>
      </c>
      <c r="P13" s="19">
        <f t="shared" si="10"/>
        <v>706.46533199999999</v>
      </c>
      <c r="Q13" s="42">
        <f t="shared" si="11"/>
        <v>711.42073200000004</v>
      </c>
      <c r="R13" s="19">
        <f t="shared" si="12"/>
        <v>727.39467200000001</v>
      </c>
      <c r="S13" s="19">
        <f t="shared" si="13"/>
        <v>695.44697200000007</v>
      </c>
      <c r="T13" s="49">
        <f t="shared" si="14"/>
        <v>687.42423739999992</v>
      </c>
      <c r="U13" s="42">
        <f t="shared" si="17"/>
        <v>669.41366739999989</v>
      </c>
      <c r="V13" s="19">
        <f t="shared" si="15"/>
        <v>733.42973199999994</v>
      </c>
      <c r="W13" s="19">
        <f t="shared" si="16"/>
        <v>747.445382</v>
      </c>
      <c r="X13" s="42"/>
    </row>
    <row r="14" spans="1:24" x14ac:dyDescent="0.25">
      <c r="A14" s="17" t="s">
        <v>462</v>
      </c>
      <c r="B14" s="17" t="str">
        <f t="shared" si="0"/>
        <v>PG 30:2</v>
      </c>
      <c r="C14" s="1" t="str">
        <f t="shared" si="1"/>
        <v>30</v>
      </c>
      <c r="D14" s="1" t="str">
        <f t="shared" si="2"/>
        <v>2</v>
      </c>
      <c r="G14" s="17">
        <f t="shared" si="3"/>
        <v>36</v>
      </c>
      <c r="H14" s="17">
        <f t="shared" si="4"/>
        <v>67</v>
      </c>
      <c r="I14" s="17">
        <f t="shared" si="5"/>
        <v>10</v>
      </c>
      <c r="J14" s="17">
        <v>1</v>
      </c>
      <c r="L14" s="19" t="str">
        <f t="shared" si="6"/>
        <v>C36H67O10P1</v>
      </c>
      <c r="M14" s="19">
        <f t="shared" si="7"/>
        <v>690.44716119999998</v>
      </c>
      <c r="N14" s="19">
        <f t="shared" si="8"/>
        <v>691.45443580000006</v>
      </c>
      <c r="O14" s="19">
        <f t="shared" si="9"/>
        <v>673.44331580000005</v>
      </c>
      <c r="P14" s="19">
        <f t="shared" si="10"/>
        <v>708.48098119999997</v>
      </c>
      <c r="Q14" s="42">
        <f t="shared" si="11"/>
        <v>713.43638120000003</v>
      </c>
      <c r="R14" s="19">
        <f t="shared" si="12"/>
        <v>729.4103212</v>
      </c>
      <c r="S14" s="19">
        <f t="shared" si="13"/>
        <v>697.46262120000006</v>
      </c>
      <c r="T14" s="49">
        <f t="shared" si="14"/>
        <v>689.43988659999991</v>
      </c>
      <c r="U14" s="42">
        <f t="shared" si="17"/>
        <v>671.42931659999988</v>
      </c>
      <c r="V14" s="19">
        <f t="shared" si="15"/>
        <v>735.44538119999993</v>
      </c>
      <c r="W14" s="19">
        <f t="shared" si="16"/>
        <v>749.46103119999998</v>
      </c>
      <c r="X14" s="42"/>
    </row>
    <row r="15" spans="1:24" x14ac:dyDescent="0.25">
      <c r="A15" s="17" t="s">
        <v>455</v>
      </c>
      <c r="B15" s="17" t="str">
        <f t="shared" si="0"/>
        <v>PG 30:1</v>
      </c>
      <c r="C15" s="1" t="str">
        <f t="shared" si="1"/>
        <v>30</v>
      </c>
      <c r="D15" s="1" t="str">
        <f t="shared" si="2"/>
        <v>1</v>
      </c>
      <c r="G15" s="17">
        <f t="shared" si="3"/>
        <v>36</v>
      </c>
      <c r="H15" s="17">
        <f t="shared" si="4"/>
        <v>69</v>
      </c>
      <c r="I15" s="17">
        <f t="shared" si="5"/>
        <v>10</v>
      </c>
      <c r="J15" s="17">
        <v>1</v>
      </c>
      <c r="L15" s="19" t="str">
        <f t="shared" si="6"/>
        <v>C36H69O10P1</v>
      </c>
      <c r="M15" s="19">
        <f t="shared" si="7"/>
        <v>692.46281039999997</v>
      </c>
      <c r="N15" s="19">
        <f t="shared" si="8"/>
        <v>693.47008500000004</v>
      </c>
      <c r="O15" s="19">
        <f t="shared" si="9"/>
        <v>675.45896500000003</v>
      </c>
      <c r="P15" s="19">
        <f t="shared" si="10"/>
        <v>710.49663039999996</v>
      </c>
      <c r="Q15" s="42">
        <f t="shared" si="11"/>
        <v>715.45203040000001</v>
      </c>
      <c r="R15" s="19">
        <f t="shared" si="12"/>
        <v>731.42597039999998</v>
      </c>
      <c r="S15" s="19">
        <f t="shared" si="13"/>
        <v>699.47827040000004</v>
      </c>
      <c r="T15" s="49">
        <f t="shared" si="14"/>
        <v>691.45553579999989</v>
      </c>
      <c r="U15" s="42">
        <f t="shared" si="17"/>
        <v>673.44496579999986</v>
      </c>
      <c r="V15" s="19">
        <f t="shared" si="15"/>
        <v>737.46103039999991</v>
      </c>
      <c r="W15" s="19">
        <f t="shared" si="16"/>
        <v>751.47668039999996</v>
      </c>
      <c r="X15" s="42"/>
    </row>
    <row r="16" spans="1:24" x14ac:dyDescent="0.25">
      <c r="A16" s="17" t="s">
        <v>290</v>
      </c>
      <c r="B16" s="17" t="str">
        <f t="shared" si="0"/>
        <v>PG 30:0</v>
      </c>
      <c r="C16" s="1" t="str">
        <f t="shared" si="1"/>
        <v>30</v>
      </c>
      <c r="D16" s="1" t="str">
        <f t="shared" si="2"/>
        <v>0</v>
      </c>
      <c r="G16" s="17">
        <f t="shared" si="3"/>
        <v>36</v>
      </c>
      <c r="H16" s="17">
        <f t="shared" si="4"/>
        <v>71</v>
      </c>
      <c r="I16" s="17">
        <f t="shared" si="5"/>
        <v>10</v>
      </c>
      <c r="J16" s="17">
        <v>1</v>
      </c>
      <c r="L16" s="19" t="str">
        <f t="shared" si="6"/>
        <v>C36H71O10P1</v>
      </c>
      <c r="M16" s="19">
        <f t="shared" si="7"/>
        <v>694.47845959999995</v>
      </c>
      <c r="N16" s="19">
        <f t="shared" si="8"/>
        <v>695.48573420000002</v>
      </c>
      <c r="O16" s="19">
        <f t="shared" si="9"/>
        <v>677.47461420000002</v>
      </c>
      <c r="P16" s="19">
        <f t="shared" si="10"/>
        <v>712.51227959999994</v>
      </c>
      <c r="Q16" s="42">
        <f t="shared" si="11"/>
        <v>717.4676796</v>
      </c>
      <c r="R16" s="19">
        <f t="shared" si="12"/>
        <v>733.44161959999997</v>
      </c>
      <c r="S16" s="19">
        <f t="shared" si="13"/>
        <v>701.49391960000003</v>
      </c>
      <c r="T16" s="49">
        <f t="shared" si="14"/>
        <v>693.47118499999988</v>
      </c>
      <c r="U16" s="42">
        <f t="shared" si="17"/>
        <v>675.46061499999985</v>
      </c>
      <c r="V16" s="19">
        <f t="shared" si="15"/>
        <v>739.4766795999999</v>
      </c>
      <c r="W16" s="19">
        <f t="shared" si="16"/>
        <v>753.49232959999995</v>
      </c>
      <c r="X16" s="42"/>
    </row>
    <row r="17" spans="1:24" x14ac:dyDescent="0.25">
      <c r="A17" s="17" t="s">
        <v>474</v>
      </c>
      <c r="B17" s="17" t="str">
        <f t="shared" si="0"/>
        <v>PG 31:3</v>
      </c>
      <c r="C17" s="1" t="str">
        <f t="shared" si="1"/>
        <v>31</v>
      </c>
      <c r="D17" s="1" t="str">
        <f t="shared" si="2"/>
        <v>3</v>
      </c>
      <c r="G17" s="17">
        <f t="shared" si="3"/>
        <v>37</v>
      </c>
      <c r="H17" s="17">
        <f t="shared" si="4"/>
        <v>67</v>
      </c>
      <c r="I17" s="17">
        <f t="shared" si="5"/>
        <v>10</v>
      </c>
      <c r="J17" s="17">
        <v>1</v>
      </c>
      <c r="L17" s="19" t="str">
        <f t="shared" si="6"/>
        <v>C37H67O10P1</v>
      </c>
      <c r="M17" s="19">
        <f t="shared" si="7"/>
        <v>702.44716119999998</v>
      </c>
      <c r="N17" s="19">
        <f t="shared" si="8"/>
        <v>703.45443580000006</v>
      </c>
      <c r="O17" s="19">
        <f t="shared" si="9"/>
        <v>685.44331580000005</v>
      </c>
      <c r="P17" s="19">
        <f t="shared" si="10"/>
        <v>720.48098119999997</v>
      </c>
      <c r="Q17" s="42">
        <f t="shared" si="11"/>
        <v>725.43638120000003</v>
      </c>
      <c r="R17" s="19">
        <f t="shared" si="12"/>
        <v>741.4103212</v>
      </c>
      <c r="S17" s="19">
        <f t="shared" si="13"/>
        <v>709.46262120000006</v>
      </c>
      <c r="T17" s="49">
        <f t="shared" si="14"/>
        <v>701.43988659999991</v>
      </c>
      <c r="U17" s="42">
        <f t="shared" si="17"/>
        <v>683.42931659999988</v>
      </c>
      <c r="V17" s="19">
        <f t="shared" si="15"/>
        <v>747.44538119999993</v>
      </c>
      <c r="W17" s="19">
        <f t="shared" si="16"/>
        <v>761.46103119999998</v>
      </c>
      <c r="X17" s="42"/>
    </row>
    <row r="18" spans="1:24" x14ac:dyDescent="0.25">
      <c r="A18" s="17" t="s">
        <v>463</v>
      </c>
      <c r="B18" s="17" t="str">
        <f t="shared" si="0"/>
        <v>PG 31:2</v>
      </c>
      <c r="C18" s="1" t="str">
        <f t="shared" si="1"/>
        <v>31</v>
      </c>
      <c r="D18" s="1" t="str">
        <f t="shared" si="2"/>
        <v>2</v>
      </c>
      <c r="G18" s="17">
        <f t="shared" si="3"/>
        <v>37</v>
      </c>
      <c r="H18" s="17">
        <f t="shared" si="4"/>
        <v>69</v>
      </c>
      <c r="I18" s="17">
        <f t="shared" si="5"/>
        <v>10</v>
      </c>
      <c r="J18" s="17">
        <v>1</v>
      </c>
      <c r="L18" s="19" t="str">
        <f t="shared" si="6"/>
        <v>C37H69O10P1</v>
      </c>
      <c r="M18" s="19">
        <f t="shared" si="7"/>
        <v>704.46281039999997</v>
      </c>
      <c r="N18" s="19">
        <f t="shared" si="8"/>
        <v>705.47008500000004</v>
      </c>
      <c r="O18" s="19">
        <f t="shared" si="9"/>
        <v>687.45896500000003</v>
      </c>
      <c r="P18" s="19">
        <f t="shared" si="10"/>
        <v>722.49663039999996</v>
      </c>
      <c r="Q18" s="42">
        <f t="shared" si="11"/>
        <v>727.45203040000001</v>
      </c>
      <c r="R18" s="19">
        <f t="shared" si="12"/>
        <v>743.42597039999998</v>
      </c>
      <c r="S18" s="19">
        <f t="shared" si="13"/>
        <v>711.47827040000004</v>
      </c>
      <c r="T18" s="49">
        <f t="shared" si="14"/>
        <v>703.45553579999989</v>
      </c>
      <c r="U18" s="42">
        <f t="shared" si="17"/>
        <v>685.44496579999986</v>
      </c>
      <c r="V18" s="19">
        <f t="shared" si="15"/>
        <v>749.46103039999991</v>
      </c>
      <c r="W18" s="19">
        <f t="shared" si="16"/>
        <v>763.47668039999996</v>
      </c>
      <c r="X18" s="42"/>
    </row>
    <row r="19" spans="1:24" x14ac:dyDescent="0.25">
      <c r="A19" s="17" t="s">
        <v>456</v>
      </c>
      <c r="B19" s="17" t="str">
        <f t="shared" si="0"/>
        <v>PG 31:1</v>
      </c>
      <c r="C19" s="1" t="str">
        <f t="shared" si="1"/>
        <v>31</v>
      </c>
      <c r="D19" s="1" t="str">
        <f t="shared" si="2"/>
        <v>1</v>
      </c>
      <c r="G19" s="17">
        <f t="shared" si="3"/>
        <v>37</v>
      </c>
      <c r="H19" s="17">
        <f t="shared" si="4"/>
        <v>71</v>
      </c>
      <c r="I19" s="17">
        <f t="shared" si="5"/>
        <v>10</v>
      </c>
      <c r="J19" s="17">
        <v>1</v>
      </c>
      <c r="L19" s="19" t="str">
        <f t="shared" si="6"/>
        <v>C37H71O10P1</v>
      </c>
      <c r="M19" s="19">
        <f t="shared" si="7"/>
        <v>706.47845959999995</v>
      </c>
      <c r="N19" s="19">
        <f t="shared" si="8"/>
        <v>707.48573420000002</v>
      </c>
      <c r="O19" s="19">
        <f t="shared" si="9"/>
        <v>689.47461420000002</v>
      </c>
      <c r="P19" s="19">
        <f t="shared" si="10"/>
        <v>724.51227959999994</v>
      </c>
      <c r="Q19" s="42">
        <f t="shared" si="11"/>
        <v>729.4676796</v>
      </c>
      <c r="R19" s="19">
        <f t="shared" si="12"/>
        <v>745.44161959999997</v>
      </c>
      <c r="S19" s="19">
        <f t="shared" si="13"/>
        <v>713.49391960000003</v>
      </c>
      <c r="T19" s="49">
        <f t="shared" si="14"/>
        <v>705.47118499999988</v>
      </c>
      <c r="U19" s="42">
        <f t="shared" si="17"/>
        <v>687.46061499999985</v>
      </c>
      <c r="V19" s="19">
        <f t="shared" si="15"/>
        <v>751.4766795999999</v>
      </c>
      <c r="W19" s="19">
        <f t="shared" si="16"/>
        <v>765.49232959999995</v>
      </c>
      <c r="X19" s="42"/>
    </row>
    <row r="20" spans="1:24" x14ac:dyDescent="0.25">
      <c r="A20" s="17" t="s">
        <v>291</v>
      </c>
      <c r="B20" s="17" t="str">
        <f t="shared" si="0"/>
        <v>PG 31:0</v>
      </c>
      <c r="C20" s="1" t="str">
        <f t="shared" si="1"/>
        <v>31</v>
      </c>
      <c r="D20" s="1" t="str">
        <f t="shared" si="2"/>
        <v>0</v>
      </c>
      <c r="G20" s="17">
        <f t="shared" si="3"/>
        <v>37</v>
      </c>
      <c r="H20" s="17">
        <f t="shared" si="4"/>
        <v>73</v>
      </c>
      <c r="I20" s="17">
        <f t="shared" si="5"/>
        <v>10</v>
      </c>
      <c r="J20" s="17">
        <v>1</v>
      </c>
      <c r="L20" s="19" t="str">
        <f t="shared" si="6"/>
        <v>C37H73O10P1</v>
      </c>
      <c r="M20" s="19">
        <f t="shared" si="7"/>
        <v>708.49410879999994</v>
      </c>
      <c r="N20" s="19">
        <f t="shared" si="8"/>
        <v>709.50138340000001</v>
      </c>
      <c r="O20" s="19">
        <f t="shared" si="9"/>
        <v>691.4902634</v>
      </c>
      <c r="P20" s="19">
        <f t="shared" si="10"/>
        <v>726.52792879999993</v>
      </c>
      <c r="Q20" s="42">
        <f t="shared" si="11"/>
        <v>731.48332879999998</v>
      </c>
      <c r="R20" s="19">
        <f t="shared" si="12"/>
        <v>747.45726879999995</v>
      </c>
      <c r="S20" s="19">
        <f t="shared" si="13"/>
        <v>715.50956880000001</v>
      </c>
      <c r="T20" s="49">
        <f t="shared" si="14"/>
        <v>707.48683419999986</v>
      </c>
      <c r="U20" s="42">
        <f t="shared" si="17"/>
        <v>689.47626419999983</v>
      </c>
      <c r="V20" s="19">
        <f t="shared" si="15"/>
        <v>753.49232879999988</v>
      </c>
      <c r="W20" s="19">
        <f t="shared" si="16"/>
        <v>767.50797879999993</v>
      </c>
      <c r="X20" s="42"/>
    </row>
    <row r="21" spans="1:24" x14ac:dyDescent="0.25">
      <c r="A21" s="17" t="s">
        <v>464</v>
      </c>
      <c r="B21" s="17" t="str">
        <f t="shared" si="0"/>
        <v>PG 32:2</v>
      </c>
      <c r="C21" s="1" t="str">
        <f t="shared" si="1"/>
        <v>32</v>
      </c>
      <c r="D21" s="1" t="str">
        <f t="shared" si="2"/>
        <v>2</v>
      </c>
      <c r="G21" s="17">
        <f t="shared" si="3"/>
        <v>38</v>
      </c>
      <c r="H21" s="17">
        <f t="shared" si="4"/>
        <v>71</v>
      </c>
      <c r="I21" s="17">
        <f t="shared" si="5"/>
        <v>10</v>
      </c>
      <c r="J21" s="17">
        <v>1</v>
      </c>
      <c r="L21" s="19" t="str">
        <f t="shared" si="6"/>
        <v>C38H71O10P1</v>
      </c>
      <c r="M21" s="19">
        <f t="shared" si="7"/>
        <v>718.47845959999995</v>
      </c>
      <c r="N21" s="19">
        <f t="shared" si="8"/>
        <v>719.48573420000002</v>
      </c>
      <c r="O21" s="19">
        <f t="shared" si="9"/>
        <v>701.47461420000002</v>
      </c>
      <c r="P21" s="19">
        <f t="shared" si="10"/>
        <v>736.51227959999994</v>
      </c>
      <c r="Q21" s="42">
        <f t="shared" si="11"/>
        <v>741.4676796</v>
      </c>
      <c r="R21" s="19">
        <f t="shared" si="12"/>
        <v>757.44161959999997</v>
      </c>
      <c r="S21" s="19">
        <f t="shared" si="13"/>
        <v>725.49391960000003</v>
      </c>
      <c r="T21" s="49">
        <f t="shared" si="14"/>
        <v>717.47118499999988</v>
      </c>
      <c r="U21" s="42">
        <f t="shared" si="17"/>
        <v>699.46061499999985</v>
      </c>
      <c r="V21" s="19">
        <f t="shared" si="15"/>
        <v>763.4766795999999</v>
      </c>
      <c r="W21" s="19">
        <f t="shared" si="16"/>
        <v>777.49232959999995</v>
      </c>
      <c r="X21" s="42"/>
    </row>
    <row r="22" spans="1:24" s="63" customFormat="1" x14ac:dyDescent="0.25">
      <c r="A22" s="59" t="s">
        <v>91</v>
      </c>
      <c r="B22" s="59" t="str">
        <f t="shared" si="0"/>
        <v>PG 32:1</v>
      </c>
      <c r="C22" s="59" t="str">
        <f t="shared" si="1"/>
        <v>32</v>
      </c>
      <c r="D22" s="59" t="str">
        <f t="shared" si="2"/>
        <v>1</v>
      </c>
      <c r="E22" s="59"/>
      <c r="F22" s="59"/>
      <c r="G22" s="59">
        <f t="shared" si="3"/>
        <v>38</v>
      </c>
      <c r="H22" s="59">
        <f t="shared" si="4"/>
        <v>73</v>
      </c>
      <c r="I22" s="59">
        <f t="shared" si="5"/>
        <v>10</v>
      </c>
      <c r="J22" s="59">
        <v>1</v>
      </c>
      <c r="K22" s="59"/>
      <c r="L22" s="60" t="str">
        <f t="shared" si="6"/>
        <v>C38H73O10P1</v>
      </c>
      <c r="M22" s="60">
        <f t="shared" si="7"/>
        <v>720.49410879999994</v>
      </c>
      <c r="N22" s="60">
        <f t="shared" si="8"/>
        <v>721.50138340000001</v>
      </c>
      <c r="O22" s="60">
        <f t="shared" si="9"/>
        <v>703.4902634</v>
      </c>
      <c r="P22" s="60">
        <f t="shared" si="10"/>
        <v>738.52792879999993</v>
      </c>
      <c r="Q22" s="61">
        <f t="shared" si="11"/>
        <v>743.48332879999998</v>
      </c>
      <c r="R22" s="60">
        <f t="shared" si="12"/>
        <v>759.45726879999995</v>
      </c>
      <c r="S22" s="60">
        <f t="shared" si="13"/>
        <v>727.50956880000001</v>
      </c>
      <c r="T22" s="62">
        <f t="shared" si="14"/>
        <v>719.48683419999986</v>
      </c>
      <c r="U22" s="61">
        <f t="shared" si="17"/>
        <v>701.47626419999983</v>
      </c>
      <c r="V22" s="60">
        <f t="shared" si="15"/>
        <v>765.49232879999988</v>
      </c>
      <c r="W22" s="60">
        <f t="shared" si="16"/>
        <v>779.50797879999993</v>
      </c>
      <c r="X22" s="61"/>
    </row>
    <row r="23" spans="1:24" s="63" customFormat="1" x14ac:dyDescent="0.25">
      <c r="A23" s="59" t="s">
        <v>292</v>
      </c>
      <c r="B23" s="59" t="str">
        <f t="shared" si="0"/>
        <v>PG 32:0</v>
      </c>
      <c r="C23" s="59" t="str">
        <f t="shared" si="1"/>
        <v>32</v>
      </c>
      <c r="D23" s="59" t="str">
        <f t="shared" si="2"/>
        <v>0</v>
      </c>
      <c r="E23" s="59"/>
      <c r="F23" s="59"/>
      <c r="G23" s="59">
        <f t="shared" si="3"/>
        <v>38</v>
      </c>
      <c r="H23" s="59">
        <f t="shared" si="4"/>
        <v>75</v>
      </c>
      <c r="I23" s="59">
        <f t="shared" si="5"/>
        <v>10</v>
      </c>
      <c r="J23" s="59">
        <v>1</v>
      </c>
      <c r="K23" s="59"/>
      <c r="L23" s="60" t="str">
        <f t="shared" si="6"/>
        <v>C38H75O10P1</v>
      </c>
      <c r="M23" s="60">
        <f t="shared" si="7"/>
        <v>722.50975800000003</v>
      </c>
      <c r="N23" s="60">
        <f t="shared" si="8"/>
        <v>723.51703260000011</v>
      </c>
      <c r="O23" s="60">
        <f t="shared" si="9"/>
        <v>705.5059126000001</v>
      </c>
      <c r="P23" s="60">
        <f t="shared" si="10"/>
        <v>740.54357800000002</v>
      </c>
      <c r="Q23" s="61">
        <f t="shared" si="11"/>
        <v>745.49897800000008</v>
      </c>
      <c r="R23" s="60">
        <f t="shared" si="12"/>
        <v>761.47291800000005</v>
      </c>
      <c r="S23" s="60">
        <f t="shared" si="13"/>
        <v>729.52521800000011</v>
      </c>
      <c r="T23" s="62">
        <f t="shared" si="14"/>
        <v>721.50248339999996</v>
      </c>
      <c r="U23" s="61">
        <f t="shared" si="17"/>
        <v>703.49191339999993</v>
      </c>
      <c r="V23" s="60">
        <f t="shared" si="15"/>
        <v>767.50797799999998</v>
      </c>
      <c r="W23" s="60">
        <f t="shared" si="16"/>
        <v>781.52362800000003</v>
      </c>
      <c r="X23" s="61"/>
    </row>
    <row r="24" spans="1:24" s="63" customFormat="1" x14ac:dyDescent="0.25">
      <c r="A24" s="59" t="s">
        <v>475</v>
      </c>
      <c r="B24" s="59" t="str">
        <f t="shared" si="0"/>
        <v>PG 33:3</v>
      </c>
      <c r="C24" s="59" t="str">
        <f t="shared" si="1"/>
        <v>33</v>
      </c>
      <c r="D24" s="59" t="str">
        <f t="shared" si="2"/>
        <v>3</v>
      </c>
      <c r="E24" s="59"/>
      <c r="F24" s="59"/>
      <c r="G24" s="59">
        <f t="shared" si="3"/>
        <v>39</v>
      </c>
      <c r="H24" s="59">
        <f t="shared" si="4"/>
        <v>71</v>
      </c>
      <c r="I24" s="59">
        <f t="shared" si="5"/>
        <v>10</v>
      </c>
      <c r="J24" s="59">
        <v>1</v>
      </c>
      <c r="K24" s="59"/>
      <c r="L24" s="60" t="str">
        <f t="shared" si="6"/>
        <v>C39H71O10P1</v>
      </c>
      <c r="M24" s="60">
        <f t="shared" si="7"/>
        <v>730.47845959999995</v>
      </c>
      <c r="N24" s="60">
        <f t="shared" si="8"/>
        <v>731.48573420000002</v>
      </c>
      <c r="O24" s="60">
        <f t="shared" si="9"/>
        <v>713.47461420000002</v>
      </c>
      <c r="P24" s="60">
        <f t="shared" si="10"/>
        <v>748.51227959999994</v>
      </c>
      <c r="Q24" s="61">
        <f t="shared" si="11"/>
        <v>753.4676796</v>
      </c>
      <c r="R24" s="60">
        <f t="shared" si="12"/>
        <v>769.44161959999997</v>
      </c>
      <c r="S24" s="60">
        <f t="shared" si="13"/>
        <v>737.49391960000003</v>
      </c>
      <c r="T24" s="62">
        <f t="shared" si="14"/>
        <v>729.47118499999988</v>
      </c>
      <c r="U24" s="61">
        <f t="shared" si="17"/>
        <v>711.46061499999985</v>
      </c>
      <c r="V24" s="60">
        <f t="shared" si="15"/>
        <v>775.4766795999999</v>
      </c>
      <c r="W24" s="60">
        <f t="shared" si="16"/>
        <v>789.49232959999995</v>
      </c>
      <c r="X24" s="61"/>
    </row>
    <row r="25" spans="1:24" s="63" customFormat="1" x14ac:dyDescent="0.25">
      <c r="A25" s="59" t="s">
        <v>465</v>
      </c>
      <c r="B25" s="59" t="str">
        <f t="shared" si="0"/>
        <v>PG 33:2</v>
      </c>
      <c r="C25" s="59" t="str">
        <f t="shared" si="1"/>
        <v>33</v>
      </c>
      <c r="D25" s="59" t="str">
        <f t="shared" si="2"/>
        <v>2</v>
      </c>
      <c r="E25" s="59"/>
      <c r="F25" s="59"/>
      <c r="G25" s="59">
        <f t="shared" si="3"/>
        <v>39</v>
      </c>
      <c r="H25" s="59">
        <f t="shared" si="4"/>
        <v>73</v>
      </c>
      <c r="I25" s="59">
        <f t="shared" si="5"/>
        <v>10</v>
      </c>
      <c r="J25" s="59">
        <v>1</v>
      </c>
      <c r="K25" s="59"/>
      <c r="L25" s="60" t="str">
        <f t="shared" si="6"/>
        <v>C39H73O10P1</v>
      </c>
      <c r="M25" s="60">
        <f t="shared" si="7"/>
        <v>732.49410879999994</v>
      </c>
      <c r="N25" s="60">
        <f t="shared" si="8"/>
        <v>733.50138340000001</v>
      </c>
      <c r="O25" s="60">
        <f t="shared" si="9"/>
        <v>715.4902634</v>
      </c>
      <c r="P25" s="60">
        <f t="shared" si="10"/>
        <v>750.52792879999993</v>
      </c>
      <c r="Q25" s="61">
        <f t="shared" si="11"/>
        <v>755.48332879999998</v>
      </c>
      <c r="R25" s="60">
        <f t="shared" si="12"/>
        <v>771.45726879999995</v>
      </c>
      <c r="S25" s="60">
        <f t="shared" si="13"/>
        <v>739.50956880000001</v>
      </c>
      <c r="T25" s="62">
        <f t="shared" si="14"/>
        <v>731.48683419999986</v>
      </c>
      <c r="U25" s="61">
        <f t="shared" si="17"/>
        <v>713.47626419999983</v>
      </c>
      <c r="V25" s="60">
        <f t="shared" si="15"/>
        <v>777.49232879999988</v>
      </c>
      <c r="W25" s="60">
        <f t="shared" si="16"/>
        <v>791.50797879999993</v>
      </c>
      <c r="X25" s="59"/>
    </row>
    <row r="26" spans="1:24" s="63" customFormat="1" x14ac:dyDescent="0.25">
      <c r="A26" s="59" t="s">
        <v>457</v>
      </c>
      <c r="B26" s="59" t="str">
        <f t="shared" si="0"/>
        <v>PG 33:1</v>
      </c>
      <c r="C26" s="59" t="str">
        <f t="shared" si="1"/>
        <v>33</v>
      </c>
      <c r="D26" s="59" t="str">
        <f t="shared" si="2"/>
        <v>1</v>
      </c>
      <c r="E26" s="59"/>
      <c r="F26" s="59"/>
      <c r="G26" s="59">
        <f t="shared" si="3"/>
        <v>39</v>
      </c>
      <c r="H26" s="59">
        <f t="shared" si="4"/>
        <v>75</v>
      </c>
      <c r="I26" s="59">
        <f t="shared" si="5"/>
        <v>10</v>
      </c>
      <c r="J26" s="59">
        <v>1</v>
      </c>
      <c r="K26" s="59"/>
      <c r="L26" s="60" t="str">
        <f t="shared" si="6"/>
        <v>C39H75O10P1</v>
      </c>
      <c r="M26" s="60">
        <f t="shared" si="7"/>
        <v>734.50975800000003</v>
      </c>
      <c r="N26" s="60">
        <f t="shared" si="8"/>
        <v>735.51703260000011</v>
      </c>
      <c r="O26" s="60">
        <f t="shared" si="9"/>
        <v>717.5059126000001</v>
      </c>
      <c r="P26" s="60">
        <f t="shared" si="10"/>
        <v>752.54357800000002</v>
      </c>
      <c r="Q26" s="61">
        <f t="shared" si="11"/>
        <v>757.49897800000008</v>
      </c>
      <c r="R26" s="60">
        <f t="shared" si="12"/>
        <v>773.47291800000005</v>
      </c>
      <c r="S26" s="60">
        <f t="shared" si="13"/>
        <v>741.52521800000011</v>
      </c>
      <c r="T26" s="62">
        <f t="shared" si="14"/>
        <v>733.50248339999996</v>
      </c>
      <c r="U26" s="61">
        <f t="shared" si="17"/>
        <v>715.49191339999993</v>
      </c>
      <c r="V26" s="60">
        <f t="shared" si="15"/>
        <v>779.50797799999998</v>
      </c>
      <c r="W26" s="60">
        <f t="shared" si="16"/>
        <v>793.52362800000003</v>
      </c>
      <c r="X26" s="59"/>
    </row>
    <row r="27" spans="1:24" s="63" customFormat="1" x14ac:dyDescent="0.25">
      <c r="A27" s="59" t="s">
        <v>293</v>
      </c>
      <c r="B27" s="59" t="str">
        <f t="shared" si="0"/>
        <v>PG 33:0</v>
      </c>
      <c r="C27" s="59" t="str">
        <f t="shared" si="1"/>
        <v>33</v>
      </c>
      <c r="D27" s="59" t="str">
        <f t="shared" si="2"/>
        <v>0</v>
      </c>
      <c r="E27" s="59"/>
      <c r="F27" s="59"/>
      <c r="G27" s="59">
        <f t="shared" si="3"/>
        <v>39</v>
      </c>
      <c r="H27" s="59">
        <f t="shared" si="4"/>
        <v>77</v>
      </c>
      <c r="I27" s="59">
        <f t="shared" si="5"/>
        <v>10</v>
      </c>
      <c r="J27" s="59">
        <v>1</v>
      </c>
      <c r="K27" s="59"/>
      <c r="L27" s="60" t="str">
        <f t="shared" si="6"/>
        <v>C39H77O10P1</v>
      </c>
      <c r="M27" s="60">
        <f t="shared" si="7"/>
        <v>736.52540720000002</v>
      </c>
      <c r="N27" s="60">
        <f t="shared" si="8"/>
        <v>737.53268180000009</v>
      </c>
      <c r="O27" s="60">
        <f t="shared" si="9"/>
        <v>719.52156180000009</v>
      </c>
      <c r="P27" s="60">
        <f t="shared" si="10"/>
        <v>754.55922720000001</v>
      </c>
      <c r="Q27" s="61">
        <f t="shared" si="11"/>
        <v>759.51462720000006</v>
      </c>
      <c r="R27" s="60">
        <f t="shared" si="12"/>
        <v>775.48856720000003</v>
      </c>
      <c r="S27" s="60">
        <f t="shared" si="13"/>
        <v>743.54086720000009</v>
      </c>
      <c r="T27" s="62">
        <f t="shared" si="14"/>
        <v>735.51813259999994</v>
      </c>
      <c r="U27" s="61">
        <f t="shared" si="17"/>
        <v>717.50756259999991</v>
      </c>
      <c r="V27" s="60">
        <f t="shared" si="15"/>
        <v>781.52362719999996</v>
      </c>
      <c r="W27" s="60">
        <f t="shared" si="16"/>
        <v>795.53927720000002</v>
      </c>
      <c r="X27" s="59"/>
    </row>
    <row r="28" spans="1:24" s="63" customFormat="1" x14ac:dyDescent="0.25">
      <c r="A28" s="59" t="s">
        <v>476</v>
      </c>
      <c r="B28" s="59" t="str">
        <f t="shared" si="0"/>
        <v>PG 34:3</v>
      </c>
      <c r="C28" s="59" t="str">
        <f t="shared" si="1"/>
        <v>34</v>
      </c>
      <c r="D28" s="59" t="str">
        <f t="shared" si="2"/>
        <v>3</v>
      </c>
      <c r="E28" s="59"/>
      <c r="F28" s="59"/>
      <c r="G28" s="59">
        <f t="shared" si="3"/>
        <v>40</v>
      </c>
      <c r="H28" s="59">
        <f t="shared" si="4"/>
        <v>73</v>
      </c>
      <c r="I28" s="59">
        <f t="shared" si="5"/>
        <v>10</v>
      </c>
      <c r="J28" s="59">
        <v>1</v>
      </c>
      <c r="K28" s="59"/>
      <c r="L28" s="60" t="str">
        <f t="shared" si="6"/>
        <v>C40H73O10P1</v>
      </c>
      <c r="M28" s="60">
        <f t="shared" si="7"/>
        <v>744.49410879999994</v>
      </c>
      <c r="N28" s="60">
        <f t="shared" si="8"/>
        <v>745.50138340000001</v>
      </c>
      <c r="O28" s="60">
        <f t="shared" si="9"/>
        <v>727.4902634</v>
      </c>
      <c r="P28" s="60">
        <f t="shared" si="10"/>
        <v>762.52792879999993</v>
      </c>
      <c r="Q28" s="61">
        <f t="shared" si="11"/>
        <v>767.48332879999998</v>
      </c>
      <c r="R28" s="60">
        <f t="shared" si="12"/>
        <v>783.45726879999995</v>
      </c>
      <c r="S28" s="60">
        <f t="shared" si="13"/>
        <v>751.50956880000001</v>
      </c>
      <c r="T28" s="62">
        <f t="shared" si="14"/>
        <v>743.48683419999986</v>
      </c>
      <c r="U28" s="61">
        <f t="shared" si="17"/>
        <v>725.47626419999983</v>
      </c>
      <c r="V28" s="60">
        <f t="shared" si="15"/>
        <v>789.49232879999988</v>
      </c>
      <c r="W28" s="60">
        <f t="shared" si="16"/>
        <v>803.50797879999993</v>
      </c>
      <c r="X28" s="59"/>
    </row>
    <row r="29" spans="1:24" s="63" customFormat="1" x14ac:dyDescent="0.25">
      <c r="A29" s="59" t="s">
        <v>448</v>
      </c>
      <c r="B29" s="59" t="str">
        <f t="shared" si="0"/>
        <v>PG 34:2</v>
      </c>
      <c r="C29" s="59" t="str">
        <f t="shared" si="1"/>
        <v>34</v>
      </c>
      <c r="D29" s="59" t="str">
        <f t="shared" si="2"/>
        <v>2</v>
      </c>
      <c r="E29" s="59"/>
      <c r="F29" s="59"/>
      <c r="G29" s="59">
        <f t="shared" si="3"/>
        <v>40</v>
      </c>
      <c r="H29" s="59">
        <f t="shared" si="4"/>
        <v>75</v>
      </c>
      <c r="I29" s="59">
        <f t="shared" si="5"/>
        <v>10</v>
      </c>
      <c r="J29" s="59">
        <v>1</v>
      </c>
      <c r="K29" s="59"/>
      <c r="L29" s="60" t="str">
        <f t="shared" si="6"/>
        <v>C40H75O10P1</v>
      </c>
      <c r="M29" s="60">
        <f t="shared" si="7"/>
        <v>746.50975800000003</v>
      </c>
      <c r="N29" s="60">
        <f t="shared" si="8"/>
        <v>747.51703260000011</v>
      </c>
      <c r="O29" s="60">
        <f t="shared" si="9"/>
        <v>729.5059126000001</v>
      </c>
      <c r="P29" s="60">
        <f t="shared" si="10"/>
        <v>764.54357800000002</v>
      </c>
      <c r="Q29" s="61">
        <f t="shared" si="11"/>
        <v>769.49897800000008</v>
      </c>
      <c r="R29" s="60">
        <f t="shared" si="12"/>
        <v>785.47291800000005</v>
      </c>
      <c r="S29" s="60">
        <f t="shared" si="13"/>
        <v>753.52521800000011</v>
      </c>
      <c r="T29" s="62">
        <f t="shared" si="14"/>
        <v>745.50248339999996</v>
      </c>
      <c r="U29" s="61">
        <f t="shared" si="17"/>
        <v>727.49191339999993</v>
      </c>
      <c r="V29" s="60">
        <f t="shared" si="15"/>
        <v>791.50797799999998</v>
      </c>
      <c r="W29" s="60">
        <f t="shared" si="16"/>
        <v>805.52362800000003</v>
      </c>
      <c r="X29" s="59"/>
    </row>
    <row r="30" spans="1:24" s="63" customFormat="1" x14ac:dyDescent="0.25">
      <c r="A30" s="59" t="s">
        <v>458</v>
      </c>
      <c r="B30" s="59" t="str">
        <f t="shared" si="0"/>
        <v>PG 34:1</v>
      </c>
      <c r="C30" s="59" t="str">
        <f t="shared" si="1"/>
        <v>34</v>
      </c>
      <c r="D30" s="59" t="str">
        <f t="shared" si="2"/>
        <v>1</v>
      </c>
      <c r="E30" s="59"/>
      <c r="F30" s="59"/>
      <c r="G30" s="59">
        <f t="shared" si="3"/>
        <v>40</v>
      </c>
      <c r="H30" s="59">
        <f t="shared" si="4"/>
        <v>77</v>
      </c>
      <c r="I30" s="59">
        <f t="shared" si="5"/>
        <v>10</v>
      </c>
      <c r="J30" s="59">
        <v>1</v>
      </c>
      <c r="K30" s="59"/>
      <c r="L30" s="60" t="str">
        <f t="shared" si="6"/>
        <v>C40H77O10P1</v>
      </c>
      <c r="M30" s="60">
        <f t="shared" si="7"/>
        <v>748.52540720000002</v>
      </c>
      <c r="N30" s="60">
        <f t="shared" si="8"/>
        <v>749.53268180000009</v>
      </c>
      <c r="O30" s="60">
        <f t="shared" si="9"/>
        <v>731.52156180000009</v>
      </c>
      <c r="P30" s="60">
        <f t="shared" si="10"/>
        <v>766.55922720000001</v>
      </c>
      <c r="Q30" s="61">
        <f t="shared" si="11"/>
        <v>771.51462720000006</v>
      </c>
      <c r="R30" s="60">
        <f t="shared" si="12"/>
        <v>787.48856720000003</v>
      </c>
      <c r="S30" s="60">
        <f t="shared" si="13"/>
        <v>755.54086720000009</v>
      </c>
      <c r="T30" s="62">
        <f t="shared" si="14"/>
        <v>747.51813259999994</v>
      </c>
      <c r="U30" s="61">
        <f t="shared" si="17"/>
        <v>729.50756259999991</v>
      </c>
      <c r="V30" s="60">
        <f t="shared" si="15"/>
        <v>793.52362719999996</v>
      </c>
      <c r="W30" s="60">
        <f t="shared" si="16"/>
        <v>807.53927720000002</v>
      </c>
      <c r="X30" s="59"/>
    </row>
    <row r="31" spans="1:24" s="63" customFormat="1" x14ac:dyDescent="0.25">
      <c r="A31" s="59" t="s">
        <v>294</v>
      </c>
      <c r="B31" s="59" t="str">
        <f t="shared" si="0"/>
        <v>PG 34:0</v>
      </c>
      <c r="C31" s="59" t="str">
        <f t="shared" si="1"/>
        <v>34</v>
      </c>
      <c r="D31" s="59" t="str">
        <f t="shared" si="2"/>
        <v>0</v>
      </c>
      <c r="E31" s="59"/>
      <c r="F31" s="59"/>
      <c r="G31" s="59">
        <f t="shared" si="3"/>
        <v>40</v>
      </c>
      <c r="H31" s="59">
        <f t="shared" si="4"/>
        <v>79</v>
      </c>
      <c r="I31" s="59">
        <f t="shared" si="5"/>
        <v>10</v>
      </c>
      <c r="J31" s="59">
        <v>1</v>
      </c>
      <c r="K31" s="59"/>
      <c r="L31" s="60" t="str">
        <f t="shared" si="6"/>
        <v>C40H79O10P1</v>
      </c>
      <c r="M31" s="60">
        <f t="shared" si="7"/>
        <v>750.5410564</v>
      </c>
      <c r="N31" s="60">
        <f t="shared" si="8"/>
        <v>751.54833100000008</v>
      </c>
      <c r="O31" s="60">
        <f t="shared" si="9"/>
        <v>733.53721100000007</v>
      </c>
      <c r="P31" s="60">
        <f t="shared" si="10"/>
        <v>768.57487639999999</v>
      </c>
      <c r="Q31" s="61">
        <f t="shared" si="11"/>
        <v>773.53027640000005</v>
      </c>
      <c r="R31" s="60">
        <f t="shared" si="12"/>
        <v>789.50421640000002</v>
      </c>
      <c r="S31" s="60">
        <f t="shared" si="13"/>
        <v>757.55651640000008</v>
      </c>
      <c r="T31" s="62">
        <f t="shared" si="14"/>
        <v>749.53378179999993</v>
      </c>
      <c r="U31" s="61">
        <f t="shared" si="17"/>
        <v>731.5232117999999</v>
      </c>
      <c r="V31" s="60">
        <f t="shared" si="15"/>
        <v>795.53927639999995</v>
      </c>
      <c r="W31" s="60">
        <f t="shared" si="16"/>
        <v>809.5549264</v>
      </c>
      <c r="X31" s="59"/>
    </row>
    <row r="32" spans="1:24" s="63" customFormat="1" x14ac:dyDescent="0.25">
      <c r="A32" s="59" t="s">
        <v>477</v>
      </c>
      <c r="B32" s="59" t="str">
        <f t="shared" si="0"/>
        <v>PG 35:3</v>
      </c>
      <c r="C32" s="59" t="str">
        <f t="shared" si="1"/>
        <v>35</v>
      </c>
      <c r="D32" s="59" t="str">
        <f t="shared" si="2"/>
        <v>3</v>
      </c>
      <c r="E32" s="59"/>
      <c r="F32" s="59"/>
      <c r="G32" s="59">
        <f t="shared" si="3"/>
        <v>41</v>
      </c>
      <c r="H32" s="59">
        <f t="shared" si="4"/>
        <v>75</v>
      </c>
      <c r="I32" s="59">
        <f t="shared" si="5"/>
        <v>10</v>
      </c>
      <c r="J32" s="59">
        <v>1</v>
      </c>
      <c r="K32" s="59"/>
      <c r="L32" s="60" t="str">
        <f t="shared" si="6"/>
        <v>C41H75O10P1</v>
      </c>
      <c r="M32" s="60">
        <f t="shared" si="7"/>
        <v>758.50975800000003</v>
      </c>
      <c r="N32" s="60">
        <f t="shared" si="8"/>
        <v>759.51703260000011</v>
      </c>
      <c r="O32" s="60">
        <f t="shared" si="9"/>
        <v>741.5059126000001</v>
      </c>
      <c r="P32" s="60">
        <f t="shared" si="10"/>
        <v>776.54357800000002</v>
      </c>
      <c r="Q32" s="61">
        <f t="shared" si="11"/>
        <v>781.49897800000008</v>
      </c>
      <c r="R32" s="60">
        <f t="shared" si="12"/>
        <v>797.47291800000005</v>
      </c>
      <c r="S32" s="60">
        <f t="shared" si="13"/>
        <v>765.52521800000011</v>
      </c>
      <c r="T32" s="62">
        <f t="shared" si="14"/>
        <v>757.50248339999996</v>
      </c>
      <c r="U32" s="61">
        <f t="shared" si="17"/>
        <v>739.49191339999993</v>
      </c>
      <c r="V32" s="60">
        <f t="shared" si="15"/>
        <v>803.50797799999998</v>
      </c>
      <c r="W32" s="60">
        <f t="shared" si="16"/>
        <v>817.52362800000003</v>
      </c>
      <c r="X32" s="59"/>
    </row>
    <row r="33" spans="1:24" s="63" customFormat="1" x14ac:dyDescent="0.25">
      <c r="A33" s="59" t="s">
        <v>466</v>
      </c>
      <c r="B33" s="59" t="str">
        <f t="shared" si="0"/>
        <v>PG 35:2</v>
      </c>
      <c r="C33" s="59" t="str">
        <f t="shared" si="1"/>
        <v>35</v>
      </c>
      <c r="D33" s="59" t="str">
        <f t="shared" si="2"/>
        <v>2</v>
      </c>
      <c r="E33" s="59"/>
      <c r="F33" s="59"/>
      <c r="G33" s="59">
        <f t="shared" si="3"/>
        <v>41</v>
      </c>
      <c r="H33" s="59">
        <f t="shared" si="4"/>
        <v>77</v>
      </c>
      <c r="I33" s="59">
        <f t="shared" si="5"/>
        <v>10</v>
      </c>
      <c r="J33" s="59">
        <v>1</v>
      </c>
      <c r="K33" s="59"/>
      <c r="L33" s="60" t="str">
        <f t="shared" si="6"/>
        <v>C41H77O10P1</v>
      </c>
      <c r="M33" s="60">
        <f t="shared" si="7"/>
        <v>760.52540720000002</v>
      </c>
      <c r="N33" s="60">
        <f t="shared" si="8"/>
        <v>761.53268180000009</v>
      </c>
      <c r="O33" s="60">
        <f t="shared" si="9"/>
        <v>743.52156180000009</v>
      </c>
      <c r="P33" s="60">
        <f t="shared" si="10"/>
        <v>778.55922720000001</v>
      </c>
      <c r="Q33" s="61">
        <f t="shared" si="11"/>
        <v>783.51462720000006</v>
      </c>
      <c r="R33" s="60">
        <f t="shared" si="12"/>
        <v>799.48856720000003</v>
      </c>
      <c r="S33" s="60">
        <f t="shared" si="13"/>
        <v>767.54086720000009</v>
      </c>
      <c r="T33" s="62">
        <f t="shared" si="14"/>
        <v>759.51813259999994</v>
      </c>
      <c r="U33" s="61">
        <f t="shared" si="17"/>
        <v>741.50756259999991</v>
      </c>
      <c r="V33" s="60">
        <f t="shared" si="15"/>
        <v>805.52362719999996</v>
      </c>
      <c r="W33" s="60">
        <f t="shared" si="16"/>
        <v>819.53927720000002</v>
      </c>
      <c r="X33" s="59"/>
    </row>
    <row r="34" spans="1:24" s="63" customFormat="1" x14ac:dyDescent="0.25">
      <c r="A34" s="59" t="s">
        <v>459</v>
      </c>
      <c r="B34" s="59" t="str">
        <f t="shared" si="0"/>
        <v>PG 35:1</v>
      </c>
      <c r="C34" s="59" t="str">
        <f t="shared" si="1"/>
        <v>35</v>
      </c>
      <c r="D34" s="59" t="str">
        <f t="shared" si="2"/>
        <v>1</v>
      </c>
      <c r="E34" s="59"/>
      <c r="F34" s="59"/>
      <c r="G34" s="59">
        <f t="shared" si="3"/>
        <v>41</v>
      </c>
      <c r="H34" s="59">
        <f t="shared" si="4"/>
        <v>79</v>
      </c>
      <c r="I34" s="59">
        <f t="shared" si="5"/>
        <v>10</v>
      </c>
      <c r="J34" s="59">
        <v>1</v>
      </c>
      <c r="K34" s="59"/>
      <c r="L34" s="60" t="str">
        <f t="shared" si="6"/>
        <v>C41H79O10P1</v>
      </c>
      <c r="M34" s="60">
        <f t="shared" si="7"/>
        <v>762.5410564</v>
      </c>
      <c r="N34" s="60">
        <f t="shared" si="8"/>
        <v>763.54833100000008</v>
      </c>
      <c r="O34" s="60">
        <f t="shared" si="9"/>
        <v>745.53721100000007</v>
      </c>
      <c r="P34" s="60">
        <f t="shared" si="10"/>
        <v>780.57487639999999</v>
      </c>
      <c r="Q34" s="61">
        <f t="shared" si="11"/>
        <v>785.53027640000005</v>
      </c>
      <c r="R34" s="60">
        <f t="shared" si="12"/>
        <v>801.50421640000002</v>
      </c>
      <c r="S34" s="60">
        <f t="shared" si="13"/>
        <v>769.55651640000008</v>
      </c>
      <c r="T34" s="62">
        <f t="shared" si="14"/>
        <v>761.53378179999993</v>
      </c>
      <c r="U34" s="61">
        <f t="shared" si="17"/>
        <v>743.5232117999999</v>
      </c>
      <c r="V34" s="60">
        <f t="shared" si="15"/>
        <v>807.53927639999995</v>
      </c>
      <c r="W34" s="60">
        <f t="shared" si="16"/>
        <v>821.5549264</v>
      </c>
      <c r="X34" s="59"/>
    </row>
    <row r="35" spans="1:24" x14ac:dyDescent="0.25">
      <c r="A35" s="17" t="s">
        <v>295</v>
      </c>
      <c r="B35" s="17" t="str">
        <f t="shared" si="0"/>
        <v>PG 35:0</v>
      </c>
      <c r="C35" s="1" t="str">
        <f t="shared" si="1"/>
        <v>35</v>
      </c>
      <c r="D35" s="1" t="str">
        <f t="shared" si="2"/>
        <v>0</v>
      </c>
      <c r="G35" s="17">
        <f t="shared" si="3"/>
        <v>41</v>
      </c>
      <c r="H35" s="17">
        <f t="shared" si="4"/>
        <v>81</v>
      </c>
      <c r="I35" s="17">
        <f t="shared" si="5"/>
        <v>10</v>
      </c>
      <c r="J35" s="17">
        <v>1</v>
      </c>
      <c r="L35" s="19" t="str">
        <f t="shared" si="6"/>
        <v>C41H81O10P1</v>
      </c>
      <c r="M35" s="19">
        <f t="shared" si="7"/>
        <v>764.55670559999999</v>
      </c>
      <c r="N35" s="19">
        <f t="shared" si="8"/>
        <v>765.56398020000006</v>
      </c>
      <c r="O35" s="19">
        <f t="shared" si="9"/>
        <v>747.55286020000005</v>
      </c>
      <c r="P35" s="19">
        <f t="shared" si="10"/>
        <v>782.59052559999998</v>
      </c>
      <c r="Q35" s="42">
        <f t="shared" si="11"/>
        <v>787.54592560000003</v>
      </c>
      <c r="R35" s="19">
        <f t="shared" si="12"/>
        <v>803.5198656</v>
      </c>
      <c r="S35" s="19">
        <f t="shared" si="13"/>
        <v>771.57216560000006</v>
      </c>
      <c r="T35" s="49">
        <f t="shared" si="14"/>
        <v>763.54943099999991</v>
      </c>
      <c r="U35" s="42">
        <f t="shared" si="17"/>
        <v>745.53886099999988</v>
      </c>
      <c r="V35" s="19">
        <f t="shared" si="15"/>
        <v>809.55492559999993</v>
      </c>
      <c r="W35" s="19">
        <f t="shared" si="16"/>
        <v>823.57057559999998</v>
      </c>
    </row>
    <row r="36" spans="1:24" x14ac:dyDescent="0.25">
      <c r="A36" s="17" t="s">
        <v>478</v>
      </c>
      <c r="B36" s="17" t="str">
        <f t="shared" si="0"/>
        <v>PG 36:3</v>
      </c>
      <c r="C36" s="1" t="str">
        <f t="shared" si="1"/>
        <v>36</v>
      </c>
      <c r="D36" s="1" t="str">
        <f t="shared" si="2"/>
        <v>3</v>
      </c>
      <c r="G36" s="17">
        <f t="shared" si="3"/>
        <v>42</v>
      </c>
      <c r="H36" s="17">
        <f t="shared" si="4"/>
        <v>77</v>
      </c>
      <c r="I36" s="17">
        <f t="shared" si="5"/>
        <v>10</v>
      </c>
      <c r="J36" s="17">
        <v>1</v>
      </c>
      <c r="L36" s="19" t="str">
        <f t="shared" si="6"/>
        <v>C42H77O10P1</v>
      </c>
      <c r="M36" s="19">
        <f t="shared" si="7"/>
        <v>772.52540720000002</v>
      </c>
      <c r="N36" s="19">
        <f t="shared" si="8"/>
        <v>773.53268180000009</v>
      </c>
      <c r="O36" s="19">
        <f t="shared" si="9"/>
        <v>755.52156180000009</v>
      </c>
      <c r="P36" s="19">
        <f t="shared" si="10"/>
        <v>790.55922720000001</v>
      </c>
      <c r="Q36" s="42">
        <f t="shared" si="11"/>
        <v>795.51462720000006</v>
      </c>
      <c r="R36" s="19">
        <f t="shared" si="12"/>
        <v>811.48856720000003</v>
      </c>
      <c r="S36" s="19">
        <f t="shared" si="13"/>
        <v>779.54086720000009</v>
      </c>
      <c r="T36" s="49">
        <f t="shared" si="14"/>
        <v>771.51813259999994</v>
      </c>
      <c r="U36" s="42">
        <f t="shared" si="17"/>
        <v>753.50756259999991</v>
      </c>
      <c r="V36" s="19">
        <f t="shared" si="15"/>
        <v>817.52362719999996</v>
      </c>
      <c r="W36" s="19">
        <f t="shared" si="16"/>
        <v>831.53927720000002</v>
      </c>
    </row>
    <row r="37" spans="1:24" x14ac:dyDescent="0.25">
      <c r="A37" s="17" t="s">
        <v>467</v>
      </c>
      <c r="B37" s="17" t="str">
        <f t="shared" si="0"/>
        <v>PG 36:2</v>
      </c>
      <c r="C37" s="1" t="str">
        <f t="shared" si="1"/>
        <v>36</v>
      </c>
      <c r="D37" s="1" t="str">
        <f t="shared" si="2"/>
        <v>2</v>
      </c>
      <c r="G37" s="17">
        <f t="shared" si="3"/>
        <v>42</v>
      </c>
      <c r="H37" s="17">
        <f t="shared" si="4"/>
        <v>79</v>
      </c>
      <c r="I37" s="17">
        <f t="shared" si="5"/>
        <v>10</v>
      </c>
      <c r="J37" s="17">
        <v>1</v>
      </c>
      <c r="L37" s="19" t="str">
        <f t="shared" si="6"/>
        <v>C42H79O10P1</v>
      </c>
      <c r="M37" s="19">
        <f t="shared" si="7"/>
        <v>774.5410564</v>
      </c>
      <c r="N37" s="19">
        <f t="shared" si="8"/>
        <v>775.54833100000008</v>
      </c>
      <c r="O37" s="19">
        <f t="shared" si="9"/>
        <v>757.53721100000007</v>
      </c>
      <c r="P37" s="19">
        <f t="shared" si="10"/>
        <v>792.57487639999999</v>
      </c>
      <c r="Q37" s="42">
        <f t="shared" si="11"/>
        <v>797.53027640000005</v>
      </c>
      <c r="R37" s="19">
        <f t="shared" si="12"/>
        <v>813.50421640000002</v>
      </c>
      <c r="S37" s="19">
        <f t="shared" si="13"/>
        <v>781.55651640000008</v>
      </c>
      <c r="T37" s="49">
        <f t="shared" si="14"/>
        <v>773.53378179999993</v>
      </c>
      <c r="U37" s="42">
        <f t="shared" si="17"/>
        <v>755.5232117999999</v>
      </c>
      <c r="V37" s="19">
        <f t="shared" si="15"/>
        <v>819.53927639999995</v>
      </c>
      <c r="W37" s="19">
        <f t="shared" si="16"/>
        <v>833.5549264</v>
      </c>
    </row>
    <row r="38" spans="1:24" x14ac:dyDescent="0.25">
      <c r="A38" s="17" t="s">
        <v>460</v>
      </c>
      <c r="B38" s="17" t="str">
        <f t="shared" si="0"/>
        <v>PG 36:1</v>
      </c>
      <c r="C38" s="1" t="str">
        <f t="shared" si="1"/>
        <v>36</v>
      </c>
      <c r="D38" s="1" t="str">
        <f t="shared" si="2"/>
        <v>1</v>
      </c>
      <c r="G38" s="17">
        <f t="shared" si="3"/>
        <v>42</v>
      </c>
      <c r="H38" s="17">
        <f t="shared" si="4"/>
        <v>81</v>
      </c>
      <c r="I38" s="17">
        <f t="shared" si="5"/>
        <v>10</v>
      </c>
      <c r="J38" s="17">
        <v>1</v>
      </c>
      <c r="L38" s="19" t="str">
        <f t="shared" si="6"/>
        <v>C42H81O10P1</v>
      </c>
      <c r="M38" s="19">
        <f t="shared" si="7"/>
        <v>776.55670559999999</v>
      </c>
      <c r="N38" s="19">
        <f t="shared" si="8"/>
        <v>777.56398020000006</v>
      </c>
      <c r="O38" s="19">
        <f t="shared" si="9"/>
        <v>759.55286020000005</v>
      </c>
      <c r="P38" s="19">
        <f t="shared" si="10"/>
        <v>794.59052559999998</v>
      </c>
      <c r="Q38" s="42">
        <f t="shared" si="11"/>
        <v>799.54592560000003</v>
      </c>
      <c r="R38" s="19">
        <f t="shared" si="12"/>
        <v>815.5198656</v>
      </c>
      <c r="S38" s="19">
        <f t="shared" si="13"/>
        <v>783.57216560000006</v>
      </c>
      <c r="T38" s="49">
        <f t="shared" si="14"/>
        <v>775.54943099999991</v>
      </c>
      <c r="U38" s="42">
        <f t="shared" si="17"/>
        <v>757.53886099999988</v>
      </c>
      <c r="V38" s="19">
        <f t="shared" si="15"/>
        <v>821.55492559999993</v>
      </c>
      <c r="W38" s="19">
        <f t="shared" si="16"/>
        <v>835.57057559999998</v>
      </c>
    </row>
    <row r="39" spans="1:24" x14ac:dyDescent="0.25">
      <c r="A39" s="17" t="s">
        <v>296</v>
      </c>
      <c r="B39" s="17" t="str">
        <f t="shared" si="0"/>
        <v>PG 36:0</v>
      </c>
      <c r="C39" s="1" t="str">
        <f t="shared" si="1"/>
        <v>36</v>
      </c>
      <c r="D39" s="1" t="str">
        <f t="shared" si="2"/>
        <v>0</v>
      </c>
      <c r="G39" s="17">
        <f t="shared" si="3"/>
        <v>42</v>
      </c>
      <c r="H39" s="17">
        <f t="shared" si="4"/>
        <v>83</v>
      </c>
      <c r="I39" s="17">
        <f t="shared" si="5"/>
        <v>10</v>
      </c>
      <c r="J39" s="17">
        <v>1</v>
      </c>
      <c r="L39" s="19" t="str">
        <f t="shared" si="6"/>
        <v>C42H83O10P1</v>
      </c>
      <c r="M39" s="19">
        <f t="shared" si="7"/>
        <v>778.57235479999997</v>
      </c>
      <c r="N39" s="19">
        <f t="shared" si="8"/>
        <v>779.57962940000004</v>
      </c>
      <c r="O39" s="19">
        <f t="shared" si="9"/>
        <v>761.56850940000004</v>
      </c>
      <c r="P39" s="19">
        <f t="shared" si="10"/>
        <v>796.60617479999996</v>
      </c>
      <c r="Q39" s="42">
        <f t="shared" si="11"/>
        <v>801.56157480000002</v>
      </c>
      <c r="R39" s="19">
        <f t="shared" si="12"/>
        <v>817.53551479999999</v>
      </c>
      <c r="S39" s="19">
        <f t="shared" si="13"/>
        <v>785.58781480000005</v>
      </c>
      <c r="T39" s="49">
        <f t="shared" si="14"/>
        <v>777.5650801999999</v>
      </c>
      <c r="U39" s="42">
        <f t="shared" si="17"/>
        <v>759.55451019999987</v>
      </c>
      <c r="V39" s="19">
        <f t="shared" si="15"/>
        <v>823.57057479999992</v>
      </c>
      <c r="W39" s="19">
        <f t="shared" si="16"/>
        <v>837.58622479999997</v>
      </c>
    </row>
    <row r="40" spans="1:24" x14ac:dyDescent="0.25">
      <c r="A40" s="17" t="s">
        <v>479</v>
      </c>
      <c r="B40" s="17" t="str">
        <f t="shared" si="0"/>
        <v>PG 37:3</v>
      </c>
      <c r="C40" s="1" t="str">
        <f t="shared" si="1"/>
        <v>37</v>
      </c>
      <c r="D40" s="1" t="str">
        <f t="shared" si="2"/>
        <v>3</v>
      </c>
      <c r="G40" s="17">
        <f t="shared" si="3"/>
        <v>43</v>
      </c>
      <c r="H40" s="17">
        <f t="shared" si="4"/>
        <v>79</v>
      </c>
      <c r="I40" s="17">
        <f t="shared" si="5"/>
        <v>10</v>
      </c>
      <c r="J40" s="17">
        <v>1</v>
      </c>
      <c r="L40" s="19" t="str">
        <f t="shared" si="6"/>
        <v>C43H79O10P1</v>
      </c>
      <c r="M40" s="19">
        <f t="shared" si="7"/>
        <v>786.5410564</v>
      </c>
      <c r="N40" s="19">
        <f t="shared" si="8"/>
        <v>787.54833100000008</v>
      </c>
      <c r="O40" s="19">
        <f t="shared" si="9"/>
        <v>769.53721100000007</v>
      </c>
      <c r="P40" s="19">
        <f t="shared" si="10"/>
        <v>804.57487639999999</v>
      </c>
      <c r="Q40" s="42">
        <f t="shared" si="11"/>
        <v>809.53027640000005</v>
      </c>
      <c r="R40" s="19">
        <f t="shared" si="12"/>
        <v>825.50421640000002</v>
      </c>
      <c r="S40" s="19">
        <f t="shared" si="13"/>
        <v>793.55651640000008</v>
      </c>
      <c r="T40" s="49">
        <f t="shared" si="14"/>
        <v>785.53378179999993</v>
      </c>
      <c r="U40" s="42">
        <f t="shared" si="17"/>
        <v>767.5232117999999</v>
      </c>
      <c r="V40" s="19">
        <f t="shared" si="15"/>
        <v>831.53927639999995</v>
      </c>
      <c r="W40" s="19">
        <f t="shared" si="16"/>
        <v>845.5549264</v>
      </c>
    </row>
    <row r="41" spans="1:24" x14ac:dyDescent="0.25">
      <c r="A41" s="17" t="s">
        <v>470</v>
      </c>
      <c r="B41" s="17" t="str">
        <f t="shared" si="0"/>
        <v>PG 37:2</v>
      </c>
      <c r="C41" s="1" t="str">
        <f t="shared" si="1"/>
        <v>37</v>
      </c>
      <c r="D41" s="1" t="str">
        <f t="shared" si="2"/>
        <v>2</v>
      </c>
      <c r="G41" s="17">
        <f t="shared" si="3"/>
        <v>43</v>
      </c>
      <c r="H41" s="17">
        <f t="shared" si="4"/>
        <v>81</v>
      </c>
      <c r="I41" s="17">
        <f t="shared" si="5"/>
        <v>10</v>
      </c>
      <c r="J41" s="17">
        <v>1</v>
      </c>
      <c r="L41" s="19" t="str">
        <f t="shared" si="6"/>
        <v>C43H81O10P1</v>
      </c>
      <c r="M41" s="19">
        <f t="shared" si="7"/>
        <v>788.55670559999999</v>
      </c>
      <c r="N41" s="19">
        <f t="shared" si="8"/>
        <v>789.56398020000006</v>
      </c>
      <c r="O41" s="19">
        <f t="shared" si="9"/>
        <v>771.55286020000005</v>
      </c>
      <c r="P41" s="19">
        <f t="shared" si="10"/>
        <v>806.59052559999998</v>
      </c>
      <c r="Q41" s="42">
        <f t="shared" si="11"/>
        <v>811.54592560000003</v>
      </c>
      <c r="R41" s="19">
        <f t="shared" si="12"/>
        <v>827.5198656</v>
      </c>
      <c r="S41" s="19">
        <f t="shared" si="13"/>
        <v>795.57216560000006</v>
      </c>
      <c r="T41" s="49">
        <f t="shared" si="14"/>
        <v>787.54943099999991</v>
      </c>
      <c r="U41" s="42">
        <f t="shared" si="17"/>
        <v>769.53886099999988</v>
      </c>
      <c r="V41" s="19">
        <f t="shared" si="15"/>
        <v>833.55492559999993</v>
      </c>
      <c r="W41" s="19">
        <f t="shared" si="16"/>
        <v>847.57057559999998</v>
      </c>
    </row>
    <row r="42" spans="1:24" x14ac:dyDescent="0.25">
      <c r="A42" s="17" t="s">
        <v>468</v>
      </c>
      <c r="B42" s="17" t="str">
        <f t="shared" si="0"/>
        <v>PG 37:1</v>
      </c>
      <c r="C42" s="1" t="str">
        <f t="shared" si="1"/>
        <v>37</v>
      </c>
      <c r="D42" s="1" t="str">
        <f t="shared" si="2"/>
        <v>1</v>
      </c>
      <c r="G42" s="17">
        <f t="shared" si="3"/>
        <v>43</v>
      </c>
      <c r="H42" s="17">
        <f t="shared" si="4"/>
        <v>83</v>
      </c>
      <c r="I42" s="17">
        <f t="shared" si="5"/>
        <v>10</v>
      </c>
      <c r="J42" s="17">
        <v>1</v>
      </c>
      <c r="L42" s="19" t="str">
        <f t="shared" si="6"/>
        <v>C43H83O10P1</v>
      </c>
      <c r="M42" s="19">
        <f t="shared" si="7"/>
        <v>790.57235479999997</v>
      </c>
      <c r="N42" s="19">
        <f t="shared" si="8"/>
        <v>791.57962940000004</v>
      </c>
      <c r="O42" s="19">
        <f t="shared" si="9"/>
        <v>773.56850940000004</v>
      </c>
      <c r="P42" s="19">
        <f t="shared" si="10"/>
        <v>808.60617479999996</v>
      </c>
      <c r="Q42" s="42">
        <f t="shared" si="11"/>
        <v>813.56157480000002</v>
      </c>
      <c r="R42" s="19">
        <f t="shared" si="12"/>
        <v>829.53551479999999</v>
      </c>
      <c r="S42" s="19">
        <f t="shared" si="13"/>
        <v>797.58781480000005</v>
      </c>
      <c r="T42" s="49">
        <f t="shared" si="14"/>
        <v>789.5650801999999</v>
      </c>
      <c r="U42" s="42">
        <f t="shared" si="17"/>
        <v>771.55451019999987</v>
      </c>
      <c r="V42" s="19">
        <f t="shared" si="15"/>
        <v>835.57057479999992</v>
      </c>
      <c r="W42" s="19">
        <f t="shared" si="16"/>
        <v>849.58622479999997</v>
      </c>
    </row>
    <row r="43" spans="1:24" x14ac:dyDescent="0.25">
      <c r="A43" s="17" t="s">
        <v>297</v>
      </c>
      <c r="B43" s="17" t="str">
        <f t="shared" si="0"/>
        <v>PG 37:0</v>
      </c>
      <c r="C43" s="1" t="str">
        <f t="shared" si="1"/>
        <v>37</v>
      </c>
      <c r="D43" s="1" t="str">
        <f t="shared" si="2"/>
        <v>0</v>
      </c>
      <c r="G43" s="17">
        <f t="shared" si="3"/>
        <v>43</v>
      </c>
      <c r="H43" s="17">
        <f t="shared" si="4"/>
        <v>85</v>
      </c>
      <c r="I43" s="17">
        <f t="shared" si="5"/>
        <v>10</v>
      </c>
      <c r="J43" s="17">
        <v>1</v>
      </c>
      <c r="L43" s="19" t="str">
        <f t="shared" si="6"/>
        <v>C43H85O10P1</v>
      </c>
      <c r="M43" s="19">
        <f t="shared" si="7"/>
        <v>792.58800399999996</v>
      </c>
      <c r="N43" s="19">
        <f t="shared" si="8"/>
        <v>793.59527860000003</v>
      </c>
      <c r="O43" s="19">
        <f t="shared" si="9"/>
        <v>775.58415860000002</v>
      </c>
      <c r="P43" s="19">
        <f t="shared" si="10"/>
        <v>810.62182399999995</v>
      </c>
      <c r="Q43" s="42">
        <f t="shared" si="11"/>
        <v>815.577224</v>
      </c>
      <c r="R43" s="19">
        <f t="shared" si="12"/>
        <v>831.55116399999997</v>
      </c>
      <c r="S43" s="19">
        <f t="shared" si="13"/>
        <v>799.60346400000003</v>
      </c>
      <c r="T43" s="49">
        <f t="shared" si="14"/>
        <v>791.58072939999988</v>
      </c>
      <c r="U43" s="42">
        <f t="shared" si="17"/>
        <v>773.57015939999985</v>
      </c>
      <c r="V43" s="19">
        <f t="shared" si="15"/>
        <v>837.5862239999999</v>
      </c>
      <c r="W43" s="19">
        <f t="shared" si="16"/>
        <v>851.60187399999995</v>
      </c>
    </row>
    <row r="44" spans="1:24" x14ac:dyDescent="0.25">
      <c r="A44" s="17" t="s">
        <v>480</v>
      </c>
      <c r="B44" s="17" t="str">
        <f t="shared" si="0"/>
        <v>PG 38:3</v>
      </c>
      <c r="C44" s="1" t="str">
        <f t="shared" si="1"/>
        <v>38</v>
      </c>
      <c r="D44" s="1" t="str">
        <f t="shared" si="2"/>
        <v>3</v>
      </c>
      <c r="G44" s="17">
        <f t="shared" si="3"/>
        <v>44</v>
      </c>
      <c r="H44" s="17">
        <f t="shared" si="4"/>
        <v>81</v>
      </c>
      <c r="I44" s="17">
        <f t="shared" si="5"/>
        <v>10</v>
      </c>
      <c r="J44" s="17">
        <v>1</v>
      </c>
      <c r="L44" s="19" t="str">
        <f t="shared" si="6"/>
        <v>C44H81O10P1</v>
      </c>
      <c r="M44" s="19">
        <f t="shared" si="7"/>
        <v>800.55670559999999</v>
      </c>
      <c r="N44" s="19">
        <f t="shared" si="8"/>
        <v>801.56398020000006</v>
      </c>
      <c r="O44" s="19">
        <f t="shared" si="9"/>
        <v>783.55286020000005</v>
      </c>
      <c r="P44" s="19">
        <f t="shared" si="10"/>
        <v>818.59052559999998</v>
      </c>
      <c r="Q44" s="42">
        <f t="shared" si="11"/>
        <v>823.54592560000003</v>
      </c>
      <c r="R44" s="19">
        <f t="shared" si="12"/>
        <v>839.5198656</v>
      </c>
      <c r="S44" s="19">
        <f t="shared" si="13"/>
        <v>807.57216560000006</v>
      </c>
      <c r="T44" s="49">
        <f t="shared" si="14"/>
        <v>799.54943099999991</v>
      </c>
      <c r="U44" s="42">
        <f t="shared" si="17"/>
        <v>781.53886099999988</v>
      </c>
      <c r="V44" s="19">
        <f t="shared" si="15"/>
        <v>845.55492559999993</v>
      </c>
      <c r="W44" s="19">
        <f t="shared" si="16"/>
        <v>859.57057559999998</v>
      </c>
    </row>
    <row r="45" spans="1:24" x14ac:dyDescent="0.25">
      <c r="A45" s="17" t="s">
        <v>471</v>
      </c>
      <c r="B45" s="17" t="str">
        <f t="shared" si="0"/>
        <v>PG 38:2</v>
      </c>
      <c r="C45" s="1" t="str">
        <f t="shared" si="1"/>
        <v>38</v>
      </c>
      <c r="D45" s="1" t="str">
        <f t="shared" si="2"/>
        <v>2</v>
      </c>
      <c r="G45" s="17">
        <f t="shared" si="3"/>
        <v>44</v>
      </c>
      <c r="H45" s="17">
        <f t="shared" si="4"/>
        <v>83</v>
      </c>
      <c r="I45" s="17">
        <f t="shared" si="5"/>
        <v>10</v>
      </c>
      <c r="J45" s="17">
        <v>1</v>
      </c>
      <c r="L45" s="19" t="str">
        <f t="shared" si="6"/>
        <v>C44H83O10P1</v>
      </c>
      <c r="M45" s="19">
        <f t="shared" si="7"/>
        <v>802.57235479999997</v>
      </c>
      <c r="N45" s="19">
        <f t="shared" si="8"/>
        <v>803.57962940000004</v>
      </c>
      <c r="O45" s="19">
        <f t="shared" si="9"/>
        <v>785.56850940000004</v>
      </c>
      <c r="P45" s="19">
        <f t="shared" si="10"/>
        <v>820.60617479999996</v>
      </c>
      <c r="Q45" s="42">
        <f t="shared" si="11"/>
        <v>825.56157480000002</v>
      </c>
      <c r="R45" s="19">
        <f t="shared" si="12"/>
        <v>841.53551479999999</v>
      </c>
      <c r="S45" s="19">
        <f t="shared" si="13"/>
        <v>809.58781480000005</v>
      </c>
      <c r="T45" s="49">
        <f t="shared" si="14"/>
        <v>801.5650801999999</v>
      </c>
      <c r="U45" s="42">
        <f t="shared" si="17"/>
        <v>783.55451019999987</v>
      </c>
      <c r="V45" s="19">
        <f t="shared" si="15"/>
        <v>847.57057479999992</v>
      </c>
      <c r="W45" s="19">
        <f t="shared" si="16"/>
        <v>861.58622479999997</v>
      </c>
    </row>
    <row r="46" spans="1:24" x14ac:dyDescent="0.25">
      <c r="A46" s="17" t="s">
        <v>469</v>
      </c>
      <c r="B46" s="17" t="str">
        <f t="shared" si="0"/>
        <v>PG 38:1</v>
      </c>
      <c r="C46" s="1" t="str">
        <f t="shared" si="1"/>
        <v>38</v>
      </c>
      <c r="D46" s="1" t="str">
        <f t="shared" si="2"/>
        <v>1</v>
      </c>
      <c r="G46" s="17">
        <f t="shared" si="3"/>
        <v>44</v>
      </c>
      <c r="H46" s="17">
        <f t="shared" si="4"/>
        <v>85</v>
      </c>
      <c r="I46" s="17">
        <f t="shared" si="5"/>
        <v>10</v>
      </c>
      <c r="J46" s="17">
        <v>1</v>
      </c>
      <c r="L46" s="19" t="str">
        <f t="shared" si="6"/>
        <v>C44H85O10P1</v>
      </c>
      <c r="M46" s="19">
        <f t="shared" si="7"/>
        <v>804.58800399999996</v>
      </c>
      <c r="N46" s="19">
        <f t="shared" si="8"/>
        <v>805.59527860000003</v>
      </c>
      <c r="O46" s="19">
        <f t="shared" si="9"/>
        <v>787.58415860000002</v>
      </c>
      <c r="P46" s="19">
        <f t="shared" si="10"/>
        <v>822.62182399999995</v>
      </c>
      <c r="Q46" s="42">
        <f t="shared" si="11"/>
        <v>827.577224</v>
      </c>
      <c r="R46" s="19">
        <f t="shared" si="12"/>
        <v>843.55116399999997</v>
      </c>
      <c r="S46" s="19">
        <f t="shared" si="13"/>
        <v>811.60346400000003</v>
      </c>
      <c r="T46" s="49">
        <f t="shared" si="14"/>
        <v>803.58072939999988</v>
      </c>
      <c r="U46" s="42">
        <f t="shared" si="17"/>
        <v>785.57015939999985</v>
      </c>
      <c r="V46" s="19">
        <f t="shared" si="15"/>
        <v>849.5862239999999</v>
      </c>
      <c r="W46" s="19">
        <f t="shared" si="16"/>
        <v>863.60187399999995</v>
      </c>
    </row>
    <row r="47" spans="1:24" x14ac:dyDescent="0.25">
      <c r="A47" s="17" t="s">
        <v>298</v>
      </c>
      <c r="B47" s="17" t="str">
        <f t="shared" si="0"/>
        <v>PG 38:0</v>
      </c>
      <c r="C47" s="1" t="str">
        <f t="shared" si="1"/>
        <v>38</v>
      </c>
      <c r="D47" s="1" t="str">
        <f t="shared" si="2"/>
        <v>0</v>
      </c>
      <c r="G47" s="17">
        <f t="shared" si="3"/>
        <v>44</v>
      </c>
      <c r="H47" s="17">
        <f t="shared" si="4"/>
        <v>87</v>
      </c>
      <c r="I47" s="17">
        <f t="shared" si="5"/>
        <v>10</v>
      </c>
      <c r="J47" s="17">
        <v>1</v>
      </c>
      <c r="L47" s="19" t="str">
        <f t="shared" si="6"/>
        <v>C44H87O10P1</v>
      </c>
      <c r="M47" s="19">
        <f t="shared" si="7"/>
        <v>806.60365319999994</v>
      </c>
      <c r="N47" s="19">
        <f t="shared" si="8"/>
        <v>807.61092780000001</v>
      </c>
      <c r="O47" s="19">
        <f t="shared" si="9"/>
        <v>789.59980780000001</v>
      </c>
      <c r="P47" s="19">
        <f t="shared" si="10"/>
        <v>824.63747319999993</v>
      </c>
      <c r="Q47" s="42">
        <f t="shared" si="11"/>
        <v>829.59287319999999</v>
      </c>
      <c r="R47" s="19">
        <f t="shared" si="12"/>
        <v>845.56681319999996</v>
      </c>
      <c r="S47" s="19">
        <f t="shared" si="13"/>
        <v>813.61911320000002</v>
      </c>
      <c r="T47" s="49">
        <f t="shared" si="14"/>
        <v>805.59637859999987</v>
      </c>
      <c r="U47" s="42">
        <f t="shared" si="17"/>
        <v>787.58580859999984</v>
      </c>
      <c r="V47" s="19">
        <f t="shared" si="15"/>
        <v>851.60187319999989</v>
      </c>
      <c r="W47" s="19">
        <f t="shared" si="16"/>
        <v>865.61752319999994</v>
      </c>
    </row>
    <row r="48" spans="1:24" x14ac:dyDescent="0.25">
      <c r="C48" s="1"/>
      <c r="D48" s="1"/>
    </row>
    <row r="49" spans="1:4" x14ac:dyDescent="0.25">
      <c r="C49" s="1"/>
      <c r="D49" s="1"/>
    </row>
    <row r="50" spans="1:4" x14ac:dyDescent="0.25">
      <c r="C50" s="1"/>
      <c r="D50" s="1"/>
    </row>
    <row r="51" spans="1:4" x14ac:dyDescent="0.25">
      <c r="C51" s="1"/>
      <c r="D51" s="1"/>
    </row>
    <row r="52" spans="1:4" x14ac:dyDescent="0.25">
      <c r="C52" s="1"/>
      <c r="D52" s="1"/>
    </row>
    <row r="53" spans="1:4" x14ac:dyDescent="0.25">
      <c r="C53" s="1"/>
      <c r="D53" s="1"/>
    </row>
    <row r="57" spans="1:4" x14ac:dyDescent="0.25">
      <c r="A57"/>
      <c r="C57" s="1"/>
      <c r="D57" s="1"/>
    </row>
    <row r="58" spans="1:4" x14ac:dyDescent="0.25">
      <c r="A58"/>
      <c r="C58" s="1"/>
      <c r="D58" s="1"/>
    </row>
    <row r="59" spans="1:4" x14ac:dyDescent="0.25">
      <c r="A59"/>
      <c r="C59" s="1"/>
      <c r="D59" s="1"/>
    </row>
    <row r="60" spans="1:4" x14ac:dyDescent="0.25">
      <c r="A60"/>
      <c r="C60" s="1"/>
      <c r="D60" s="1"/>
    </row>
    <row r="61" spans="1:4" x14ac:dyDescent="0.25">
      <c r="A61"/>
      <c r="C61" s="1"/>
      <c r="D61" s="1"/>
    </row>
    <row r="62" spans="1:4" x14ac:dyDescent="0.25">
      <c r="A62"/>
      <c r="C62" s="1"/>
      <c r="D62" s="1"/>
    </row>
    <row r="63" spans="1:4" x14ac:dyDescent="0.25">
      <c r="A63"/>
      <c r="C63" s="1"/>
      <c r="D63" s="1"/>
    </row>
    <row r="64" spans="1:4" x14ac:dyDescent="0.25">
      <c r="A64"/>
      <c r="C64" s="1"/>
      <c r="D64" s="1"/>
    </row>
    <row r="65" spans="1:4" x14ac:dyDescent="0.25">
      <c r="A65"/>
      <c r="C65" s="1"/>
      <c r="D65" s="1"/>
    </row>
    <row r="66" spans="1:4" x14ac:dyDescent="0.25">
      <c r="A66"/>
      <c r="C66" s="1"/>
      <c r="D66" s="1"/>
    </row>
    <row r="67" spans="1:4" x14ac:dyDescent="0.25">
      <c r="A67"/>
      <c r="C67" s="1"/>
      <c r="D67" s="1"/>
    </row>
    <row r="68" spans="1:4" x14ac:dyDescent="0.25">
      <c r="A68"/>
      <c r="C68" s="1"/>
      <c r="D68" s="1"/>
    </row>
    <row r="69" spans="1:4" x14ac:dyDescent="0.25">
      <c r="A69"/>
      <c r="C69" s="1"/>
      <c r="D69" s="1"/>
    </row>
    <row r="70" spans="1:4" x14ac:dyDescent="0.25">
      <c r="A70"/>
      <c r="C70" s="1"/>
      <c r="D70" s="1"/>
    </row>
    <row r="71" spans="1:4" x14ac:dyDescent="0.25">
      <c r="A71"/>
      <c r="C71" s="1"/>
      <c r="D71" s="1"/>
    </row>
    <row r="72" spans="1:4" x14ac:dyDescent="0.25">
      <c r="A72"/>
      <c r="C72" s="1"/>
      <c r="D72" s="1"/>
    </row>
  </sheetData>
  <sortState ref="A3:X52">
    <sortCondition ref="M2:M52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0"/>
  <dimension ref="A1:W61"/>
  <sheetViews>
    <sheetView showGridLines="0" zoomScaleNormal="100" workbookViewId="0">
      <pane xSplit="1" ySplit="2" topLeftCell="B3" activePane="bottomRight" state="frozen"/>
      <selection pane="topRight"/>
      <selection pane="bottomLeft"/>
      <selection pane="bottomRight" activeCell="L7" sqref="L7"/>
    </sheetView>
  </sheetViews>
  <sheetFormatPr defaultColWidth="9.140625" defaultRowHeight="15.75" x14ac:dyDescent="0.25"/>
  <cols>
    <col min="1" max="1" width="21.42578125" style="17" bestFit="1" customWidth="1"/>
    <col min="2" max="2" width="0.5703125" style="17" customWidth="1"/>
    <col min="3" max="3" width="3.85546875" style="17" hidden="1" customWidth="1"/>
    <col min="4" max="4" width="2.5703125" style="17" hidden="1" customWidth="1"/>
    <col min="5" max="5" width="2.85546875" style="17" hidden="1" customWidth="1"/>
    <col min="6" max="6" width="3.28515625" style="17" hidden="1" customWidth="1"/>
    <col min="7" max="7" width="10.85546875" style="17" hidden="1" customWidth="1"/>
    <col min="8" max="8" width="12.140625" style="17" hidden="1" customWidth="1"/>
    <col min="9" max="9" width="9.5703125" style="17" hidden="1" customWidth="1"/>
    <col min="10" max="10" width="10.85546875" style="17" hidden="1" customWidth="1"/>
    <col min="11" max="11" width="9.5703125" style="17" hidden="1" customWidth="1"/>
    <col min="12" max="12" width="21.28515625" style="19" bestFit="1" customWidth="1"/>
    <col min="13" max="13" width="15.85546875" style="21" bestFit="1" customWidth="1"/>
    <col min="14" max="14" width="10.85546875" style="42" bestFit="1" customWidth="1"/>
    <col min="15" max="15" width="14.42578125" style="19" bestFit="1" customWidth="1"/>
    <col min="16" max="20" width="12.140625" style="19" bestFit="1" customWidth="1"/>
    <col min="21" max="21" width="13.5703125" style="19" bestFit="1" customWidth="1"/>
    <col min="22" max="22" width="16.5703125" style="19" bestFit="1" customWidth="1"/>
    <col min="23" max="23" width="10.85546875" bestFit="1" customWidth="1"/>
  </cols>
  <sheetData>
    <row r="1" spans="1:23" s="28" customFormat="1" x14ac:dyDescent="0.25">
      <c r="A1" s="27" t="s">
        <v>59</v>
      </c>
      <c r="B1" s="27" t="s">
        <v>5</v>
      </c>
      <c r="C1" s="27"/>
      <c r="D1" s="27"/>
      <c r="E1" s="27"/>
      <c r="F1" s="27"/>
      <c r="G1" s="27" t="s">
        <v>0</v>
      </c>
      <c r="H1" s="27" t="s">
        <v>1</v>
      </c>
      <c r="I1" s="27" t="s">
        <v>8</v>
      </c>
      <c r="J1" s="27" t="s">
        <v>2</v>
      </c>
      <c r="K1" s="27" t="s">
        <v>9</v>
      </c>
      <c r="L1" s="29" t="s">
        <v>14</v>
      </c>
      <c r="M1" s="48" t="s">
        <v>3</v>
      </c>
      <c r="N1" s="40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  <c r="W1" s="27" t="s">
        <v>413</v>
      </c>
    </row>
    <row r="2" spans="1:23" ht="1.5" customHeight="1" x14ac:dyDescent="0.25">
      <c r="A2" s="17" t="s">
        <v>324</v>
      </c>
      <c r="B2" s="17" t="str">
        <f t="shared" ref="B2:B46" si="0">IF(ISNUMBER(SEARCH("(",A2)),IF(ISNUMBER(SEARCH("/",A2)),CONCATENATE(MID(A2,1,7),"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2,1,7)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LysylPG 30:0</v>
      </c>
      <c r="C2" s="1" t="str">
        <f t="shared" ref="C2:C46" si="1">MID(B2,9,FIND(":",B2)-FIND(" ",B2)-1)</f>
        <v>30</v>
      </c>
      <c r="D2" s="1" t="str">
        <f t="shared" ref="D2:D46" si="2">IF(ISNUMBER(SEARCH("__",B2)),MID(B2,FIND(":",B2)+1,FIND("__",B2)-FIND(":",B2)-1),MID(B2,FIND(":",B2)+1,7))</f>
        <v>0</v>
      </c>
      <c r="G2" s="17">
        <f t="shared" ref="G2:G46" si="3">C2+12</f>
        <v>42</v>
      </c>
      <c r="H2" s="17">
        <f t="shared" ref="H2:H46" si="4">2*G2-(2*D2)-((LEN(A2)-LEN(SUBSTITUTE(A2,"_O_","")))/LEN("_O_"))*2-((LEN(A2)-LEN(SUBSTITUTE(A2,"_CHO_","")))/LEN("_CHO_"))*2-((LEN(A2)-LEN(SUBSTITUTE(A2,"_COOH_","")))/LEN("_COOH_"))*2-1</f>
        <v>83</v>
      </c>
      <c r="I2" s="17">
        <v>2</v>
      </c>
      <c r="J2" s="17">
        <f t="shared" ref="J2:J46" si="5">8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+3</f>
        <v>11</v>
      </c>
      <c r="K2" s="17">
        <v>1</v>
      </c>
      <c r="L2" s="19" t="str">
        <f t="shared" ref="L2:L46" si="6">CONCATENATE("C",G2,"H",H2,"N",I2,"O",J2,"P",K2)</f>
        <v>C42H83N2O11P1</v>
      </c>
      <c r="M2" s="21">
        <f t="shared" ref="M2:M46" si="7">(G2*12)+(H2*1.0078246)+(I2*14.003074)+(J2*15.994915)+(K2*30.973763)</f>
        <v>822.57341780000002</v>
      </c>
      <c r="N2" s="42">
        <f t="shared" ref="N2:N46" si="8">M2+1.0078246-0.00055</f>
        <v>823.58069240000009</v>
      </c>
      <c r="O2" s="19">
        <f t="shared" ref="O2:O46" si="9">N2-18.01057-0.00055</f>
        <v>805.56957240000008</v>
      </c>
      <c r="P2" s="19">
        <f t="shared" ref="P2:P46" si="10">M2+18.03437-0.00055</f>
        <v>840.60723780000001</v>
      </c>
      <c r="Q2" s="19">
        <f t="shared" ref="Q2:Q46" si="11">M2+22.98977-0.00055</f>
        <v>845.56263780000006</v>
      </c>
      <c r="R2" s="19">
        <f t="shared" ref="R2:R46" si="12">M2+38.96371-0.00055</f>
        <v>861.53657780000003</v>
      </c>
      <c r="S2" s="19">
        <f t="shared" ref="S2:S46" si="13">M2+7.01601-0.00055</f>
        <v>829.58887780000009</v>
      </c>
      <c r="T2" s="19">
        <f t="shared" ref="T2:T46" si="14">M2-1.0078246+0.00055</f>
        <v>821.56614319999994</v>
      </c>
      <c r="U2" s="19">
        <f t="shared" ref="U2:U46" si="15">M2+44.99767+0.00055</f>
        <v>867.57163779999996</v>
      </c>
      <c r="V2" s="19">
        <f t="shared" ref="V2:V46" si="16">M2+59.01332+0.00055</f>
        <v>881.58728780000001</v>
      </c>
      <c r="W2" s="42">
        <f t="shared" ref="W2:W18" si="17">M2+34.968853-0.00055</f>
        <v>857.54172080000001</v>
      </c>
    </row>
    <row r="3" spans="1:23" ht="15.75" customHeight="1" x14ac:dyDescent="0.25">
      <c r="A3" s="17" t="s">
        <v>377</v>
      </c>
      <c r="B3" s="17" t="str">
        <f t="shared" si="0"/>
        <v>LysylPG 24:0</v>
      </c>
      <c r="C3" s="1" t="str">
        <f t="shared" si="1"/>
        <v>24</v>
      </c>
      <c r="D3" s="1" t="str">
        <f t="shared" si="2"/>
        <v>0</v>
      </c>
      <c r="G3" s="17">
        <f t="shared" si="3"/>
        <v>36</v>
      </c>
      <c r="H3" s="17">
        <f t="shared" si="4"/>
        <v>71</v>
      </c>
      <c r="I3" s="17">
        <v>2</v>
      </c>
      <c r="J3" s="17">
        <f t="shared" si="5"/>
        <v>11</v>
      </c>
      <c r="K3" s="17">
        <v>1</v>
      </c>
      <c r="L3" s="19" t="str">
        <f t="shared" si="6"/>
        <v>C36H71N2O11P1</v>
      </c>
      <c r="M3" s="21">
        <f t="shared" si="7"/>
        <v>738.4795226</v>
      </c>
      <c r="N3" s="42">
        <f t="shared" si="8"/>
        <v>739.48679720000007</v>
      </c>
      <c r="O3" s="19">
        <f t="shared" si="9"/>
        <v>721.47567720000006</v>
      </c>
      <c r="P3" s="19">
        <f t="shared" si="10"/>
        <v>756.51334259999999</v>
      </c>
      <c r="Q3" s="19">
        <f t="shared" si="11"/>
        <v>761.46874260000004</v>
      </c>
      <c r="R3" s="19">
        <f t="shared" si="12"/>
        <v>777.44268260000001</v>
      </c>
      <c r="S3" s="19">
        <f t="shared" si="13"/>
        <v>745.49498260000007</v>
      </c>
      <c r="T3" s="19">
        <f t="shared" si="14"/>
        <v>737.47224799999992</v>
      </c>
      <c r="U3" s="19">
        <f t="shared" si="15"/>
        <v>783.47774259999994</v>
      </c>
      <c r="V3" s="19">
        <f t="shared" si="16"/>
        <v>797.49339259999999</v>
      </c>
      <c r="W3" s="42">
        <f t="shared" si="17"/>
        <v>773.44782559999999</v>
      </c>
    </row>
    <row r="4" spans="1:23" ht="15.75" customHeight="1" x14ac:dyDescent="0.25">
      <c r="A4" s="17" t="s">
        <v>376</v>
      </c>
      <c r="B4" s="17" t="str">
        <f t="shared" si="0"/>
        <v>LysylPG 25:0</v>
      </c>
      <c r="C4" s="1" t="str">
        <f t="shared" si="1"/>
        <v>25</v>
      </c>
      <c r="D4" s="1" t="str">
        <f t="shared" si="2"/>
        <v>0</v>
      </c>
      <c r="G4" s="17">
        <f t="shared" si="3"/>
        <v>37</v>
      </c>
      <c r="H4" s="17">
        <f t="shared" si="4"/>
        <v>73</v>
      </c>
      <c r="I4" s="17">
        <v>2</v>
      </c>
      <c r="J4" s="17">
        <f t="shared" si="5"/>
        <v>11</v>
      </c>
      <c r="K4" s="17">
        <v>1</v>
      </c>
      <c r="L4" s="19" t="str">
        <f t="shared" si="6"/>
        <v>C37H73N2O11P1</v>
      </c>
      <c r="M4" s="21">
        <f t="shared" si="7"/>
        <v>752.49517179999998</v>
      </c>
      <c r="N4" s="42">
        <f t="shared" si="8"/>
        <v>753.50244640000005</v>
      </c>
      <c r="O4" s="19">
        <f t="shared" si="9"/>
        <v>735.49132640000005</v>
      </c>
      <c r="P4" s="19">
        <f t="shared" si="10"/>
        <v>770.52899179999997</v>
      </c>
      <c r="Q4" s="19">
        <f t="shared" si="11"/>
        <v>775.48439180000003</v>
      </c>
      <c r="R4" s="19">
        <f t="shared" si="12"/>
        <v>791.4583318</v>
      </c>
      <c r="S4" s="19">
        <f t="shared" si="13"/>
        <v>759.51063180000006</v>
      </c>
      <c r="T4" s="19">
        <f t="shared" si="14"/>
        <v>751.48789719999991</v>
      </c>
      <c r="U4" s="19">
        <f t="shared" si="15"/>
        <v>797.49339179999993</v>
      </c>
      <c r="V4" s="19">
        <f t="shared" si="16"/>
        <v>811.50904179999998</v>
      </c>
      <c r="W4" s="42">
        <f t="shared" si="17"/>
        <v>787.46347479999997</v>
      </c>
    </row>
    <row r="5" spans="1:23" ht="15.75" customHeight="1" x14ac:dyDescent="0.25">
      <c r="A5" s="17" t="s">
        <v>375</v>
      </c>
      <c r="B5" s="17" t="str">
        <f t="shared" si="0"/>
        <v>LysylPG 26:0</v>
      </c>
      <c r="C5" s="1" t="str">
        <f t="shared" si="1"/>
        <v>26</v>
      </c>
      <c r="D5" s="1" t="str">
        <f t="shared" si="2"/>
        <v>0</v>
      </c>
      <c r="G5" s="17">
        <f t="shared" si="3"/>
        <v>38</v>
      </c>
      <c r="H5" s="17">
        <f t="shared" si="4"/>
        <v>75</v>
      </c>
      <c r="I5" s="17">
        <v>2</v>
      </c>
      <c r="J5" s="17">
        <f t="shared" si="5"/>
        <v>11</v>
      </c>
      <c r="K5" s="17">
        <v>1</v>
      </c>
      <c r="L5" s="19" t="str">
        <f t="shared" si="6"/>
        <v>C38H75N2O11P1</v>
      </c>
      <c r="M5" s="21">
        <f t="shared" si="7"/>
        <v>766.51082100000008</v>
      </c>
      <c r="N5" s="42">
        <f t="shared" si="8"/>
        <v>767.51809560000015</v>
      </c>
      <c r="O5" s="19">
        <f t="shared" si="9"/>
        <v>749.50697560000015</v>
      </c>
      <c r="P5" s="19">
        <f t="shared" si="10"/>
        <v>784.54464100000007</v>
      </c>
      <c r="Q5" s="19">
        <f t="shared" si="11"/>
        <v>789.50004100000012</v>
      </c>
      <c r="R5" s="19">
        <f t="shared" si="12"/>
        <v>805.47398100000009</v>
      </c>
      <c r="S5" s="19">
        <f t="shared" si="13"/>
        <v>773.52628100000015</v>
      </c>
      <c r="T5" s="19">
        <f t="shared" si="14"/>
        <v>765.5035464</v>
      </c>
      <c r="U5" s="19">
        <f t="shared" si="15"/>
        <v>811.50904100000002</v>
      </c>
      <c r="V5" s="19">
        <f t="shared" si="16"/>
        <v>825.52469100000008</v>
      </c>
      <c r="W5" s="42">
        <f t="shared" si="17"/>
        <v>801.47912400000007</v>
      </c>
    </row>
    <row r="6" spans="1:23" ht="15.75" customHeight="1" x14ac:dyDescent="0.25">
      <c r="A6" s="17" t="s">
        <v>374</v>
      </c>
      <c r="B6" s="17" t="str">
        <f t="shared" si="0"/>
        <v>LysylPG 27:0</v>
      </c>
      <c r="C6" s="1" t="str">
        <f t="shared" si="1"/>
        <v>27</v>
      </c>
      <c r="D6" s="1" t="str">
        <f t="shared" si="2"/>
        <v>0</v>
      </c>
      <c r="G6" s="17">
        <f t="shared" si="3"/>
        <v>39</v>
      </c>
      <c r="H6" s="17">
        <f t="shared" si="4"/>
        <v>77</v>
      </c>
      <c r="I6" s="17">
        <v>2</v>
      </c>
      <c r="J6" s="17">
        <f t="shared" si="5"/>
        <v>11</v>
      </c>
      <c r="K6" s="17">
        <v>1</v>
      </c>
      <c r="L6" s="19" t="str">
        <f t="shared" si="6"/>
        <v>C39H77N2O11P1</v>
      </c>
      <c r="M6" s="21">
        <f t="shared" si="7"/>
        <v>780.52647020000006</v>
      </c>
      <c r="N6" s="42">
        <f t="shared" si="8"/>
        <v>781.53374480000014</v>
      </c>
      <c r="O6" s="19">
        <f t="shared" si="9"/>
        <v>763.52262480000013</v>
      </c>
      <c r="P6" s="19">
        <f t="shared" si="10"/>
        <v>798.56029020000005</v>
      </c>
      <c r="Q6" s="19">
        <f t="shared" si="11"/>
        <v>803.51569020000011</v>
      </c>
      <c r="R6" s="19">
        <f t="shared" si="12"/>
        <v>819.48963020000008</v>
      </c>
      <c r="S6" s="19">
        <f t="shared" si="13"/>
        <v>787.54193020000014</v>
      </c>
      <c r="T6" s="19">
        <f t="shared" si="14"/>
        <v>779.51919559999999</v>
      </c>
      <c r="U6" s="19">
        <f t="shared" si="15"/>
        <v>825.52469020000001</v>
      </c>
      <c r="V6" s="19">
        <f t="shared" si="16"/>
        <v>839.54034020000006</v>
      </c>
      <c r="W6" s="42">
        <f t="shared" si="17"/>
        <v>815.49477320000005</v>
      </c>
    </row>
    <row r="7" spans="1:23" x14ac:dyDescent="0.25">
      <c r="A7" s="17" t="s">
        <v>364</v>
      </c>
      <c r="B7" s="17" t="str">
        <f t="shared" si="0"/>
        <v>LysylPG 28:0</v>
      </c>
      <c r="C7" s="1" t="str">
        <f t="shared" si="1"/>
        <v>28</v>
      </c>
      <c r="D7" s="1" t="str">
        <f t="shared" si="2"/>
        <v>0</v>
      </c>
      <c r="G7" s="17">
        <f t="shared" si="3"/>
        <v>40</v>
      </c>
      <c r="H7" s="17">
        <f t="shared" si="4"/>
        <v>79</v>
      </c>
      <c r="I7" s="17">
        <v>2</v>
      </c>
      <c r="J7" s="17">
        <f t="shared" si="5"/>
        <v>11</v>
      </c>
      <c r="K7" s="17">
        <v>1</v>
      </c>
      <c r="L7" s="19" t="str">
        <f t="shared" si="6"/>
        <v>C40H79N2O11P1</v>
      </c>
      <c r="M7" s="21">
        <f t="shared" si="7"/>
        <v>794.54211940000005</v>
      </c>
      <c r="N7" s="42">
        <f t="shared" si="8"/>
        <v>795.54939400000012</v>
      </c>
      <c r="O7" s="19">
        <f t="shared" si="9"/>
        <v>777.53827400000011</v>
      </c>
      <c r="P7" s="19">
        <f t="shared" si="10"/>
        <v>812.57593940000004</v>
      </c>
      <c r="Q7" s="19">
        <f t="shared" si="11"/>
        <v>817.53133940000009</v>
      </c>
      <c r="R7" s="19">
        <f t="shared" si="12"/>
        <v>833.50527940000006</v>
      </c>
      <c r="S7" s="19">
        <f t="shared" si="13"/>
        <v>801.55757940000012</v>
      </c>
      <c r="T7" s="19">
        <f t="shared" si="14"/>
        <v>793.53484479999997</v>
      </c>
      <c r="U7" s="19">
        <f t="shared" si="15"/>
        <v>839.54033939999999</v>
      </c>
      <c r="V7" s="19">
        <f t="shared" si="16"/>
        <v>853.55598940000004</v>
      </c>
      <c r="W7" s="42">
        <f t="shared" si="17"/>
        <v>829.51042240000004</v>
      </c>
    </row>
    <row r="8" spans="1:23" x14ac:dyDescent="0.25">
      <c r="A8" s="17" t="s">
        <v>653</v>
      </c>
      <c r="B8" s="17" t="str">
        <f t="shared" ref="B8" si="18">IF(ISNUMBER(SEARCH("(",A8)),IF(ISNUMBER(SEARCH("/",A8)),CONCATENATE(MID(A8,1,7)," ",(SUM(MID(A8,FIND("(",A8)+1,FIND(":",A8)-FIND("(",A8)-1),MID(A8,FIND("/",A8)+1,FIND(":",A8,FIND("/",A8))-FIND("/",A8)-1))),":",SUM(MID(A8,FIND(":",A8)+1,FIND("/",A8)-FIND(":",A8)-1),MID(A8,FIND(":",A8,FIND("/",A8))+1,FIND(")",A8)-FIND(":",A8,FIND("/",A8))-1)),MID(A8,(FIND(")",A8)+1),100)),CONCATENATE(MID(A8,1,7)," ",(SUM(MID(A8,FIND("(",A8)+1,FIND(":",A8)-FIND("(",A8)-1),MID(A8,FIND("_",A8)+1,FIND(":",A8,FIND("_",A8))-FIND("_",A8)-1))),":",SUM(MID(A8,FIND(":",A8)+1,FIND("_",A8)-FIND(":",A8)-1),MID(A8,FIND(":",A8,FIND("_",A8))+1,FIND(")",A8)-FIND(":",A8,FIND("_",A8))-1)),MID(A8,(FIND(")",A8)+1),100))),A8)</f>
        <v>LysylPG 29:1</v>
      </c>
      <c r="C8" s="1" t="str">
        <f t="shared" ref="C8" si="19">MID(B8,9,FIND(":",B8)-FIND(" ",B8)-1)</f>
        <v>29</v>
      </c>
      <c r="D8" s="1" t="str">
        <f t="shared" ref="D8" si="20">IF(ISNUMBER(SEARCH("__",B8)),MID(B8,FIND(":",B8)+1,FIND("__",B8)-FIND(":",B8)-1),MID(B8,FIND(":",B8)+1,7))</f>
        <v>1</v>
      </c>
      <c r="G8" s="17">
        <f t="shared" ref="G8" si="21">C8+12</f>
        <v>41</v>
      </c>
      <c r="H8" s="17">
        <f t="shared" ref="H8" si="22">2*G8-(2*D8)-((LEN(A8)-LEN(SUBSTITUTE(A8,"_O_","")))/LEN("_O_"))*2-((LEN(A8)-LEN(SUBSTITUTE(A8,"_CHO_","")))/LEN("_CHO_"))*2-((LEN(A8)-LEN(SUBSTITUTE(A8,"_COOH_","")))/LEN("_COOH_"))*2-1</f>
        <v>79</v>
      </c>
      <c r="I8" s="17">
        <v>2</v>
      </c>
      <c r="J8" s="17">
        <f t="shared" ref="J8" si="23">8+((LEN(A8)-LEN(SUBSTITUTE(A8,"_OH_","")))/LEN("_OH_"))*1+((LEN(A8)-LEN(SUBSTITUTE(A8,"_OOH_","")))/LEN("_OOH_"))*2+((LEN(A8)-LEN(SUBSTITUTE(A8,"_O_","")))/LEN("_O_"))*1+((LEN(A8)-LEN(SUBSTITUTE(A8,"_CHO_","")))/LEN("_CHO_"))*1+((LEN(A8)-LEN(SUBSTITUTE(A8,"_COOH_","")))/LEN("_COOH_"))*2+3</f>
        <v>11</v>
      </c>
      <c r="K8" s="17">
        <v>1</v>
      </c>
      <c r="L8" s="19" t="str">
        <f t="shared" ref="L8" si="24">CONCATENATE("C",G8,"H",H8,"N",I8,"O",J8,"P",K8)</f>
        <v>C41H79N2O11P1</v>
      </c>
      <c r="M8" s="21">
        <f t="shared" ref="M8" si="25">(G8*12)+(H8*1.0078246)+(I8*14.003074)+(J8*15.994915)+(K8*30.973763)</f>
        <v>806.54211940000005</v>
      </c>
      <c r="N8" s="42">
        <f t="shared" ref="N8" si="26">M8+1.0078246-0.00055</f>
        <v>807.54939400000012</v>
      </c>
      <c r="O8" s="19">
        <f t="shared" ref="O8" si="27">N8-18.01057-0.00055</f>
        <v>789.53827400000011</v>
      </c>
      <c r="P8" s="19">
        <f t="shared" ref="P8" si="28">M8+18.03437-0.00055</f>
        <v>824.57593940000004</v>
      </c>
      <c r="Q8" s="19">
        <f t="shared" ref="Q8" si="29">M8+22.98977-0.00055</f>
        <v>829.53133940000009</v>
      </c>
      <c r="R8" s="19">
        <f t="shared" ref="R8" si="30">M8+38.96371-0.00055</f>
        <v>845.50527940000006</v>
      </c>
      <c r="S8" s="19">
        <f t="shared" ref="S8" si="31">M8+7.01601-0.00055</f>
        <v>813.55757940000012</v>
      </c>
      <c r="T8" s="19">
        <f t="shared" ref="T8" si="32">M8-1.0078246+0.00055</f>
        <v>805.53484479999997</v>
      </c>
      <c r="U8" s="19">
        <f t="shared" ref="U8" si="33">M8+44.99767+0.00055</f>
        <v>851.54033939999999</v>
      </c>
      <c r="V8" s="19">
        <f t="shared" ref="V8" si="34">M8+59.01332+0.00055</f>
        <v>865.55598940000004</v>
      </c>
      <c r="W8" s="42">
        <f t="shared" ref="W8" si="35">M8+34.968853-0.00055</f>
        <v>841.51042240000004</v>
      </c>
    </row>
    <row r="9" spans="1:23" x14ac:dyDescent="0.25">
      <c r="A9" s="17" t="s">
        <v>365</v>
      </c>
      <c r="B9" s="17" t="str">
        <f t="shared" si="0"/>
        <v>LysylPG 29:0</v>
      </c>
      <c r="C9" s="1" t="str">
        <f t="shared" si="1"/>
        <v>29</v>
      </c>
      <c r="D9" s="1" t="str">
        <f t="shared" si="2"/>
        <v>0</v>
      </c>
      <c r="G9" s="17">
        <f t="shared" si="3"/>
        <v>41</v>
      </c>
      <c r="H9" s="17">
        <f t="shared" si="4"/>
        <v>81</v>
      </c>
      <c r="I9" s="17">
        <v>2</v>
      </c>
      <c r="J9" s="17">
        <f t="shared" si="5"/>
        <v>11</v>
      </c>
      <c r="K9" s="17">
        <v>1</v>
      </c>
      <c r="L9" s="19" t="str">
        <f t="shared" si="6"/>
        <v>C41H81N2O11P1</v>
      </c>
      <c r="M9" s="21">
        <f t="shared" si="7"/>
        <v>808.55776860000003</v>
      </c>
      <c r="N9" s="42">
        <f t="shared" si="8"/>
        <v>809.5650432000001</v>
      </c>
      <c r="O9" s="19">
        <f t="shared" si="9"/>
        <v>791.5539232000001</v>
      </c>
      <c r="P9" s="19">
        <f t="shared" si="10"/>
        <v>826.59158860000002</v>
      </c>
      <c r="Q9" s="19">
        <f t="shared" si="11"/>
        <v>831.54698860000008</v>
      </c>
      <c r="R9" s="19">
        <f t="shared" si="12"/>
        <v>847.52092860000005</v>
      </c>
      <c r="S9" s="19">
        <f t="shared" si="13"/>
        <v>815.57322860000011</v>
      </c>
      <c r="T9" s="19">
        <f t="shared" si="14"/>
        <v>807.55049399999996</v>
      </c>
      <c r="U9" s="19">
        <f t="shared" si="15"/>
        <v>853.55598859999998</v>
      </c>
      <c r="V9" s="19">
        <f t="shared" si="16"/>
        <v>867.57163860000003</v>
      </c>
      <c r="W9" s="42">
        <f t="shared" si="17"/>
        <v>843.52607160000002</v>
      </c>
    </row>
    <row r="10" spans="1:23" x14ac:dyDescent="0.25">
      <c r="A10" s="17" t="s">
        <v>538</v>
      </c>
      <c r="B10" s="17" t="str">
        <f t="shared" si="0"/>
        <v>LysylPG 30:2</v>
      </c>
      <c r="C10" s="1" t="str">
        <f t="shared" si="1"/>
        <v>30</v>
      </c>
      <c r="D10" s="1" t="str">
        <f t="shared" si="2"/>
        <v>2</v>
      </c>
      <c r="G10" s="17">
        <f t="shared" si="3"/>
        <v>42</v>
      </c>
      <c r="H10" s="17">
        <f t="shared" si="4"/>
        <v>79</v>
      </c>
      <c r="I10" s="17">
        <v>2</v>
      </c>
      <c r="J10" s="17">
        <f t="shared" si="5"/>
        <v>11</v>
      </c>
      <c r="K10" s="17">
        <v>1</v>
      </c>
      <c r="L10" s="19" t="str">
        <f t="shared" si="6"/>
        <v>C42H79N2O11P1</v>
      </c>
      <c r="M10" s="21">
        <f t="shared" si="7"/>
        <v>818.54211940000005</v>
      </c>
      <c r="N10" s="42">
        <f t="shared" si="8"/>
        <v>819.54939400000012</v>
      </c>
      <c r="O10" s="19">
        <f t="shared" si="9"/>
        <v>801.53827400000011</v>
      </c>
      <c r="P10" s="19">
        <f t="shared" si="10"/>
        <v>836.57593940000004</v>
      </c>
      <c r="Q10" s="19">
        <f t="shared" si="11"/>
        <v>841.53133940000009</v>
      </c>
      <c r="R10" s="19">
        <f t="shared" si="12"/>
        <v>857.50527940000006</v>
      </c>
      <c r="S10" s="19">
        <f t="shared" si="13"/>
        <v>825.55757940000012</v>
      </c>
      <c r="T10" s="19">
        <f t="shared" si="14"/>
        <v>817.53484479999997</v>
      </c>
      <c r="U10" s="19">
        <f t="shared" si="15"/>
        <v>863.54033939999999</v>
      </c>
      <c r="V10" s="19">
        <f t="shared" si="16"/>
        <v>877.55598940000004</v>
      </c>
      <c r="W10" s="42">
        <f t="shared" si="17"/>
        <v>853.51042240000004</v>
      </c>
    </row>
    <row r="11" spans="1:23" x14ac:dyDescent="0.25">
      <c r="A11" s="17" t="s">
        <v>383</v>
      </c>
      <c r="B11" s="17" t="str">
        <f t="shared" si="0"/>
        <v>LysylPG 30:1</v>
      </c>
      <c r="C11" s="1" t="str">
        <f t="shared" si="1"/>
        <v>30</v>
      </c>
      <c r="D11" s="1" t="str">
        <f t="shared" si="2"/>
        <v>1</v>
      </c>
      <c r="G11" s="17">
        <f t="shared" si="3"/>
        <v>42</v>
      </c>
      <c r="H11" s="17">
        <f t="shared" si="4"/>
        <v>81</v>
      </c>
      <c r="I11" s="17">
        <v>2</v>
      </c>
      <c r="J11" s="17">
        <f t="shared" si="5"/>
        <v>11</v>
      </c>
      <c r="K11" s="17">
        <v>1</v>
      </c>
      <c r="L11" s="19" t="str">
        <f t="shared" si="6"/>
        <v>C42H81N2O11P1</v>
      </c>
      <c r="M11" s="21">
        <f t="shared" si="7"/>
        <v>820.55776860000003</v>
      </c>
      <c r="N11" s="42">
        <f t="shared" si="8"/>
        <v>821.5650432000001</v>
      </c>
      <c r="O11" s="19">
        <f t="shared" si="9"/>
        <v>803.5539232000001</v>
      </c>
      <c r="P11" s="19">
        <f t="shared" si="10"/>
        <v>838.59158860000002</v>
      </c>
      <c r="Q11" s="19">
        <f t="shared" si="11"/>
        <v>843.54698860000008</v>
      </c>
      <c r="R11" s="19">
        <f t="shared" si="12"/>
        <v>859.52092860000005</v>
      </c>
      <c r="S11" s="19">
        <f t="shared" si="13"/>
        <v>827.57322860000011</v>
      </c>
      <c r="T11" s="19">
        <f t="shared" si="14"/>
        <v>819.55049399999996</v>
      </c>
      <c r="U11" s="19">
        <f t="shared" si="15"/>
        <v>865.55598859999998</v>
      </c>
      <c r="V11" s="19">
        <f t="shared" si="16"/>
        <v>879.57163860000003</v>
      </c>
      <c r="W11" s="42">
        <f t="shared" si="17"/>
        <v>855.52607160000002</v>
      </c>
    </row>
    <row r="12" spans="1:23" x14ac:dyDescent="0.25">
      <c r="A12" s="17" t="s">
        <v>366</v>
      </c>
      <c r="B12" s="17" t="str">
        <f t="shared" si="0"/>
        <v>LysylPG 30:0</v>
      </c>
      <c r="C12" s="1" t="str">
        <f t="shared" si="1"/>
        <v>30</v>
      </c>
      <c r="D12" s="1" t="str">
        <f t="shared" si="2"/>
        <v>0</v>
      </c>
      <c r="G12" s="17">
        <f t="shared" si="3"/>
        <v>42</v>
      </c>
      <c r="H12" s="17">
        <f t="shared" si="4"/>
        <v>83</v>
      </c>
      <c r="I12" s="17">
        <v>2</v>
      </c>
      <c r="J12" s="17">
        <f t="shared" si="5"/>
        <v>11</v>
      </c>
      <c r="K12" s="17">
        <v>1</v>
      </c>
      <c r="L12" s="19" t="str">
        <f t="shared" si="6"/>
        <v>C42H83N2O11P1</v>
      </c>
      <c r="M12" s="21">
        <f t="shared" si="7"/>
        <v>822.57341780000002</v>
      </c>
      <c r="N12" s="42">
        <f t="shared" si="8"/>
        <v>823.58069240000009</v>
      </c>
      <c r="O12" s="19">
        <f t="shared" si="9"/>
        <v>805.56957240000008</v>
      </c>
      <c r="P12" s="19">
        <f t="shared" si="10"/>
        <v>840.60723780000001</v>
      </c>
      <c r="Q12" s="19">
        <f t="shared" si="11"/>
        <v>845.56263780000006</v>
      </c>
      <c r="R12" s="19">
        <f t="shared" si="12"/>
        <v>861.53657780000003</v>
      </c>
      <c r="S12" s="19">
        <f t="shared" si="13"/>
        <v>829.58887780000009</v>
      </c>
      <c r="T12" s="19">
        <f t="shared" si="14"/>
        <v>821.56614319999994</v>
      </c>
      <c r="U12" s="19">
        <f t="shared" si="15"/>
        <v>867.57163779999996</v>
      </c>
      <c r="V12" s="19">
        <f t="shared" si="16"/>
        <v>881.58728780000001</v>
      </c>
      <c r="W12" s="42">
        <f t="shared" si="17"/>
        <v>857.54172080000001</v>
      </c>
    </row>
    <row r="13" spans="1:23" x14ac:dyDescent="0.25">
      <c r="A13" s="17" t="s">
        <v>539</v>
      </c>
      <c r="B13" s="17" t="str">
        <f t="shared" si="0"/>
        <v>LysylPG 31:2</v>
      </c>
      <c r="C13" s="1" t="str">
        <f t="shared" si="1"/>
        <v>31</v>
      </c>
      <c r="D13" s="1" t="str">
        <f t="shared" si="2"/>
        <v>2</v>
      </c>
      <c r="G13" s="17">
        <f t="shared" si="3"/>
        <v>43</v>
      </c>
      <c r="H13" s="17">
        <f t="shared" si="4"/>
        <v>81</v>
      </c>
      <c r="I13" s="17">
        <v>2</v>
      </c>
      <c r="J13" s="17">
        <f t="shared" si="5"/>
        <v>11</v>
      </c>
      <c r="K13" s="17">
        <v>1</v>
      </c>
      <c r="L13" s="19" t="str">
        <f t="shared" si="6"/>
        <v>C43H81N2O11P1</v>
      </c>
      <c r="M13" s="21">
        <f t="shared" si="7"/>
        <v>832.55776860000003</v>
      </c>
      <c r="N13" s="42">
        <f t="shared" si="8"/>
        <v>833.5650432000001</v>
      </c>
      <c r="O13" s="19">
        <f t="shared" si="9"/>
        <v>815.5539232000001</v>
      </c>
      <c r="P13" s="19">
        <f t="shared" si="10"/>
        <v>850.59158860000002</v>
      </c>
      <c r="Q13" s="19">
        <f t="shared" si="11"/>
        <v>855.54698860000008</v>
      </c>
      <c r="R13" s="19">
        <f t="shared" si="12"/>
        <v>871.52092860000005</v>
      </c>
      <c r="S13" s="19">
        <f t="shared" si="13"/>
        <v>839.57322860000011</v>
      </c>
      <c r="T13" s="19">
        <f t="shared" si="14"/>
        <v>831.55049399999996</v>
      </c>
      <c r="U13" s="19">
        <f t="shared" si="15"/>
        <v>877.55598859999998</v>
      </c>
      <c r="V13" s="19">
        <f t="shared" si="16"/>
        <v>891.57163860000003</v>
      </c>
      <c r="W13" s="42">
        <f t="shared" si="17"/>
        <v>867.52607160000002</v>
      </c>
    </row>
    <row r="14" spans="1:23" x14ac:dyDescent="0.25">
      <c r="A14" s="17" t="s">
        <v>532</v>
      </c>
      <c r="B14" s="17" t="str">
        <f t="shared" si="0"/>
        <v>LysylPG 31:1</v>
      </c>
      <c r="C14" s="1" t="str">
        <f t="shared" si="1"/>
        <v>31</v>
      </c>
      <c r="D14" s="1" t="str">
        <f t="shared" si="2"/>
        <v>1</v>
      </c>
      <c r="G14" s="17">
        <f t="shared" si="3"/>
        <v>43</v>
      </c>
      <c r="H14" s="17">
        <f t="shared" si="4"/>
        <v>83</v>
      </c>
      <c r="I14" s="17">
        <v>2</v>
      </c>
      <c r="J14" s="17">
        <f t="shared" si="5"/>
        <v>11</v>
      </c>
      <c r="K14" s="17">
        <v>1</v>
      </c>
      <c r="L14" s="19" t="str">
        <f t="shared" si="6"/>
        <v>C43H83N2O11P1</v>
      </c>
      <c r="M14" s="21">
        <f t="shared" si="7"/>
        <v>834.57341780000002</v>
      </c>
      <c r="N14" s="42">
        <f t="shared" si="8"/>
        <v>835.58069240000009</v>
      </c>
      <c r="O14" s="19">
        <f t="shared" si="9"/>
        <v>817.56957240000008</v>
      </c>
      <c r="P14" s="19">
        <f t="shared" si="10"/>
        <v>852.60723780000001</v>
      </c>
      <c r="Q14" s="19">
        <f t="shared" si="11"/>
        <v>857.56263780000006</v>
      </c>
      <c r="R14" s="19">
        <f t="shared" si="12"/>
        <v>873.53657780000003</v>
      </c>
      <c r="S14" s="19">
        <f t="shared" si="13"/>
        <v>841.58887780000009</v>
      </c>
      <c r="T14" s="19">
        <f t="shared" si="14"/>
        <v>833.56614319999994</v>
      </c>
      <c r="U14" s="19">
        <f t="shared" si="15"/>
        <v>879.57163779999996</v>
      </c>
      <c r="V14" s="19">
        <f t="shared" si="16"/>
        <v>893.58728780000001</v>
      </c>
      <c r="W14" s="42">
        <f t="shared" si="17"/>
        <v>869.54172080000001</v>
      </c>
    </row>
    <row r="15" spans="1:23" x14ac:dyDescent="0.25">
      <c r="A15" s="17" t="s">
        <v>367</v>
      </c>
      <c r="B15" s="17" t="str">
        <f t="shared" si="0"/>
        <v>LysylPG 31:0</v>
      </c>
      <c r="C15" s="1" t="str">
        <f t="shared" si="1"/>
        <v>31</v>
      </c>
      <c r="D15" s="1" t="str">
        <f t="shared" si="2"/>
        <v>0</v>
      </c>
      <c r="G15" s="17">
        <f t="shared" si="3"/>
        <v>43</v>
      </c>
      <c r="H15" s="17">
        <f t="shared" si="4"/>
        <v>85</v>
      </c>
      <c r="I15" s="17">
        <v>2</v>
      </c>
      <c r="J15" s="17">
        <f t="shared" si="5"/>
        <v>11</v>
      </c>
      <c r="K15" s="17">
        <v>1</v>
      </c>
      <c r="L15" s="19" t="str">
        <f t="shared" si="6"/>
        <v>C43H85N2O11P1</v>
      </c>
      <c r="M15" s="21">
        <f t="shared" si="7"/>
        <v>836.589067</v>
      </c>
      <c r="N15" s="42">
        <f t="shared" si="8"/>
        <v>837.59634160000007</v>
      </c>
      <c r="O15" s="19">
        <f t="shared" si="9"/>
        <v>819.58522160000007</v>
      </c>
      <c r="P15" s="19">
        <f t="shared" si="10"/>
        <v>854.62288699999999</v>
      </c>
      <c r="Q15" s="19">
        <f t="shared" si="11"/>
        <v>859.57828700000005</v>
      </c>
      <c r="R15" s="19">
        <f t="shared" si="12"/>
        <v>875.55222700000002</v>
      </c>
      <c r="S15" s="19">
        <f t="shared" si="13"/>
        <v>843.60452700000008</v>
      </c>
      <c r="T15" s="19">
        <f t="shared" si="14"/>
        <v>835.58179239999993</v>
      </c>
      <c r="U15" s="19">
        <f t="shared" si="15"/>
        <v>881.58728699999995</v>
      </c>
      <c r="V15" s="19">
        <f t="shared" si="16"/>
        <v>895.602937</v>
      </c>
      <c r="W15" s="42">
        <f t="shared" si="17"/>
        <v>871.55736999999999</v>
      </c>
    </row>
    <row r="16" spans="1:23" x14ac:dyDescent="0.25">
      <c r="A16" s="17" t="s">
        <v>540</v>
      </c>
      <c r="B16" s="17" t="str">
        <f t="shared" si="0"/>
        <v>LysylPG 32:2</v>
      </c>
      <c r="C16" s="1" t="str">
        <f t="shared" si="1"/>
        <v>32</v>
      </c>
      <c r="D16" s="1" t="str">
        <f t="shared" si="2"/>
        <v>2</v>
      </c>
      <c r="G16" s="17">
        <f t="shared" si="3"/>
        <v>44</v>
      </c>
      <c r="H16" s="17">
        <f t="shared" si="4"/>
        <v>83</v>
      </c>
      <c r="I16" s="17">
        <v>2</v>
      </c>
      <c r="J16" s="17">
        <f t="shared" si="5"/>
        <v>11</v>
      </c>
      <c r="K16" s="17">
        <v>1</v>
      </c>
      <c r="L16" s="19" t="str">
        <f t="shared" si="6"/>
        <v>C44H83N2O11P1</v>
      </c>
      <c r="M16" s="21">
        <f t="shared" si="7"/>
        <v>846.57341780000002</v>
      </c>
      <c r="N16" s="42">
        <f t="shared" si="8"/>
        <v>847.58069240000009</v>
      </c>
      <c r="O16" s="19">
        <f t="shared" si="9"/>
        <v>829.56957240000008</v>
      </c>
      <c r="P16" s="19">
        <f t="shared" si="10"/>
        <v>864.60723780000001</v>
      </c>
      <c r="Q16" s="19">
        <f t="shared" si="11"/>
        <v>869.56263780000006</v>
      </c>
      <c r="R16" s="19">
        <f t="shared" si="12"/>
        <v>885.53657780000003</v>
      </c>
      <c r="S16" s="19">
        <f t="shared" si="13"/>
        <v>853.58887780000009</v>
      </c>
      <c r="T16" s="19">
        <f t="shared" si="14"/>
        <v>845.56614319999994</v>
      </c>
      <c r="U16" s="19">
        <f t="shared" si="15"/>
        <v>891.57163779999996</v>
      </c>
      <c r="V16" s="19">
        <f t="shared" si="16"/>
        <v>905.58728780000001</v>
      </c>
      <c r="W16" s="42">
        <f t="shared" si="17"/>
        <v>881.54172080000001</v>
      </c>
    </row>
    <row r="17" spans="1:23" x14ac:dyDescent="0.25">
      <c r="A17" s="17" t="s">
        <v>381</v>
      </c>
      <c r="B17" s="17" t="str">
        <f t="shared" si="0"/>
        <v>LysylPG 32:1</v>
      </c>
      <c r="C17" s="1" t="str">
        <f t="shared" si="1"/>
        <v>32</v>
      </c>
      <c r="D17" s="1" t="str">
        <f t="shared" si="2"/>
        <v>1</v>
      </c>
      <c r="G17" s="17">
        <f t="shared" si="3"/>
        <v>44</v>
      </c>
      <c r="H17" s="17">
        <f t="shared" si="4"/>
        <v>85</v>
      </c>
      <c r="I17" s="17">
        <v>2</v>
      </c>
      <c r="J17" s="17">
        <f t="shared" si="5"/>
        <v>11</v>
      </c>
      <c r="K17" s="17">
        <v>1</v>
      </c>
      <c r="L17" s="19" t="str">
        <f t="shared" si="6"/>
        <v>C44H85N2O11P1</v>
      </c>
      <c r="M17" s="21">
        <f t="shared" si="7"/>
        <v>848.589067</v>
      </c>
      <c r="N17" s="42">
        <f t="shared" si="8"/>
        <v>849.59634160000007</v>
      </c>
      <c r="O17" s="19">
        <f t="shared" si="9"/>
        <v>831.58522160000007</v>
      </c>
      <c r="P17" s="19">
        <f t="shared" si="10"/>
        <v>866.62288699999999</v>
      </c>
      <c r="Q17" s="19">
        <f t="shared" si="11"/>
        <v>871.57828700000005</v>
      </c>
      <c r="R17" s="19">
        <f t="shared" si="12"/>
        <v>887.55222700000002</v>
      </c>
      <c r="S17" s="19">
        <f t="shared" si="13"/>
        <v>855.60452700000008</v>
      </c>
      <c r="T17" s="19">
        <f t="shared" si="14"/>
        <v>847.58179239999993</v>
      </c>
      <c r="U17" s="19">
        <f t="shared" si="15"/>
        <v>893.58728699999995</v>
      </c>
      <c r="V17" s="19">
        <f t="shared" si="16"/>
        <v>907.602937</v>
      </c>
      <c r="W17" s="42">
        <f t="shared" si="17"/>
        <v>883.55736999999999</v>
      </c>
    </row>
    <row r="18" spans="1:23" x14ac:dyDescent="0.25">
      <c r="A18" s="17" t="s">
        <v>368</v>
      </c>
      <c r="B18" s="17" t="str">
        <f t="shared" si="0"/>
        <v>LysylPG 32:0</v>
      </c>
      <c r="C18" s="1" t="str">
        <f t="shared" si="1"/>
        <v>32</v>
      </c>
      <c r="D18" s="1" t="str">
        <f t="shared" si="2"/>
        <v>0</v>
      </c>
      <c r="G18" s="17">
        <f t="shared" si="3"/>
        <v>44</v>
      </c>
      <c r="H18" s="17">
        <f t="shared" si="4"/>
        <v>87</v>
      </c>
      <c r="I18" s="17">
        <v>2</v>
      </c>
      <c r="J18" s="17">
        <f t="shared" si="5"/>
        <v>11</v>
      </c>
      <c r="K18" s="17">
        <v>1</v>
      </c>
      <c r="L18" s="19" t="str">
        <f t="shared" si="6"/>
        <v>C44H87N2O11P1</v>
      </c>
      <c r="M18" s="21">
        <f t="shared" si="7"/>
        <v>850.60471619999998</v>
      </c>
      <c r="N18" s="42">
        <f t="shared" si="8"/>
        <v>851.61199080000006</v>
      </c>
      <c r="O18" s="19">
        <f t="shared" si="9"/>
        <v>833.60087080000005</v>
      </c>
      <c r="P18" s="19">
        <f t="shared" si="10"/>
        <v>868.63853619999998</v>
      </c>
      <c r="Q18" s="19">
        <f t="shared" si="11"/>
        <v>873.59393620000003</v>
      </c>
      <c r="R18" s="19">
        <f t="shared" si="12"/>
        <v>889.5678762</v>
      </c>
      <c r="S18" s="19">
        <f t="shared" si="13"/>
        <v>857.62017620000006</v>
      </c>
      <c r="T18" s="19">
        <f t="shared" si="14"/>
        <v>849.59744159999991</v>
      </c>
      <c r="U18" s="19">
        <f t="shared" si="15"/>
        <v>895.60293619999993</v>
      </c>
      <c r="V18" s="19">
        <f t="shared" si="16"/>
        <v>909.61858619999998</v>
      </c>
      <c r="W18" s="42">
        <f t="shared" si="17"/>
        <v>885.57301919999998</v>
      </c>
    </row>
    <row r="19" spans="1:23" hidden="1" x14ac:dyDescent="0.25">
      <c r="A19" s="17" t="s">
        <v>374</v>
      </c>
      <c r="B19" s="17" t="str">
        <f t="shared" si="0"/>
        <v>LysylPG 27:0</v>
      </c>
      <c r="C19" s="1" t="str">
        <f t="shared" si="1"/>
        <v>27</v>
      </c>
      <c r="D19" s="1" t="str">
        <f t="shared" si="2"/>
        <v>0</v>
      </c>
      <c r="G19" s="17">
        <f t="shared" si="3"/>
        <v>39</v>
      </c>
      <c r="H19" s="17">
        <f t="shared" si="4"/>
        <v>77</v>
      </c>
      <c r="I19" s="17">
        <v>2</v>
      </c>
      <c r="J19" s="17">
        <f t="shared" si="5"/>
        <v>11</v>
      </c>
      <c r="K19" s="17">
        <v>1</v>
      </c>
      <c r="L19" s="19" t="str">
        <f t="shared" si="6"/>
        <v>C39H77N2O11P1</v>
      </c>
      <c r="M19" s="21">
        <f t="shared" si="7"/>
        <v>780.52647020000006</v>
      </c>
      <c r="N19" s="42">
        <f t="shared" si="8"/>
        <v>781.53374480000014</v>
      </c>
      <c r="O19" s="19">
        <f t="shared" si="9"/>
        <v>763.52262480000013</v>
      </c>
      <c r="P19" s="19">
        <f t="shared" si="10"/>
        <v>798.56029020000005</v>
      </c>
      <c r="Q19" s="19">
        <f t="shared" si="11"/>
        <v>803.51569020000011</v>
      </c>
      <c r="R19" s="19">
        <f t="shared" si="12"/>
        <v>819.48963020000008</v>
      </c>
      <c r="S19" s="19">
        <f t="shared" si="13"/>
        <v>787.54193020000014</v>
      </c>
      <c r="T19" s="19">
        <f t="shared" si="14"/>
        <v>779.51919559999999</v>
      </c>
      <c r="U19" s="19">
        <f t="shared" si="15"/>
        <v>825.52469020000001</v>
      </c>
      <c r="V19" s="19">
        <f t="shared" si="16"/>
        <v>839.54034020000006</v>
      </c>
    </row>
    <row r="20" spans="1:23" hidden="1" x14ac:dyDescent="0.25">
      <c r="A20" s="17" t="s">
        <v>375</v>
      </c>
      <c r="B20" s="17" t="str">
        <f t="shared" si="0"/>
        <v>LysylPG 26:0</v>
      </c>
      <c r="C20" s="1" t="str">
        <f t="shared" si="1"/>
        <v>26</v>
      </c>
      <c r="D20" s="1" t="str">
        <f t="shared" si="2"/>
        <v>0</v>
      </c>
      <c r="G20" s="17">
        <f t="shared" si="3"/>
        <v>38</v>
      </c>
      <c r="H20" s="17">
        <f t="shared" si="4"/>
        <v>75</v>
      </c>
      <c r="I20" s="17">
        <v>2</v>
      </c>
      <c r="J20" s="17">
        <f t="shared" si="5"/>
        <v>11</v>
      </c>
      <c r="K20" s="17">
        <v>1</v>
      </c>
      <c r="L20" s="19" t="str">
        <f t="shared" si="6"/>
        <v>C38H75N2O11P1</v>
      </c>
      <c r="M20" s="21">
        <f t="shared" si="7"/>
        <v>766.51082100000008</v>
      </c>
      <c r="N20" s="42">
        <f t="shared" si="8"/>
        <v>767.51809560000015</v>
      </c>
      <c r="O20" s="19">
        <f t="shared" si="9"/>
        <v>749.50697560000015</v>
      </c>
      <c r="P20" s="19">
        <f t="shared" si="10"/>
        <v>784.54464100000007</v>
      </c>
      <c r="Q20" s="19">
        <f t="shared" si="11"/>
        <v>789.50004100000012</v>
      </c>
      <c r="R20" s="19">
        <f t="shared" si="12"/>
        <v>805.47398100000009</v>
      </c>
      <c r="S20" s="19">
        <f t="shared" si="13"/>
        <v>773.52628100000015</v>
      </c>
      <c r="T20" s="19">
        <f t="shared" si="14"/>
        <v>765.5035464</v>
      </c>
      <c r="U20" s="19">
        <f t="shared" si="15"/>
        <v>811.50904100000002</v>
      </c>
      <c r="V20" s="19">
        <f t="shared" si="16"/>
        <v>825.52469100000008</v>
      </c>
    </row>
    <row r="21" spans="1:23" hidden="1" x14ac:dyDescent="0.25">
      <c r="A21" s="17" t="s">
        <v>376</v>
      </c>
      <c r="B21" s="17" t="str">
        <f t="shared" si="0"/>
        <v>LysylPG 25:0</v>
      </c>
      <c r="C21" s="1" t="str">
        <f t="shared" si="1"/>
        <v>25</v>
      </c>
      <c r="D21" s="1" t="str">
        <f t="shared" si="2"/>
        <v>0</v>
      </c>
      <c r="G21" s="17">
        <f t="shared" si="3"/>
        <v>37</v>
      </c>
      <c r="H21" s="17">
        <f t="shared" si="4"/>
        <v>73</v>
      </c>
      <c r="I21" s="17">
        <v>2</v>
      </c>
      <c r="J21" s="17">
        <f t="shared" si="5"/>
        <v>11</v>
      </c>
      <c r="K21" s="17">
        <v>1</v>
      </c>
      <c r="L21" s="19" t="str">
        <f t="shared" si="6"/>
        <v>C37H73N2O11P1</v>
      </c>
      <c r="M21" s="21">
        <f t="shared" si="7"/>
        <v>752.49517179999998</v>
      </c>
      <c r="N21" s="42">
        <f t="shared" si="8"/>
        <v>753.50244640000005</v>
      </c>
      <c r="O21" s="19">
        <f t="shared" si="9"/>
        <v>735.49132640000005</v>
      </c>
      <c r="P21" s="19">
        <f t="shared" si="10"/>
        <v>770.52899179999997</v>
      </c>
      <c r="Q21" s="19">
        <f t="shared" si="11"/>
        <v>775.48439180000003</v>
      </c>
      <c r="R21" s="19">
        <f t="shared" si="12"/>
        <v>791.4583318</v>
      </c>
      <c r="S21" s="19">
        <f t="shared" si="13"/>
        <v>759.51063180000006</v>
      </c>
      <c r="T21" s="19">
        <f t="shared" si="14"/>
        <v>751.48789719999991</v>
      </c>
      <c r="U21" s="19">
        <f t="shared" si="15"/>
        <v>797.49339179999993</v>
      </c>
      <c r="V21" s="19">
        <f t="shared" si="16"/>
        <v>811.50904179999998</v>
      </c>
    </row>
    <row r="22" spans="1:23" hidden="1" x14ac:dyDescent="0.25">
      <c r="A22" s="17" t="s">
        <v>377</v>
      </c>
      <c r="B22" s="17" t="str">
        <f t="shared" si="0"/>
        <v>LysylPG 24:0</v>
      </c>
      <c r="C22" s="1" t="str">
        <f t="shared" si="1"/>
        <v>24</v>
      </c>
      <c r="D22" s="1" t="str">
        <f t="shared" si="2"/>
        <v>0</v>
      </c>
      <c r="G22" s="17">
        <f t="shared" si="3"/>
        <v>36</v>
      </c>
      <c r="H22" s="17">
        <f t="shared" si="4"/>
        <v>71</v>
      </c>
      <c r="I22" s="17">
        <v>2</v>
      </c>
      <c r="J22" s="17">
        <f t="shared" si="5"/>
        <v>11</v>
      </c>
      <c r="K22" s="17">
        <v>1</v>
      </c>
      <c r="L22" s="19" t="str">
        <f t="shared" si="6"/>
        <v>C36H71N2O11P1</v>
      </c>
      <c r="M22" s="21">
        <f t="shared" si="7"/>
        <v>738.4795226</v>
      </c>
      <c r="N22" s="42">
        <f t="shared" si="8"/>
        <v>739.48679720000007</v>
      </c>
      <c r="O22" s="19">
        <f t="shared" si="9"/>
        <v>721.47567720000006</v>
      </c>
      <c r="P22" s="19">
        <f t="shared" si="10"/>
        <v>756.51334259999999</v>
      </c>
      <c r="Q22" s="19">
        <f t="shared" si="11"/>
        <v>761.46874260000004</v>
      </c>
      <c r="R22" s="19">
        <f t="shared" si="12"/>
        <v>777.44268260000001</v>
      </c>
      <c r="S22" s="19">
        <f t="shared" si="13"/>
        <v>745.49498260000007</v>
      </c>
      <c r="T22" s="19">
        <f t="shared" si="14"/>
        <v>737.47224799999992</v>
      </c>
      <c r="U22" s="19">
        <f t="shared" si="15"/>
        <v>783.47774259999994</v>
      </c>
      <c r="V22" s="19">
        <f t="shared" si="16"/>
        <v>797.49339259999999</v>
      </c>
    </row>
    <row r="23" spans="1:23" hidden="1" x14ac:dyDescent="0.25">
      <c r="A23" s="17" t="s">
        <v>378</v>
      </c>
      <c r="B23" s="17" t="str">
        <f t="shared" si="0"/>
        <v>LysylPG 23:0</v>
      </c>
      <c r="C23" s="1" t="str">
        <f t="shared" si="1"/>
        <v>23</v>
      </c>
      <c r="D23" s="1" t="str">
        <f t="shared" si="2"/>
        <v>0</v>
      </c>
      <c r="G23" s="17">
        <f t="shared" si="3"/>
        <v>35</v>
      </c>
      <c r="H23" s="17">
        <f t="shared" si="4"/>
        <v>69</v>
      </c>
      <c r="I23" s="17">
        <v>2</v>
      </c>
      <c r="J23" s="17">
        <f t="shared" si="5"/>
        <v>11</v>
      </c>
      <c r="K23" s="17">
        <v>1</v>
      </c>
      <c r="L23" s="19" t="str">
        <f t="shared" si="6"/>
        <v>C35H69N2O11P1</v>
      </c>
      <c r="M23" s="21">
        <f t="shared" si="7"/>
        <v>724.46387340000001</v>
      </c>
      <c r="N23" s="42">
        <f t="shared" si="8"/>
        <v>725.47114800000008</v>
      </c>
      <c r="O23" s="19">
        <f t="shared" si="9"/>
        <v>707.46002800000008</v>
      </c>
      <c r="P23" s="19">
        <f t="shared" si="10"/>
        <v>742.4976934</v>
      </c>
      <c r="Q23" s="19">
        <f t="shared" si="11"/>
        <v>747.45309340000006</v>
      </c>
      <c r="R23" s="19">
        <f t="shared" si="12"/>
        <v>763.42703340000003</v>
      </c>
      <c r="S23" s="19">
        <f t="shared" si="13"/>
        <v>731.47933340000009</v>
      </c>
      <c r="T23" s="19">
        <f t="shared" si="14"/>
        <v>723.45659879999994</v>
      </c>
      <c r="U23" s="19">
        <f t="shared" si="15"/>
        <v>769.46209339999996</v>
      </c>
      <c r="V23" s="19">
        <f t="shared" si="16"/>
        <v>783.47774340000001</v>
      </c>
    </row>
    <row r="24" spans="1:23" hidden="1" x14ac:dyDescent="0.25">
      <c r="A24" s="17" t="s">
        <v>379</v>
      </c>
      <c r="B24" s="17" t="str">
        <f t="shared" si="0"/>
        <v>LysylPG 22:0</v>
      </c>
      <c r="C24" s="1" t="str">
        <f t="shared" si="1"/>
        <v>22</v>
      </c>
      <c r="D24" s="1" t="str">
        <f t="shared" si="2"/>
        <v>0</v>
      </c>
      <c r="G24" s="17">
        <f t="shared" si="3"/>
        <v>34</v>
      </c>
      <c r="H24" s="17">
        <f t="shared" si="4"/>
        <v>67</v>
      </c>
      <c r="I24" s="17">
        <v>2</v>
      </c>
      <c r="J24" s="17">
        <f t="shared" si="5"/>
        <v>11</v>
      </c>
      <c r="K24" s="17">
        <v>1</v>
      </c>
      <c r="L24" s="19" t="str">
        <f t="shared" si="6"/>
        <v>C34H67N2O11P1</v>
      </c>
      <c r="M24" s="21">
        <f t="shared" si="7"/>
        <v>710.44822419999991</v>
      </c>
      <c r="N24" s="42">
        <f t="shared" si="8"/>
        <v>711.45549879999999</v>
      </c>
      <c r="O24" s="19">
        <f t="shared" si="9"/>
        <v>693.44437879999998</v>
      </c>
      <c r="P24" s="19">
        <f t="shared" si="10"/>
        <v>728.4820441999999</v>
      </c>
      <c r="Q24" s="19">
        <f t="shared" si="11"/>
        <v>733.43744419999996</v>
      </c>
      <c r="R24" s="19">
        <f t="shared" si="12"/>
        <v>749.41138419999993</v>
      </c>
      <c r="S24" s="19">
        <f t="shared" si="13"/>
        <v>717.46368419999999</v>
      </c>
      <c r="T24" s="19">
        <f t="shared" si="14"/>
        <v>709.44094959999984</v>
      </c>
      <c r="U24" s="19">
        <f t="shared" si="15"/>
        <v>755.44644419999986</v>
      </c>
      <c r="V24" s="19">
        <f t="shared" si="16"/>
        <v>769.46209419999991</v>
      </c>
    </row>
    <row r="25" spans="1:23" hidden="1" x14ac:dyDescent="0.25">
      <c r="A25" s="17" t="s">
        <v>380</v>
      </c>
      <c r="B25" s="17" t="str">
        <f t="shared" si="0"/>
        <v>LysylPG 25:1</v>
      </c>
      <c r="C25" s="1" t="str">
        <f t="shared" si="1"/>
        <v>25</v>
      </c>
      <c r="D25" s="1" t="str">
        <f t="shared" si="2"/>
        <v>1</v>
      </c>
      <c r="G25" s="17">
        <f t="shared" si="3"/>
        <v>37</v>
      </c>
      <c r="H25" s="17">
        <f t="shared" si="4"/>
        <v>71</v>
      </c>
      <c r="I25" s="17">
        <v>2</v>
      </c>
      <c r="J25" s="17">
        <f t="shared" si="5"/>
        <v>11</v>
      </c>
      <c r="K25" s="17">
        <v>1</v>
      </c>
      <c r="L25" s="19" t="str">
        <f t="shared" si="6"/>
        <v>C37H71N2O11P1</v>
      </c>
      <c r="M25" s="21">
        <f t="shared" si="7"/>
        <v>750.4795226</v>
      </c>
      <c r="N25" s="42">
        <f t="shared" si="8"/>
        <v>751.48679720000007</v>
      </c>
      <c r="O25" s="19">
        <f t="shared" si="9"/>
        <v>733.47567720000006</v>
      </c>
      <c r="P25" s="19">
        <f t="shared" si="10"/>
        <v>768.51334259999999</v>
      </c>
      <c r="Q25" s="19">
        <f t="shared" si="11"/>
        <v>773.46874260000004</v>
      </c>
      <c r="R25" s="19">
        <f t="shared" si="12"/>
        <v>789.44268260000001</v>
      </c>
      <c r="S25" s="19">
        <f t="shared" si="13"/>
        <v>757.49498260000007</v>
      </c>
      <c r="T25" s="19">
        <f t="shared" si="14"/>
        <v>749.47224799999992</v>
      </c>
      <c r="U25" s="19">
        <f t="shared" si="15"/>
        <v>795.47774259999994</v>
      </c>
      <c r="V25" s="19">
        <f t="shared" si="16"/>
        <v>809.49339259999999</v>
      </c>
    </row>
    <row r="26" spans="1:23" hidden="1" x14ac:dyDescent="0.25">
      <c r="A26" s="17" t="s">
        <v>381</v>
      </c>
      <c r="B26" s="17" t="str">
        <f t="shared" si="0"/>
        <v>LysylPG 32:1</v>
      </c>
      <c r="C26" s="1" t="str">
        <f t="shared" si="1"/>
        <v>32</v>
      </c>
      <c r="D26" s="1" t="str">
        <f t="shared" si="2"/>
        <v>1</v>
      </c>
      <c r="G26" s="17">
        <f t="shared" si="3"/>
        <v>44</v>
      </c>
      <c r="H26" s="17">
        <f t="shared" si="4"/>
        <v>85</v>
      </c>
      <c r="I26" s="17">
        <v>2</v>
      </c>
      <c r="J26" s="17">
        <f t="shared" si="5"/>
        <v>11</v>
      </c>
      <c r="K26" s="17">
        <v>1</v>
      </c>
      <c r="L26" s="19" t="str">
        <f t="shared" si="6"/>
        <v>C44H85N2O11P1</v>
      </c>
      <c r="M26" s="21">
        <f t="shared" si="7"/>
        <v>848.589067</v>
      </c>
      <c r="N26" s="42">
        <f t="shared" si="8"/>
        <v>849.59634160000007</v>
      </c>
      <c r="O26" s="19">
        <f t="shared" si="9"/>
        <v>831.58522160000007</v>
      </c>
      <c r="P26" s="19">
        <f t="shared" si="10"/>
        <v>866.62288699999999</v>
      </c>
      <c r="Q26" s="19">
        <f t="shared" si="11"/>
        <v>871.57828700000005</v>
      </c>
      <c r="R26" s="19">
        <f t="shared" si="12"/>
        <v>887.55222700000002</v>
      </c>
      <c r="S26" s="19">
        <f t="shared" si="13"/>
        <v>855.60452700000008</v>
      </c>
      <c r="T26" s="19">
        <f t="shared" si="14"/>
        <v>847.58179239999993</v>
      </c>
      <c r="U26" s="19">
        <f t="shared" si="15"/>
        <v>893.58728699999995</v>
      </c>
      <c r="V26" s="19">
        <f t="shared" si="16"/>
        <v>907.602937</v>
      </c>
    </row>
    <row r="27" spans="1:23" hidden="1" x14ac:dyDescent="0.25">
      <c r="A27" s="17" t="s">
        <v>382</v>
      </c>
      <c r="B27" s="17" t="str">
        <f t="shared" si="0"/>
        <v>LysylPG 35:1</v>
      </c>
      <c r="C27" s="1" t="str">
        <f t="shared" si="1"/>
        <v>35</v>
      </c>
      <c r="D27" s="1" t="str">
        <f t="shared" si="2"/>
        <v>1</v>
      </c>
      <c r="G27" s="17">
        <f t="shared" si="3"/>
        <v>47</v>
      </c>
      <c r="H27" s="17">
        <f t="shared" si="4"/>
        <v>91</v>
      </c>
      <c r="I27" s="17">
        <v>2</v>
      </c>
      <c r="J27" s="17">
        <f t="shared" si="5"/>
        <v>11</v>
      </c>
      <c r="K27" s="17">
        <v>1</v>
      </c>
      <c r="L27" s="19" t="str">
        <f t="shared" si="6"/>
        <v>C47H91N2O11P1</v>
      </c>
      <c r="M27" s="21">
        <f t="shared" si="7"/>
        <v>890.63601460000007</v>
      </c>
      <c r="N27" s="42">
        <f t="shared" si="8"/>
        <v>891.64328920000014</v>
      </c>
      <c r="O27" s="19">
        <f t="shared" si="9"/>
        <v>873.63216920000013</v>
      </c>
      <c r="P27" s="19">
        <f t="shared" si="10"/>
        <v>908.66983460000006</v>
      </c>
      <c r="Q27" s="19">
        <f t="shared" si="11"/>
        <v>913.62523460000011</v>
      </c>
      <c r="R27" s="19">
        <f t="shared" si="12"/>
        <v>929.59917460000008</v>
      </c>
      <c r="S27" s="19">
        <f t="shared" si="13"/>
        <v>897.65147460000014</v>
      </c>
      <c r="T27" s="19">
        <f t="shared" si="14"/>
        <v>889.62873999999999</v>
      </c>
      <c r="U27" s="19">
        <f t="shared" si="15"/>
        <v>935.63423460000001</v>
      </c>
      <c r="V27" s="19">
        <f t="shared" si="16"/>
        <v>949.64988460000006</v>
      </c>
    </row>
    <row r="28" spans="1:23" hidden="1" x14ac:dyDescent="0.25">
      <c r="A28" s="17" t="s">
        <v>383</v>
      </c>
      <c r="B28" s="17" t="str">
        <f t="shared" si="0"/>
        <v>LysylPG 30:1</v>
      </c>
      <c r="C28" s="1" t="str">
        <f t="shared" si="1"/>
        <v>30</v>
      </c>
      <c r="D28" s="1" t="str">
        <f t="shared" si="2"/>
        <v>1</v>
      </c>
      <c r="G28" s="17">
        <f t="shared" si="3"/>
        <v>42</v>
      </c>
      <c r="H28" s="17">
        <f t="shared" si="4"/>
        <v>81</v>
      </c>
      <c r="I28" s="17">
        <v>2</v>
      </c>
      <c r="J28" s="17">
        <f t="shared" si="5"/>
        <v>11</v>
      </c>
      <c r="K28" s="17">
        <v>1</v>
      </c>
      <c r="L28" s="19" t="str">
        <f t="shared" si="6"/>
        <v>C42H81N2O11P1</v>
      </c>
      <c r="M28" s="21">
        <f t="shared" si="7"/>
        <v>820.55776860000003</v>
      </c>
      <c r="N28" s="42">
        <f t="shared" si="8"/>
        <v>821.5650432000001</v>
      </c>
      <c r="O28" s="19">
        <f t="shared" si="9"/>
        <v>803.5539232000001</v>
      </c>
      <c r="P28" s="19">
        <f t="shared" si="10"/>
        <v>838.59158860000002</v>
      </c>
      <c r="Q28" s="19">
        <f t="shared" si="11"/>
        <v>843.54698860000008</v>
      </c>
      <c r="R28" s="19">
        <f t="shared" si="12"/>
        <v>859.52092860000005</v>
      </c>
      <c r="S28" s="19">
        <f t="shared" si="13"/>
        <v>827.57322860000011</v>
      </c>
      <c r="T28" s="19">
        <f t="shared" si="14"/>
        <v>819.55049399999996</v>
      </c>
      <c r="U28" s="19">
        <f t="shared" si="15"/>
        <v>865.55598859999998</v>
      </c>
      <c r="V28" s="19">
        <f t="shared" si="16"/>
        <v>879.57163860000003</v>
      </c>
    </row>
    <row r="29" spans="1:23" x14ac:dyDescent="0.25">
      <c r="A29" s="17" t="s">
        <v>541</v>
      </c>
      <c r="B29" s="17" t="str">
        <f t="shared" si="0"/>
        <v>LysylPG 33:2</v>
      </c>
      <c r="C29" s="1" t="str">
        <f t="shared" si="1"/>
        <v>33</v>
      </c>
      <c r="D29" s="1" t="str">
        <f t="shared" si="2"/>
        <v>2</v>
      </c>
      <c r="G29" s="17">
        <f t="shared" si="3"/>
        <v>45</v>
      </c>
      <c r="H29" s="17">
        <f t="shared" si="4"/>
        <v>85</v>
      </c>
      <c r="I29" s="17">
        <v>2</v>
      </c>
      <c r="J29" s="17">
        <f t="shared" si="5"/>
        <v>11</v>
      </c>
      <c r="K29" s="17">
        <v>1</v>
      </c>
      <c r="L29" s="19" t="str">
        <f t="shared" si="6"/>
        <v>C45H85N2O11P1</v>
      </c>
      <c r="M29" s="21">
        <f t="shared" si="7"/>
        <v>860.589067</v>
      </c>
      <c r="N29" s="42">
        <f t="shared" si="8"/>
        <v>861.59634160000007</v>
      </c>
      <c r="O29" s="19">
        <f t="shared" si="9"/>
        <v>843.58522160000007</v>
      </c>
      <c r="P29" s="19">
        <f t="shared" si="10"/>
        <v>878.62288699999999</v>
      </c>
      <c r="Q29" s="19">
        <f t="shared" si="11"/>
        <v>883.57828700000005</v>
      </c>
      <c r="R29" s="19">
        <f t="shared" si="12"/>
        <v>899.55222700000002</v>
      </c>
      <c r="S29" s="19">
        <f t="shared" si="13"/>
        <v>867.60452700000008</v>
      </c>
      <c r="T29" s="19">
        <f t="shared" si="14"/>
        <v>859.58179239999993</v>
      </c>
      <c r="U29" s="19">
        <f t="shared" si="15"/>
        <v>905.58728699999995</v>
      </c>
      <c r="V29" s="19">
        <f t="shared" si="16"/>
        <v>919.602937</v>
      </c>
      <c r="W29" s="42">
        <f t="shared" ref="W29:W46" si="36">M29+34.968853-0.00055</f>
        <v>895.55736999999999</v>
      </c>
    </row>
    <row r="30" spans="1:23" x14ac:dyDescent="0.25">
      <c r="A30" s="17" t="s">
        <v>533</v>
      </c>
      <c r="B30" s="17" t="str">
        <f t="shared" si="0"/>
        <v>LysylPG 33:1</v>
      </c>
      <c r="C30" s="1" t="str">
        <f t="shared" si="1"/>
        <v>33</v>
      </c>
      <c r="D30" s="1" t="str">
        <f t="shared" si="2"/>
        <v>1</v>
      </c>
      <c r="G30" s="17">
        <f t="shared" si="3"/>
        <v>45</v>
      </c>
      <c r="H30" s="17">
        <f t="shared" si="4"/>
        <v>87</v>
      </c>
      <c r="I30" s="17">
        <v>2</v>
      </c>
      <c r="J30" s="17">
        <f t="shared" si="5"/>
        <v>11</v>
      </c>
      <c r="K30" s="17">
        <v>1</v>
      </c>
      <c r="L30" s="19" t="str">
        <f t="shared" si="6"/>
        <v>C45H87N2O11P1</v>
      </c>
      <c r="M30" s="21">
        <f t="shared" si="7"/>
        <v>862.60471619999998</v>
      </c>
      <c r="N30" s="42">
        <f t="shared" si="8"/>
        <v>863.61199080000006</v>
      </c>
      <c r="O30" s="19">
        <f t="shared" si="9"/>
        <v>845.60087080000005</v>
      </c>
      <c r="P30" s="19">
        <f t="shared" si="10"/>
        <v>880.63853619999998</v>
      </c>
      <c r="Q30" s="19">
        <f t="shared" si="11"/>
        <v>885.59393620000003</v>
      </c>
      <c r="R30" s="19">
        <f t="shared" si="12"/>
        <v>901.5678762</v>
      </c>
      <c r="S30" s="19">
        <f t="shared" si="13"/>
        <v>869.62017620000006</v>
      </c>
      <c r="T30" s="19">
        <f t="shared" si="14"/>
        <v>861.59744159999991</v>
      </c>
      <c r="U30" s="19">
        <f t="shared" si="15"/>
        <v>907.60293619999993</v>
      </c>
      <c r="V30" s="19">
        <f t="shared" si="16"/>
        <v>921.61858619999998</v>
      </c>
      <c r="W30" s="42">
        <f t="shared" si="36"/>
        <v>897.57301919999998</v>
      </c>
    </row>
    <row r="31" spans="1:23" x14ac:dyDescent="0.25">
      <c r="A31" s="17" t="s">
        <v>369</v>
      </c>
      <c r="B31" s="17" t="str">
        <f t="shared" si="0"/>
        <v>LysylPG 33:0</v>
      </c>
      <c r="C31" s="1" t="str">
        <f t="shared" si="1"/>
        <v>33</v>
      </c>
      <c r="D31" s="1" t="str">
        <f t="shared" si="2"/>
        <v>0</v>
      </c>
      <c r="G31" s="17">
        <f t="shared" si="3"/>
        <v>45</v>
      </c>
      <c r="H31" s="17">
        <f t="shared" si="4"/>
        <v>89</v>
      </c>
      <c r="I31" s="17">
        <v>2</v>
      </c>
      <c r="J31" s="17">
        <f t="shared" si="5"/>
        <v>11</v>
      </c>
      <c r="K31" s="17">
        <v>1</v>
      </c>
      <c r="L31" s="19" t="str">
        <f t="shared" si="6"/>
        <v>C45H89N2O11P1</v>
      </c>
      <c r="M31" s="21">
        <f t="shared" si="7"/>
        <v>864.62036540000008</v>
      </c>
      <c r="N31" s="42">
        <f t="shared" si="8"/>
        <v>865.62764000000016</v>
      </c>
      <c r="O31" s="19">
        <f t="shared" si="9"/>
        <v>847.61652000000015</v>
      </c>
      <c r="P31" s="19">
        <f t="shared" si="10"/>
        <v>882.65418540000007</v>
      </c>
      <c r="Q31" s="19">
        <f t="shared" si="11"/>
        <v>887.60958540000013</v>
      </c>
      <c r="R31" s="19">
        <f t="shared" si="12"/>
        <v>903.5835254000001</v>
      </c>
      <c r="S31" s="19">
        <f t="shared" si="13"/>
        <v>871.63582540000016</v>
      </c>
      <c r="T31" s="19">
        <f t="shared" si="14"/>
        <v>863.61309080000001</v>
      </c>
      <c r="U31" s="19">
        <f t="shared" si="15"/>
        <v>909.61858540000003</v>
      </c>
      <c r="V31" s="19">
        <f t="shared" si="16"/>
        <v>923.63423540000008</v>
      </c>
      <c r="W31" s="42">
        <f t="shared" si="36"/>
        <v>899.58866840000007</v>
      </c>
    </row>
    <row r="32" spans="1:23" x14ac:dyDescent="0.25">
      <c r="A32" s="17" t="s">
        <v>542</v>
      </c>
      <c r="B32" s="17" t="str">
        <f t="shared" si="0"/>
        <v>LysylPG 34:2</v>
      </c>
      <c r="C32" s="1" t="str">
        <f t="shared" si="1"/>
        <v>34</v>
      </c>
      <c r="D32" s="1" t="str">
        <f t="shared" si="2"/>
        <v>2</v>
      </c>
      <c r="G32" s="17">
        <f t="shared" si="3"/>
        <v>46</v>
      </c>
      <c r="H32" s="17">
        <f t="shared" si="4"/>
        <v>87</v>
      </c>
      <c r="I32" s="17">
        <v>2</v>
      </c>
      <c r="J32" s="17">
        <f t="shared" si="5"/>
        <v>11</v>
      </c>
      <c r="K32" s="17">
        <v>1</v>
      </c>
      <c r="L32" s="19" t="str">
        <f t="shared" si="6"/>
        <v>C46H87N2O11P1</v>
      </c>
      <c r="M32" s="21">
        <f t="shared" si="7"/>
        <v>874.60471619999998</v>
      </c>
      <c r="N32" s="42">
        <f t="shared" si="8"/>
        <v>875.61199080000006</v>
      </c>
      <c r="O32" s="19">
        <f t="shared" si="9"/>
        <v>857.60087080000005</v>
      </c>
      <c r="P32" s="19">
        <f t="shared" si="10"/>
        <v>892.63853619999998</v>
      </c>
      <c r="Q32" s="19">
        <f t="shared" si="11"/>
        <v>897.59393620000003</v>
      </c>
      <c r="R32" s="19">
        <f t="shared" si="12"/>
        <v>913.5678762</v>
      </c>
      <c r="S32" s="19">
        <f t="shared" si="13"/>
        <v>881.62017620000006</v>
      </c>
      <c r="T32" s="19">
        <f t="shared" si="14"/>
        <v>873.59744159999991</v>
      </c>
      <c r="U32" s="19">
        <f t="shared" si="15"/>
        <v>919.60293619999993</v>
      </c>
      <c r="V32" s="19">
        <f t="shared" si="16"/>
        <v>933.61858619999998</v>
      </c>
      <c r="W32" s="42">
        <f t="shared" si="36"/>
        <v>909.57301919999998</v>
      </c>
    </row>
    <row r="33" spans="1:23" x14ac:dyDescent="0.25">
      <c r="A33" s="17" t="s">
        <v>534</v>
      </c>
      <c r="B33" s="17" t="str">
        <f t="shared" si="0"/>
        <v>LysylPG 34:1</v>
      </c>
      <c r="C33" s="1" t="str">
        <f t="shared" si="1"/>
        <v>34</v>
      </c>
      <c r="D33" s="1" t="str">
        <f t="shared" si="2"/>
        <v>1</v>
      </c>
      <c r="G33" s="17">
        <f t="shared" si="3"/>
        <v>46</v>
      </c>
      <c r="H33" s="17">
        <f t="shared" si="4"/>
        <v>89</v>
      </c>
      <c r="I33" s="17">
        <v>2</v>
      </c>
      <c r="J33" s="17">
        <f t="shared" si="5"/>
        <v>11</v>
      </c>
      <c r="K33" s="17">
        <v>1</v>
      </c>
      <c r="L33" s="19" t="str">
        <f t="shared" si="6"/>
        <v>C46H89N2O11P1</v>
      </c>
      <c r="M33" s="21">
        <f t="shared" si="7"/>
        <v>876.62036540000008</v>
      </c>
      <c r="N33" s="42">
        <f t="shared" si="8"/>
        <v>877.62764000000016</v>
      </c>
      <c r="O33" s="19">
        <f t="shared" si="9"/>
        <v>859.61652000000015</v>
      </c>
      <c r="P33" s="19">
        <f t="shared" si="10"/>
        <v>894.65418540000007</v>
      </c>
      <c r="Q33" s="19">
        <f t="shared" si="11"/>
        <v>899.60958540000013</v>
      </c>
      <c r="R33" s="19">
        <f t="shared" si="12"/>
        <v>915.5835254000001</v>
      </c>
      <c r="S33" s="19">
        <f t="shared" si="13"/>
        <v>883.63582540000016</v>
      </c>
      <c r="T33" s="19">
        <f t="shared" si="14"/>
        <v>875.61309080000001</v>
      </c>
      <c r="U33" s="19">
        <f t="shared" si="15"/>
        <v>921.61858540000003</v>
      </c>
      <c r="V33" s="19">
        <f t="shared" si="16"/>
        <v>935.63423540000008</v>
      </c>
      <c r="W33" s="42">
        <f t="shared" si="36"/>
        <v>911.58866840000007</v>
      </c>
    </row>
    <row r="34" spans="1:23" x14ac:dyDescent="0.25">
      <c r="A34" s="17" t="s">
        <v>370</v>
      </c>
      <c r="B34" s="17" t="str">
        <f t="shared" si="0"/>
        <v>LysylPG 34:0</v>
      </c>
      <c r="C34" s="1" t="str">
        <f t="shared" si="1"/>
        <v>34</v>
      </c>
      <c r="D34" s="1" t="str">
        <f t="shared" si="2"/>
        <v>0</v>
      </c>
      <c r="G34" s="17">
        <f t="shared" si="3"/>
        <v>46</v>
      </c>
      <c r="H34" s="17">
        <f t="shared" si="4"/>
        <v>91</v>
      </c>
      <c r="I34" s="17">
        <v>2</v>
      </c>
      <c r="J34" s="17">
        <f t="shared" si="5"/>
        <v>11</v>
      </c>
      <c r="K34" s="17">
        <v>1</v>
      </c>
      <c r="L34" s="19" t="str">
        <f t="shared" si="6"/>
        <v>C46H91N2O11P1</v>
      </c>
      <c r="M34" s="21">
        <f t="shared" si="7"/>
        <v>878.63601460000007</v>
      </c>
      <c r="N34" s="42">
        <f t="shared" si="8"/>
        <v>879.64328920000014</v>
      </c>
      <c r="O34" s="19">
        <f t="shared" si="9"/>
        <v>861.63216920000013</v>
      </c>
      <c r="P34" s="19">
        <f t="shared" si="10"/>
        <v>896.66983460000006</v>
      </c>
      <c r="Q34" s="19">
        <f t="shared" si="11"/>
        <v>901.62523460000011</v>
      </c>
      <c r="R34" s="19">
        <f t="shared" si="12"/>
        <v>917.59917460000008</v>
      </c>
      <c r="S34" s="19">
        <f t="shared" si="13"/>
        <v>885.65147460000014</v>
      </c>
      <c r="T34" s="19">
        <f t="shared" si="14"/>
        <v>877.62873999999999</v>
      </c>
      <c r="U34" s="19">
        <f t="shared" si="15"/>
        <v>923.63423460000001</v>
      </c>
      <c r="V34" s="19">
        <f t="shared" si="16"/>
        <v>937.64988460000006</v>
      </c>
      <c r="W34" s="42">
        <f t="shared" si="36"/>
        <v>913.60431760000006</v>
      </c>
    </row>
    <row r="35" spans="1:23" x14ac:dyDescent="0.25">
      <c r="A35" s="17" t="s">
        <v>543</v>
      </c>
      <c r="B35" s="17" t="str">
        <f t="shared" si="0"/>
        <v>LysylPG 35:2</v>
      </c>
      <c r="C35" s="1" t="str">
        <f t="shared" si="1"/>
        <v>35</v>
      </c>
      <c r="D35" s="1" t="str">
        <f t="shared" si="2"/>
        <v>2</v>
      </c>
      <c r="G35" s="17">
        <f t="shared" si="3"/>
        <v>47</v>
      </c>
      <c r="H35" s="17">
        <f t="shared" si="4"/>
        <v>89</v>
      </c>
      <c r="I35" s="17">
        <v>2</v>
      </c>
      <c r="J35" s="17">
        <f t="shared" si="5"/>
        <v>11</v>
      </c>
      <c r="K35" s="17">
        <v>1</v>
      </c>
      <c r="L35" s="19" t="str">
        <f t="shared" si="6"/>
        <v>C47H89N2O11P1</v>
      </c>
      <c r="M35" s="21">
        <f t="shared" si="7"/>
        <v>888.62036540000008</v>
      </c>
      <c r="N35" s="42">
        <f t="shared" si="8"/>
        <v>889.62764000000016</v>
      </c>
      <c r="O35" s="19">
        <f t="shared" si="9"/>
        <v>871.61652000000015</v>
      </c>
      <c r="P35" s="19">
        <f t="shared" si="10"/>
        <v>906.65418540000007</v>
      </c>
      <c r="Q35" s="19">
        <f t="shared" si="11"/>
        <v>911.60958540000013</v>
      </c>
      <c r="R35" s="19">
        <f t="shared" si="12"/>
        <v>927.5835254000001</v>
      </c>
      <c r="S35" s="19">
        <f t="shared" si="13"/>
        <v>895.63582540000016</v>
      </c>
      <c r="T35" s="19">
        <f t="shared" si="14"/>
        <v>887.61309080000001</v>
      </c>
      <c r="U35" s="19">
        <f t="shared" si="15"/>
        <v>933.61858540000003</v>
      </c>
      <c r="V35" s="19">
        <f t="shared" si="16"/>
        <v>947.63423540000008</v>
      </c>
      <c r="W35" s="42">
        <f t="shared" si="36"/>
        <v>923.58866840000007</v>
      </c>
    </row>
    <row r="36" spans="1:23" x14ac:dyDescent="0.25">
      <c r="A36" s="17" t="s">
        <v>382</v>
      </c>
      <c r="B36" s="17" t="str">
        <f t="shared" si="0"/>
        <v>LysylPG 35:1</v>
      </c>
      <c r="C36" s="1" t="str">
        <f t="shared" si="1"/>
        <v>35</v>
      </c>
      <c r="D36" s="1" t="str">
        <f t="shared" si="2"/>
        <v>1</v>
      </c>
      <c r="G36" s="17">
        <f t="shared" si="3"/>
        <v>47</v>
      </c>
      <c r="H36" s="17">
        <f t="shared" si="4"/>
        <v>91</v>
      </c>
      <c r="I36" s="17">
        <v>2</v>
      </c>
      <c r="J36" s="17">
        <f t="shared" si="5"/>
        <v>11</v>
      </c>
      <c r="K36" s="17">
        <v>1</v>
      </c>
      <c r="L36" s="19" t="str">
        <f t="shared" si="6"/>
        <v>C47H91N2O11P1</v>
      </c>
      <c r="M36" s="21">
        <f t="shared" si="7"/>
        <v>890.63601460000007</v>
      </c>
      <c r="N36" s="42">
        <f t="shared" si="8"/>
        <v>891.64328920000014</v>
      </c>
      <c r="O36" s="19">
        <f t="shared" si="9"/>
        <v>873.63216920000013</v>
      </c>
      <c r="P36" s="19">
        <f t="shared" si="10"/>
        <v>908.66983460000006</v>
      </c>
      <c r="Q36" s="19">
        <f t="shared" si="11"/>
        <v>913.62523460000011</v>
      </c>
      <c r="R36" s="19">
        <f t="shared" si="12"/>
        <v>929.59917460000008</v>
      </c>
      <c r="S36" s="19">
        <f t="shared" si="13"/>
        <v>897.65147460000014</v>
      </c>
      <c r="T36" s="19">
        <f t="shared" si="14"/>
        <v>889.62873999999999</v>
      </c>
      <c r="U36" s="19">
        <f t="shared" si="15"/>
        <v>935.63423460000001</v>
      </c>
      <c r="V36" s="19">
        <f t="shared" si="16"/>
        <v>949.64988460000006</v>
      </c>
      <c r="W36" s="42">
        <f t="shared" si="36"/>
        <v>925.60431760000006</v>
      </c>
    </row>
    <row r="37" spans="1:23" x14ac:dyDescent="0.25">
      <c r="A37" s="17" t="s">
        <v>371</v>
      </c>
      <c r="B37" s="17" t="str">
        <f t="shared" si="0"/>
        <v>LysylPG 35:0</v>
      </c>
      <c r="C37" s="1" t="str">
        <f t="shared" si="1"/>
        <v>35</v>
      </c>
      <c r="D37" s="1" t="str">
        <f t="shared" si="2"/>
        <v>0</v>
      </c>
      <c r="G37" s="17">
        <f t="shared" si="3"/>
        <v>47</v>
      </c>
      <c r="H37" s="17">
        <f t="shared" si="4"/>
        <v>93</v>
      </c>
      <c r="I37" s="17">
        <v>2</v>
      </c>
      <c r="J37" s="17">
        <f t="shared" si="5"/>
        <v>11</v>
      </c>
      <c r="K37" s="17">
        <v>1</v>
      </c>
      <c r="L37" s="19" t="str">
        <f t="shared" si="6"/>
        <v>C47H93N2O11P1</v>
      </c>
      <c r="M37" s="21">
        <f t="shared" si="7"/>
        <v>892.65166380000005</v>
      </c>
      <c r="N37" s="42">
        <f t="shared" si="8"/>
        <v>893.65893840000012</v>
      </c>
      <c r="O37" s="19">
        <f t="shared" si="9"/>
        <v>875.64781840000012</v>
      </c>
      <c r="P37" s="19">
        <f t="shared" si="10"/>
        <v>910.68548380000004</v>
      </c>
      <c r="Q37" s="19">
        <f t="shared" si="11"/>
        <v>915.6408838000001</v>
      </c>
      <c r="R37" s="19">
        <f t="shared" si="12"/>
        <v>931.61482380000007</v>
      </c>
      <c r="S37" s="19">
        <f t="shared" si="13"/>
        <v>899.66712380000013</v>
      </c>
      <c r="T37" s="19">
        <f t="shared" si="14"/>
        <v>891.64438919999998</v>
      </c>
      <c r="U37" s="19">
        <f t="shared" si="15"/>
        <v>937.6498838</v>
      </c>
      <c r="V37" s="19">
        <f t="shared" si="16"/>
        <v>951.66553380000005</v>
      </c>
      <c r="W37" s="42">
        <f t="shared" si="36"/>
        <v>927.61996680000004</v>
      </c>
    </row>
    <row r="38" spans="1:23" x14ac:dyDescent="0.25">
      <c r="A38" s="17" t="s">
        <v>544</v>
      </c>
      <c r="B38" s="17" t="str">
        <f t="shared" si="0"/>
        <v>LysylPG 36:2</v>
      </c>
      <c r="C38" s="1" t="str">
        <f t="shared" si="1"/>
        <v>36</v>
      </c>
      <c r="D38" s="1" t="str">
        <f t="shared" si="2"/>
        <v>2</v>
      </c>
      <c r="G38" s="17">
        <f t="shared" si="3"/>
        <v>48</v>
      </c>
      <c r="H38" s="17">
        <f t="shared" si="4"/>
        <v>91</v>
      </c>
      <c r="I38" s="17">
        <v>2</v>
      </c>
      <c r="J38" s="17">
        <f t="shared" si="5"/>
        <v>11</v>
      </c>
      <c r="K38" s="17">
        <v>1</v>
      </c>
      <c r="L38" s="19" t="str">
        <f t="shared" si="6"/>
        <v>C48H91N2O11P1</v>
      </c>
      <c r="M38" s="21">
        <f t="shared" si="7"/>
        <v>902.63601460000007</v>
      </c>
      <c r="N38" s="42">
        <f t="shared" si="8"/>
        <v>903.64328920000014</v>
      </c>
      <c r="O38" s="19">
        <f t="shared" si="9"/>
        <v>885.63216920000013</v>
      </c>
      <c r="P38" s="19">
        <f t="shared" si="10"/>
        <v>920.66983460000006</v>
      </c>
      <c r="Q38" s="19">
        <f t="shared" si="11"/>
        <v>925.62523460000011</v>
      </c>
      <c r="R38" s="19">
        <f t="shared" si="12"/>
        <v>941.59917460000008</v>
      </c>
      <c r="S38" s="19">
        <f t="shared" si="13"/>
        <v>909.65147460000014</v>
      </c>
      <c r="T38" s="19">
        <f t="shared" si="14"/>
        <v>901.62873999999999</v>
      </c>
      <c r="U38" s="19">
        <f t="shared" si="15"/>
        <v>947.63423460000001</v>
      </c>
      <c r="V38" s="19">
        <f t="shared" si="16"/>
        <v>961.64988460000006</v>
      </c>
      <c r="W38" s="42">
        <f t="shared" si="36"/>
        <v>937.60431760000006</v>
      </c>
    </row>
    <row r="39" spans="1:23" x14ac:dyDescent="0.25">
      <c r="A39" s="17" t="s">
        <v>535</v>
      </c>
      <c r="B39" s="17" t="str">
        <f t="shared" si="0"/>
        <v>LysylPG 36:1</v>
      </c>
      <c r="C39" s="1" t="str">
        <f t="shared" si="1"/>
        <v>36</v>
      </c>
      <c r="D39" s="1" t="str">
        <f t="shared" si="2"/>
        <v>1</v>
      </c>
      <c r="G39" s="17">
        <f t="shared" si="3"/>
        <v>48</v>
      </c>
      <c r="H39" s="17">
        <f t="shared" si="4"/>
        <v>93</v>
      </c>
      <c r="I39" s="17">
        <v>2</v>
      </c>
      <c r="J39" s="17">
        <f t="shared" si="5"/>
        <v>11</v>
      </c>
      <c r="K39" s="17">
        <v>1</v>
      </c>
      <c r="L39" s="19" t="str">
        <f t="shared" si="6"/>
        <v>C48H93N2O11P1</v>
      </c>
      <c r="M39" s="21">
        <f t="shared" si="7"/>
        <v>904.65166380000005</v>
      </c>
      <c r="N39" s="42">
        <f t="shared" si="8"/>
        <v>905.65893840000012</v>
      </c>
      <c r="O39" s="19">
        <f t="shared" si="9"/>
        <v>887.64781840000012</v>
      </c>
      <c r="P39" s="19">
        <f t="shared" si="10"/>
        <v>922.68548380000004</v>
      </c>
      <c r="Q39" s="19">
        <f t="shared" si="11"/>
        <v>927.6408838000001</v>
      </c>
      <c r="R39" s="19">
        <f t="shared" si="12"/>
        <v>943.61482380000007</v>
      </c>
      <c r="S39" s="19">
        <f t="shared" si="13"/>
        <v>911.66712380000013</v>
      </c>
      <c r="T39" s="19">
        <f t="shared" si="14"/>
        <v>903.64438919999998</v>
      </c>
      <c r="U39" s="19">
        <f t="shared" si="15"/>
        <v>949.6498838</v>
      </c>
      <c r="V39" s="19">
        <f t="shared" si="16"/>
        <v>963.66553380000005</v>
      </c>
      <c r="W39" s="42">
        <f t="shared" si="36"/>
        <v>939.61996680000004</v>
      </c>
    </row>
    <row r="40" spans="1:23" x14ac:dyDescent="0.25">
      <c r="A40" s="17" t="s">
        <v>372</v>
      </c>
      <c r="B40" s="17" t="str">
        <f t="shared" si="0"/>
        <v>LysylPG 36:0</v>
      </c>
      <c r="C40" s="1" t="str">
        <f t="shared" si="1"/>
        <v>36</v>
      </c>
      <c r="D40" s="1" t="str">
        <f t="shared" si="2"/>
        <v>0</v>
      </c>
      <c r="G40" s="17">
        <f t="shared" si="3"/>
        <v>48</v>
      </c>
      <c r="H40" s="17">
        <f t="shared" si="4"/>
        <v>95</v>
      </c>
      <c r="I40" s="17">
        <v>2</v>
      </c>
      <c r="J40" s="17">
        <f t="shared" si="5"/>
        <v>11</v>
      </c>
      <c r="K40" s="17">
        <v>1</v>
      </c>
      <c r="L40" s="19" t="str">
        <f t="shared" si="6"/>
        <v>C48H95N2O11P1</v>
      </c>
      <c r="M40" s="21">
        <f t="shared" si="7"/>
        <v>906.66731300000004</v>
      </c>
      <c r="N40" s="42">
        <f t="shared" si="8"/>
        <v>907.67458760000011</v>
      </c>
      <c r="O40" s="19">
        <f t="shared" si="9"/>
        <v>889.6634676000001</v>
      </c>
      <c r="P40" s="19">
        <f t="shared" si="10"/>
        <v>924.70113300000003</v>
      </c>
      <c r="Q40" s="19">
        <f t="shared" si="11"/>
        <v>929.65653300000008</v>
      </c>
      <c r="R40" s="19">
        <f t="shared" si="12"/>
        <v>945.63047300000005</v>
      </c>
      <c r="S40" s="19">
        <f t="shared" si="13"/>
        <v>913.68277300000011</v>
      </c>
      <c r="T40" s="19">
        <f t="shared" si="14"/>
        <v>905.66003839999996</v>
      </c>
      <c r="U40" s="19">
        <f t="shared" si="15"/>
        <v>951.66553299999998</v>
      </c>
      <c r="V40" s="19">
        <f t="shared" si="16"/>
        <v>965.68118300000003</v>
      </c>
      <c r="W40" s="42">
        <f t="shared" si="36"/>
        <v>941.63561600000003</v>
      </c>
    </row>
    <row r="41" spans="1:23" x14ac:dyDescent="0.25">
      <c r="A41" s="17" t="s">
        <v>642</v>
      </c>
      <c r="B41" s="17" t="str">
        <f t="shared" ref="B41" si="37">IF(ISNUMBER(SEARCH("(",A41)),IF(ISNUMBER(SEARCH("/",A41)),CONCATENATE(MID(A41,1,7)," ",(SUM(MID(A41,FIND("(",A41)+1,FIND(":",A41)-FIND("(",A41)-1),MID(A41,FIND("/",A41)+1,FIND(":",A41,FIND("/",A41))-FIND("/",A41)-1))),":",SUM(MID(A41,FIND(":",A41)+1,FIND("/",A41)-FIND(":",A41)-1),MID(A41,FIND(":",A41,FIND("/",A41))+1,FIND(")",A41)-FIND(":",A41,FIND("/",A41))-1)),MID(A41,(FIND(")",A41)+1),100)),CONCATENATE(MID(A41,1,7)," ",(SUM(MID(A41,FIND("(",A41)+1,FIND(":",A41)-FIND("(",A41)-1),MID(A41,FIND("_",A41)+1,FIND(":",A41,FIND("_",A41))-FIND("_",A41)-1))),":",SUM(MID(A41,FIND(":",A41)+1,FIND("_",A41)-FIND(":",A41)-1),MID(A41,FIND(":",A41,FIND("_",A41))+1,FIND(")",A41)-FIND(":",A41,FIND("_",A41))-1)),MID(A41,(FIND(")",A41)+1),100))),A41)</f>
        <v>LysylPG 37:2</v>
      </c>
      <c r="C41" s="1" t="str">
        <f t="shared" ref="C41" si="38">MID(B41,9,FIND(":",B41)-FIND(" ",B41)-1)</f>
        <v>37</v>
      </c>
      <c r="D41" s="1" t="str">
        <f t="shared" ref="D41" si="39">IF(ISNUMBER(SEARCH("__",B41)),MID(B41,FIND(":",B41)+1,FIND("__",B41)-FIND(":",B41)-1),MID(B41,FIND(":",B41)+1,7))</f>
        <v>2</v>
      </c>
      <c r="G41" s="17">
        <f t="shared" ref="G41" si="40">C41+12</f>
        <v>49</v>
      </c>
      <c r="H41" s="17">
        <f t="shared" ref="H41" si="41">2*G41-(2*D41)-((LEN(A41)-LEN(SUBSTITUTE(A41,"_O_","")))/LEN("_O_"))*2-((LEN(A41)-LEN(SUBSTITUTE(A41,"_CHO_","")))/LEN("_CHO_"))*2-((LEN(A41)-LEN(SUBSTITUTE(A41,"_COOH_","")))/LEN("_COOH_"))*2-1</f>
        <v>93</v>
      </c>
      <c r="I41" s="17">
        <v>2</v>
      </c>
      <c r="J41" s="17">
        <f t="shared" ref="J41" si="42">8+((LEN(A41)-LEN(SUBSTITUTE(A41,"_OH_","")))/LEN("_OH_"))*1+((LEN(A41)-LEN(SUBSTITUTE(A41,"_OOH_","")))/LEN("_OOH_"))*2+((LEN(A41)-LEN(SUBSTITUTE(A41,"_O_","")))/LEN("_O_"))*1+((LEN(A41)-LEN(SUBSTITUTE(A41,"_CHO_","")))/LEN("_CHO_"))*1+((LEN(A41)-LEN(SUBSTITUTE(A41,"_COOH_","")))/LEN("_COOH_"))*2+3</f>
        <v>11</v>
      </c>
      <c r="K41" s="17">
        <v>1</v>
      </c>
      <c r="L41" s="19" t="str">
        <f t="shared" ref="L41" si="43">CONCATENATE("C",G41,"H",H41,"N",I41,"O",J41,"P",K41)</f>
        <v>C49H93N2O11P1</v>
      </c>
      <c r="M41" s="21">
        <f t="shared" ref="M41" si="44">(G41*12)+(H41*1.0078246)+(I41*14.003074)+(J41*15.994915)+(K41*30.973763)</f>
        <v>916.65166380000005</v>
      </c>
      <c r="N41" s="42">
        <f t="shared" ref="N41" si="45">M41+1.0078246-0.00055</f>
        <v>917.65893840000012</v>
      </c>
      <c r="O41" s="19">
        <f t="shared" ref="O41" si="46">N41-18.01057-0.00055</f>
        <v>899.64781840000012</v>
      </c>
      <c r="P41" s="19">
        <f t="shared" ref="P41" si="47">M41+18.03437-0.00055</f>
        <v>934.68548380000004</v>
      </c>
      <c r="Q41" s="19">
        <f t="shared" ref="Q41" si="48">M41+22.98977-0.00055</f>
        <v>939.6408838000001</v>
      </c>
      <c r="R41" s="19">
        <f t="shared" ref="R41" si="49">M41+38.96371-0.00055</f>
        <v>955.61482380000007</v>
      </c>
      <c r="S41" s="19">
        <f t="shared" ref="S41" si="50">M41+7.01601-0.00055</f>
        <v>923.66712380000013</v>
      </c>
      <c r="T41" s="19">
        <f t="shared" ref="T41" si="51">M41-1.0078246+0.00055</f>
        <v>915.64438919999998</v>
      </c>
      <c r="U41" s="19">
        <f t="shared" ref="U41" si="52">M41+44.99767+0.00055</f>
        <v>961.6498838</v>
      </c>
      <c r="V41" s="19">
        <f t="shared" ref="V41" si="53">M41+59.01332+0.00055</f>
        <v>975.66553380000005</v>
      </c>
      <c r="W41" s="42">
        <f t="shared" si="36"/>
        <v>951.61996680000004</v>
      </c>
    </row>
    <row r="42" spans="1:23" x14ac:dyDescent="0.25">
      <c r="A42" s="17" t="s">
        <v>536</v>
      </c>
      <c r="B42" s="17" t="str">
        <f t="shared" si="0"/>
        <v>LysylPG 37:1</v>
      </c>
      <c r="C42" s="1" t="str">
        <f t="shared" si="1"/>
        <v>37</v>
      </c>
      <c r="D42" s="1" t="str">
        <f t="shared" si="2"/>
        <v>1</v>
      </c>
      <c r="G42" s="17">
        <f t="shared" si="3"/>
        <v>49</v>
      </c>
      <c r="H42" s="17">
        <f t="shared" si="4"/>
        <v>95</v>
      </c>
      <c r="I42" s="17">
        <v>2</v>
      </c>
      <c r="J42" s="17">
        <f t="shared" si="5"/>
        <v>11</v>
      </c>
      <c r="K42" s="17">
        <v>1</v>
      </c>
      <c r="L42" s="19" t="str">
        <f t="shared" si="6"/>
        <v>C49H95N2O11P1</v>
      </c>
      <c r="M42" s="21">
        <f t="shared" si="7"/>
        <v>918.66731300000004</v>
      </c>
      <c r="N42" s="42">
        <f t="shared" si="8"/>
        <v>919.67458760000011</v>
      </c>
      <c r="O42" s="19">
        <f t="shared" si="9"/>
        <v>901.6634676000001</v>
      </c>
      <c r="P42" s="19">
        <f t="shared" si="10"/>
        <v>936.70113300000003</v>
      </c>
      <c r="Q42" s="19">
        <f t="shared" si="11"/>
        <v>941.65653300000008</v>
      </c>
      <c r="R42" s="19">
        <f t="shared" si="12"/>
        <v>957.63047300000005</v>
      </c>
      <c r="S42" s="19">
        <f t="shared" si="13"/>
        <v>925.68277300000011</v>
      </c>
      <c r="T42" s="19">
        <f t="shared" si="14"/>
        <v>917.66003839999996</v>
      </c>
      <c r="U42" s="19">
        <f t="shared" si="15"/>
        <v>963.66553299999998</v>
      </c>
      <c r="V42" s="19">
        <f t="shared" si="16"/>
        <v>977.68118300000003</v>
      </c>
      <c r="W42" s="42">
        <f t="shared" si="36"/>
        <v>953.63561600000003</v>
      </c>
    </row>
    <row r="43" spans="1:23" x14ac:dyDescent="0.25">
      <c r="A43" s="17" t="s">
        <v>325</v>
      </c>
      <c r="B43" s="17" t="str">
        <f t="shared" si="0"/>
        <v>LysylPG 37:0</v>
      </c>
      <c r="C43" s="1" t="str">
        <f t="shared" si="1"/>
        <v>37</v>
      </c>
      <c r="D43" s="1" t="str">
        <f t="shared" si="2"/>
        <v>0</v>
      </c>
      <c r="G43" s="17">
        <f t="shared" si="3"/>
        <v>49</v>
      </c>
      <c r="H43" s="17">
        <f t="shared" si="4"/>
        <v>97</v>
      </c>
      <c r="I43" s="17">
        <v>2</v>
      </c>
      <c r="J43" s="17">
        <f t="shared" si="5"/>
        <v>11</v>
      </c>
      <c r="K43" s="17">
        <v>1</v>
      </c>
      <c r="L43" s="19" t="str">
        <f t="shared" si="6"/>
        <v>C49H97N2O11P1</v>
      </c>
      <c r="M43" s="21">
        <f t="shared" si="7"/>
        <v>920.68296220000002</v>
      </c>
      <c r="N43" s="42">
        <f t="shared" si="8"/>
        <v>921.69023680000009</v>
      </c>
      <c r="O43" s="19">
        <f t="shared" si="9"/>
        <v>903.67911680000009</v>
      </c>
      <c r="P43" s="19">
        <f t="shared" si="10"/>
        <v>938.71678220000001</v>
      </c>
      <c r="Q43" s="19">
        <f t="shared" si="11"/>
        <v>943.67218220000007</v>
      </c>
      <c r="R43" s="19">
        <f t="shared" si="12"/>
        <v>959.64612220000004</v>
      </c>
      <c r="S43" s="19">
        <f t="shared" si="13"/>
        <v>927.6984222000001</v>
      </c>
      <c r="T43" s="19">
        <f t="shared" si="14"/>
        <v>919.67568759999995</v>
      </c>
      <c r="U43" s="19">
        <f t="shared" si="15"/>
        <v>965.68118219999997</v>
      </c>
      <c r="V43" s="19">
        <f t="shared" si="16"/>
        <v>979.69683220000002</v>
      </c>
      <c r="W43" s="42">
        <f t="shared" si="36"/>
        <v>955.65126520000001</v>
      </c>
    </row>
    <row r="44" spans="1:23" x14ac:dyDescent="0.25">
      <c r="A44" s="17" t="s">
        <v>643</v>
      </c>
      <c r="B44" s="17" t="str">
        <f t="shared" ref="B44" si="54">IF(ISNUMBER(SEARCH("(",A44)),IF(ISNUMBER(SEARCH("/",A44)),CONCATENATE(MID(A44,1,7)," ",(SUM(MID(A44,FIND("(",A44)+1,FIND(":",A44)-FIND("(",A44)-1),MID(A44,FIND("/",A44)+1,FIND(":",A44,FIND("/",A44))-FIND("/",A44)-1))),":",SUM(MID(A44,FIND(":",A44)+1,FIND("/",A44)-FIND(":",A44)-1),MID(A44,FIND(":",A44,FIND("/",A44))+1,FIND(")",A44)-FIND(":",A44,FIND("/",A44))-1)),MID(A44,(FIND(")",A44)+1),100)),CONCATENATE(MID(A44,1,7)," ",(SUM(MID(A44,FIND("(",A44)+1,FIND(":",A44)-FIND("(",A44)-1),MID(A44,FIND("_",A44)+1,FIND(":",A44,FIND("_",A44))-FIND("_",A44)-1))),":",SUM(MID(A44,FIND(":",A44)+1,FIND("_",A44)-FIND(":",A44)-1),MID(A44,FIND(":",A44,FIND("_",A44))+1,FIND(")",A44)-FIND(":",A44,FIND("_",A44))-1)),MID(A44,(FIND(")",A44)+1),100))),A44)</f>
        <v>LysylPG 38:2</v>
      </c>
      <c r="C44" s="1" t="str">
        <f t="shared" ref="C44" si="55">MID(B44,9,FIND(":",B44)-FIND(" ",B44)-1)</f>
        <v>38</v>
      </c>
      <c r="D44" s="1" t="str">
        <f t="shared" ref="D44" si="56">IF(ISNUMBER(SEARCH("__",B44)),MID(B44,FIND(":",B44)+1,FIND("__",B44)-FIND(":",B44)-1),MID(B44,FIND(":",B44)+1,7))</f>
        <v>2</v>
      </c>
      <c r="G44" s="17">
        <f t="shared" ref="G44" si="57">C44+12</f>
        <v>50</v>
      </c>
      <c r="H44" s="17">
        <f t="shared" ref="H44" si="58">2*G44-(2*D44)-((LEN(A44)-LEN(SUBSTITUTE(A44,"_O_","")))/LEN("_O_"))*2-((LEN(A44)-LEN(SUBSTITUTE(A44,"_CHO_","")))/LEN("_CHO_"))*2-((LEN(A44)-LEN(SUBSTITUTE(A44,"_COOH_","")))/LEN("_COOH_"))*2-1</f>
        <v>95</v>
      </c>
      <c r="I44" s="17">
        <v>2</v>
      </c>
      <c r="J44" s="17">
        <f t="shared" ref="J44" si="59">8+((LEN(A44)-LEN(SUBSTITUTE(A44,"_OH_","")))/LEN("_OH_"))*1+((LEN(A44)-LEN(SUBSTITUTE(A44,"_OOH_","")))/LEN("_OOH_"))*2+((LEN(A44)-LEN(SUBSTITUTE(A44,"_O_","")))/LEN("_O_"))*1+((LEN(A44)-LEN(SUBSTITUTE(A44,"_CHO_","")))/LEN("_CHO_"))*1+((LEN(A44)-LEN(SUBSTITUTE(A44,"_COOH_","")))/LEN("_COOH_"))*2+3</f>
        <v>11</v>
      </c>
      <c r="K44" s="17">
        <v>1</v>
      </c>
      <c r="L44" s="19" t="str">
        <f t="shared" ref="L44" si="60">CONCATENATE("C",G44,"H",H44,"N",I44,"O",J44,"P",K44)</f>
        <v>C50H95N2O11P1</v>
      </c>
      <c r="M44" s="21">
        <f t="shared" ref="M44" si="61">(G44*12)+(H44*1.0078246)+(I44*14.003074)+(J44*15.994915)+(K44*30.973763)</f>
        <v>930.66731300000004</v>
      </c>
      <c r="N44" s="42">
        <f t="shared" ref="N44" si="62">M44+1.0078246-0.00055</f>
        <v>931.67458760000011</v>
      </c>
      <c r="O44" s="19">
        <f t="shared" ref="O44" si="63">N44-18.01057-0.00055</f>
        <v>913.6634676000001</v>
      </c>
      <c r="P44" s="19">
        <f t="shared" ref="P44" si="64">M44+18.03437-0.00055</f>
        <v>948.70113300000003</v>
      </c>
      <c r="Q44" s="19">
        <f t="shared" ref="Q44" si="65">M44+22.98977-0.00055</f>
        <v>953.65653300000008</v>
      </c>
      <c r="R44" s="19">
        <f t="shared" ref="R44" si="66">M44+38.96371-0.00055</f>
        <v>969.63047300000005</v>
      </c>
      <c r="S44" s="19">
        <f t="shared" ref="S44" si="67">M44+7.01601-0.00055</f>
        <v>937.68277300000011</v>
      </c>
      <c r="T44" s="19">
        <f t="shared" ref="T44" si="68">M44-1.0078246+0.00055</f>
        <v>929.66003839999996</v>
      </c>
      <c r="U44" s="19">
        <f t="shared" ref="U44" si="69">M44+44.99767+0.00055</f>
        <v>975.66553299999998</v>
      </c>
      <c r="V44" s="19">
        <f t="shared" ref="V44" si="70">M44+59.01332+0.00055</f>
        <v>989.68118300000003</v>
      </c>
      <c r="W44" s="42">
        <f t="shared" si="36"/>
        <v>965.63561600000003</v>
      </c>
    </row>
    <row r="45" spans="1:23" x14ac:dyDescent="0.25">
      <c r="A45" s="17" t="s">
        <v>537</v>
      </c>
      <c r="B45" s="17" t="str">
        <f t="shared" si="0"/>
        <v>LysylPG 38:1</v>
      </c>
      <c r="C45" s="1" t="str">
        <f t="shared" si="1"/>
        <v>38</v>
      </c>
      <c r="D45" s="1" t="str">
        <f t="shared" si="2"/>
        <v>1</v>
      </c>
      <c r="G45" s="17">
        <f t="shared" si="3"/>
        <v>50</v>
      </c>
      <c r="H45" s="17">
        <f t="shared" si="4"/>
        <v>97</v>
      </c>
      <c r="I45" s="17">
        <v>2</v>
      </c>
      <c r="J45" s="17">
        <f t="shared" si="5"/>
        <v>11</v>
      </c>
      <c r="K45" s="17">
        <v>1</v>
      </c>
      <c r="L45" s="19" t="str">
        <f t="shared" si="6"/>
        <v>C50H97N2O11P1</v>
      </c>
      <c r="M45" s="21">
        <f t="shared" si="7"/>
        <v>932.68296220000002</v>
      </c>
      <c r="N45" s="42">
        <f t="shared" si="8"/>
        <v>933.69023680000009</v>
      </c>
      <c r="O45" s="19">
        <f t="shared" si="9"/>
        <v>915.67911680000009</v>
      </c>
      <c r="P45" s="19">
        <f t="shared" si="10"/>
        <v>950.71678220000001</v>
      </c>
      <c r="Q45" s="19">
        <f t="shared" si="11"/>
        <v>955.67218220000007</v>
      </c>
      <c r="R45" s="19">
        <f t="shared" si="12"/>
        <v>971.64612220000004</v>
      </c>
      <c r="S45" s="19">
        <f t="shared" si="13"/>
        <v>939.6984222000001</v>
      </c>
      <c r="T45" s="19">
        <f t="shared" si="14"/>
        <v>931.67568759999995</v>
      </c>
      <c r="U45" s="19">
        <f t="shared" si="15"/>
        <v>977.68118219999997</v>
      </c>
      <c r="V45" s="19">
        <f t="shared" si="16"/>
        <v>991.69683220000002</v>
      </c>
      <c r="W45" s="42">
        <f t="shared" si="36"/>
        <v>967.65126520000001</v>
      </c>
    </row>
    <row r="46" spans="1:23" x14ac:dyDescent="0.25">
      <c r="A46" s="17" t="s">
        <v>363</v>
      </c>
      <c r="B46" s="17" t="str">
        <f t="shared" si="0"/>
        <v>LysylPG 38:0</v>
      </c>
      <c r="C46" s="1" t="str">
        <f t="shared" si="1"/>
        <v>38</v>
      </c>
      <c r="D46" s="1" t="str">
        <f t="shared" si="2"/>
        <v>0</v>
      </c>
      <c r="G46" s="17">
        <f t="shared" si="3"/>
        <v>50</v>
      </c>
      <c r="H46" s="17">
        <f t="shared" si="4"/>
        <v>99</v>
      </c>
      <c r="I46" s="17">
        <v>2</v>
      </c>
      <c r="J46" s="17">
        <f t="shared" si="5"/>
        <v>11</v>
      </c>
      <c r="K46" s="17">
        <v>1</v>
      </c>
      <c r="L46" s="19" t="str">
        <f t="shared" si="6"/>
        <v>C50H99N2O11P1</v>
      </c>
      <c r="M46" s="21">
        <f t="shared" si="7"/>
        <v>934.6986114</v>
      </c>
      <c r="N46" s="42">
        <f t="shared" si="8"/>
        <v>935.70588600000008</v>
      </c>
      <c r="O46" s="19">
        <f t="shared" si="9"/>
        <v>917.69476600000007</v>
      </c>
      <c r="P46" s="19">
        <f t="shared" si="10"/>
        <v>952.7324314</v>
      </c>
      <c r="Q46" s="19">
        <f t="shared" si="11"/>
        <v>957.68783140000005</v>
      </c>
      <c r="R46" s="19">
        <f t="shared" si="12"/>
        <v>973.66177140000002</v>
      </c>
      <c r="S46" s="19">
        <f t="shared" si="13"/>
        <v>941.71407140000008</v>
      </c>
      <c r="T46" s="19">
        <f t="shared" si="14"/>
        <v>933.69133679999993</v>
      </c>
      <c r="U46" s="19">
        <f t="shared" si="15"/>
        <v>979.69683139999995</v>
      </c>
      <c r="V46" s="19">
        <f t="shared" si="16"/>
        <v>993.7124814</v>
      </c>
      <c r="W46" s="42">
        <f t="shared" si="36"/>
        <v>969.6669144</v>
      </c>
    </row>
    <row r="49" spans="1:23" x14ac:dyDescent="0.25">
      <c r="C49" s="1"/>
      <c r="D49" s="1"/>
      <c r="W49" s="42"/>
    </row>
    <row r="50" spans="1:23" x14ac:dyDescent="0.25">
      <c r="C50" s="1"/>
      <c r="D50" s="1"/>
      <c r="W50" s="42"/>
    </row>
    <row r="53" spans="1:23" x14ac:dyDescent="0.25">
      <c r="A53"/>
      <c r="C53" s="1"/>
      <c r="D53" s="1"/>
      <c r="W53" s="42"/>
    </row>
    <row r="54" spans="1:23" x14ac:dyDescent="0.25">
      <c r="A54"/>
      <c r="C54" s="1"/>
      <c r="D54" s="1"/>
      <c r="W54" s="42"/>
    </row>
    <row r="55" spans="1:23" x14ac:dyDescent="0.25">
      <c r="A55"/>
      <c r="C55" s="1"/>
      <c r="D55" s="1"/>
      <c r="W55" s="42"/>
    </row>
    <row r="56" spans="1:23" x14ac:dyDescent="0.25">
      <c r="A56"/>
      <c r="C56" s="1"/>
      <c r="D56" s="1"/>
      <c r="W56" s="42"/>
    </row>
    <row r="57" spans="1:23" x14ac:dyDescent="0.25">
      <c r="A57"/>
      <c r="C57" s="1"/>
      <c r="D57" s="1"/>
      <c r="W57" s="42"/>
    </row>
    <row r="58" spans="1:23" x14ac:dyDescent="0.25">
      <c r="A58"/>
      <c r="C58" s="1"/>
      <c r="D58" s="1"/>
      <c r="W58" s="42"/>
    </row>
    <row r="59" spans="1:23" x14ac:dyDescent="0.25">
      <c r="A59"/>
      <c r="C59" s="1"/>
      <c r="D59" s="1"/>
      <c r="W59" s="42"/>
    </row>
    <row r="60" spans="1:23" x14ac:dyDescent="0.25">
      <c r="A60"/>
      <c r="C60" s="1"/>
      <c r="D60" s="1"/>
      <c r="W60" s="42"/>
    </row>
    <row r="61" spans="1:23" x14ac:dyDescent="0.25">
      <c r="A61"/>
      <c r="C61" s="1"/>
      <c r="D61" s="1"/>
      <c r="W61" s="42"/>
    </row>
  </sheetData>
  <sortState ref="A3:W46">
    <sortCondition ref="N3:N46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W43"/>
  <sheetViews>
    <sheetView showGridLines="0" zoomScaleNormal="10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ColWidth="9.140625" defaultRowHeight="15.75" x14ac:dyDescent="0.25"/>
  <cols>
    <col min="1" max="1" width="21.85546875" style="17" customWidth="1"/>
    <col min="2" max="2" width="0.5703125" style="17" customWidth="1"/>
    <col min="3" max="3" width="3.85546875" style="17" hidden="1" customWidth="1"/>
    <col min="4" max="5" width="2.5703125" style="17" hidden="1" customWidth="1"/>
    <col min="6" max="6" width="9.140625" style="17" hidden="1" customWidth="1"/>
    <col min="7" max="9" width="10.85546875" style="17" hidden="1" customWidth="1"/>
    <col min="10" max="11" width="9.5703125" style="17" hidden="1" customWidth="1"/>
    <col min="12" max="12" width="17" style="19" bestFit="1" customWidth="1"/>
    <col min="13" max="13" width="15.85546875" style="19" bestFit="1" customWidth="1"/>
    <col min="14" max="14" width="12.140625" style="19" bestFit="1" customWidth="1"/>
    <col min="15" max="15" width="14.42578125" style="19" bestFit="1" customWidth="1"/>
    <col min="16" max="20" width="12.140625" style="19" bestFit="1" customWidth="1"/>
    <col min="21" max="21" width="13.5703125" style="19" bestFit="1" customWidth="1"/>
    <col min="22" max="22" width="16.5703125" style="19" bestFit="1" customWidth="1"/>
    <col min="23" max="23" width="15.42578125" style="17" bestFit="1" customWidth="1"/>
  </cols>
  <sheetData>
    <row r="1" spans="1:23" s="28" customFormat="1" x14ac:dyDescent="0.25">
      <c r="A1" s="27" t="s">
        <v>59</v>
      </c>
      <c r="B1" s="27" t="s">
        <v>5</v>
      </c>
      <c r="C1" s="27"/>
      <c r="D1" s="27"/>
      <c r="E1" s="27"/>
      <c r="F1" s="27"/>
      <c r="G1" s="27" t="s">
        <v>0</v>
      </c>
      <c r="H1" s="27" t="s">
        <v>1</v>
      </c>
      <c r="I1" s="27" t="s">
        <v>2</v>
      </c>
      <c r="J1" s="27" t="s">
        <v>9</v>
      </c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  <c r="W1" s="27"/>
    </row>
    <row r="2" spans="1:23" hidden="1" x14ac:dyDescent="0.25">
      <c r="A2" s="17" t="s">
        <v>88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PA 48:7</v>
      </c>
      <c r="C2" s="1" t="str">
        <f>MID(B2,4,FIND(":",B2)-FIND(" ",B2)-1)</f>
        <v>48</v>
      </c>
      <c r="D2" s="1" t="str">
        <f>IF(ISNUMBER(SEARCH("__",B2)),MID(B2,FIND(":",B2)+1,FIND("__",B2)-FIND(":",B2)-1),MID(B2,FIND(":",B2)+1,7))</f>
        <v>7</v>
      </c>
      <c r="G2" s="17">
        <f>C2+3</f>
        <v>51</v>
      </c>
      <c r="H2" s="17">
        <f>2*G2-(2*D2)-1-((LEN(A2)-LEN(SUBSTITUTE(A2,"_O_","")))/LEN("_O_"))*2-((LEN(A2)-LEN(SUBSTITUTE(A2,"_CHO_","")))/LEN("_CHO_"))*2-((LEN(A2)-LEN(SUBSTITUTE(A2,"_COOH_","")))/LEN("_COOH_"))*2</f>
        <v>87</v>
      </c>
      <c r="I2" s="17">
        <f>8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8</v>
      </c>
      <c r="J2" s="17">
        <v>1</v>
      </c>
      <c r="L2" s="19" t="str">
        <f>CONCATENATE("C",G2,"H",H2,"O",I2,"P",J2)</f>
        <v>C51H87O8P1</v>
      </c>
      <c r="M2" s="19">
        <f t="shared" ref="M2" si="0">(G2*12)+(H2*1.0078246)+(I2*15.994915)+(J2*30.973763)</f>
        <v>858.61382319999996</v>
      </c>
      <c r="N2" s="19">
        <f>M2+1.0078246-0.00055</f>
        <v>859.62109780000003</v>
      </c>
      <c r="O2" s="19">
        <f>N2-18.01057-0.00055</f>
        <v>841.60997780000002</v>
      </c>
      <c r="P2" s="19">
        <f>M2+18.03437-0.00055</f>
        <v>876.64764319999995</v>
      </c>
      <c r="Q2" s="19">
        <f>M2+22.98977-0.00055</f>
        <v>881.6030432</v>
      </c>
      <c r="R2" s="19">
        <f>M2+38.96371-0.00055</f>
        <v>897.57698319999997</v>
      </c>
      <c r="S2" s="19">
        <f>M2+7.01601-0.00055</f>
        <v>865.62928320000003</v>
      </c>
      <c r="T2" s="19">
        <f>M2-1.0078246+0.00055</f>
        <v>857.60654859999988</v>
      </c>
      <c r="U2" s="19">
        <f>M2+44.99767+0.00055</f>
        <v>903.6120431999999</v>
      </c>
      <c r="V2" s="19">
        <f>M2+59.01332+0.00055</f>
        <v>917.62769319999995</v>
      </c>
    </row>
    <row r="3" spans="1:23" x14ac:dyDescent="0.25">
      <c r="A3" s="17" t="s">
        <v>498</v>
      </c>
      <c r="B3" s="17" t="str">
        <f t="shared" ref="B3:B34" si="1">IF(ISNUMBER(SEARCH("(",A3)),IF(ISNUMBER(SEARCH("/",A3)),CONCATENATE(MID(A3,1,2),"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3,1,2)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>PA 20:0</v>
      </c>
      <c r="C3" s="1" t="str">
        <f t="shared" ref="C3:C34" si="2">MID(B3,4,FIND(":",B3)-FIND(" ",B3)-1)</f>
        <v>20</v>
      </c>
      <c r="D3" s="1" t="str">
        <f t="shared" ref="D3:D34" si="3">IF(ISNUMBER(SEARCH("__",B3)),MID(B3,FIND(":",B3)+1,FIND("__",B3)-FIND(":",B3)-1),MID(B3,FIND(":",B3)+1,7))</f>
        <v>0</v>
      </c>
      <c r="G3" s="17">
        <f t="shared" ref="G3:G34" si="4">C3+3</f>
        <v>23</v>
      </c>
      <c r="H3" s="17">
        <f t="shared" ref="H3:H34" si="5">2*G3-(2*D3)-1-((LEN(A3)-LEN(SUBSTITUTE(A3,"_O_","")))/LEN("_O_"))*2-((LEN(A3)-LEN(SUBSTITUTE(A3,"_CHO_","")))/LEN("_CHO_"))*2-((LEN(A3)-LEN(SUBSTITUTE(A3,"_COOH_","")))/LEN("_COOH_"))*2</f>
        <v>45</v>
      </c>
      <c r="I3" s="17">
        <f t="shared" ref="I3:I34" si="6">8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8</v>
      </c>
      <c r="J3" s="17">
        <v>1</v>
      </c>
      <c r="L3" s="19" t="str">
        <f t="shared" ref="L3:L34" si="7">CONCATENATE("C",G3,"H",H3,"O",I3,"P",J3)</f>
        <v>C23H45O8P1</v>
      </c>
      <c r="M3" s="19">
        <f t="shared" ref="M3:M35" si="8">(G3*12)+(H3*1.0078246)+(I3*15.994915)+(J3*30.973763)</f>
        <v>480.28519</v>
      </c>
      <c r="N3" s="19">
        <f t="shared" ref="N3:N34" si="9">M3+1.0078246-0.00055</f>
        <v>481.29246460000002</v>
      </c>
      <c r="O3" s="19">
        <f t="shared" ref="O3:O34" si="10">N3-18.01057-0.00055</f>
        <v>463.28134460000001</v>
      </c>
      <c r="P3" s="19">
        <f t="shared" ref="P3:P34" si="11">M3+18.03437-0.00055</f>
        <v>498.31901000000005</v>
      </c>
      <c r="Q3" s="19">
        <f t="shared" ref="Q3:Q34" si="12">M3+22.98977-0.00055</f>
        <v>503.27441000000005</v>
      </c>
      <c r="R3" s="19">
        <f t="shared" ref="R3:R34" si="13">M3+38.96371-0.00055</f>
        <v>519.24835000000007</v>
      </c>
      <c r="S3" s="19">
        <f t="shared" ref="S3:S34" si="14">M3+7.01601-0.00055</f>
        <v>487.30065000000002</v>
      </c>
      <c r="T3" s="19">
        <f t="shared" ref="T3:T34" si="15">M3-1.0078246+0.00055</f>
        <v>479.27791539999998</v>
      </c>
      <c r="U3" s="19">
        <f t="shared" ref="U3:U34" si="16">M3+44.99767+0.00055</f>
        <v>525.28341</v>
      </c>
      <c r="V3" s="19">
        <f t="shared" ref="V3:V34" si="17">M3+59.01332+0.00055</f>
        <v>539.29905999999994</v>
      </c>
    </row>
    <row r="4" spans="1:23" x14ac:dyDescent="0.25">
      <c r="A4" s="17" t="s">
        <v>499</v>
      </c>
      <c r="B4" s="17" t="str">
        <f t="shared" si="1"/>
        <v>PA 21:0</v>
      </c>
      <c r="C4" s="1" t="str">
        <f t="shared" si="2"/>
        <v>21</v>
      </c>
      <c r="D4" s="1" t="str">
        <f t="shared" si="3"/>
        <v>0</v>
      </c>
      <c r="G4" s="17">
        <f t="shared" si="4"/>
        <v>24</v>
      </c>
      <c r="H4" s="17">
        <f t="shared" si="5"/>
        <v>47</v>
      </c>
      <c r="I4" s="17">
        <f t="shared" si="6"/>
        <v>8</v>
      </c>
      <c r="J4" s="17">
        <v>1</v>
      </c>
      <c r="L4" s="19" t="str">
        <f t="shared" si="7"/>
        <v>C24H47O8P1</v>
      </c>
      <c r="M4" s="19">
        <f t="shared" si="8"/>
        <v>494.30083919999998</v>
      </c>
      <c r="N4" s="19">
        <f t="shared" si="9"/>
        <v>495.3081138</v>
      </c>
      <c r="O4" s="19">
        <f t="shared" si="10"/>
        <v>477.2969938</v>
      </c>
      <c r="P4" s="19">
        <f t="shared" si="11"/>
        <v>512.33465920000003</v>
      </c>
      <c r="Q4" s="19">
        <f t="shared" si="12"/>
        <v>517.29005919999997</v>
      </c>
      <c r="R4" s="19">
        <f t="shared" si="13"/>
        <v>533.26399920000006</v>
      </c>
      <c r="S4" s="19">
        <f t="shared" si="14"/>
        <v>501.3162992</v>
      </c>
      <c r="T4" s="19">
        <f t="shared" si="15"/>
        <v>493.29356459999997</v>
      </c>
      <c r="U4" s="19">
        <f t="shared" si="16"/>
        <v>539.29905919999999</v>
      </c>
      <c r="V4" s="19">
        <f t="shared" si="17"/>
        <v>553.31470919999992</v>
      </c>
    </row>
    <row r="5" spans="1:23" x14ac:dyDescent="0.25">
      <c r="A5" s="17" t="s">
        <v>500</v>
      </c>
      <c r="B5" s="17" t="str">
        <f t="shared" si="1"/>
        <v>PA 22:0</v>
      </c>
      <c r="C5" s="1" t="str">
        <f t="shared" si="2"/>
        <v>22</v>
      </c>
      <c r="D5" s="1" t="str">
        <f t="shared" si="3"/>
        <v>0</v>
      </c>
      <c r="G5" s="17">
        <f t="shared" si="4"/>
        <v>25</v>
      </c>
      <c r="H5" s="17">
        <f t="shared" si="5"/>
        <v>49</v>
      </c>
      <c r="I5" s="17">
        <f t="shared" si="6"/>
        <v>8</v>
      </c>
      <c r="J5" s="17">
        <v>1</v>
      </c>
      <c r="L5" s="19" t="str">
        <f t="shared" si="7"/>
        <v>C25H49O8P1</v>
      </c>
      <c r="M5" s="19">
        <f t="shared" si="8"/>
        <v>508.31648840000003</v>
      </c>
      <c r="N5" s="19">
        <f t="shared" si="9"/>
        <v>509.32376300000004</v>
      </c>
      <c r="O5" s="19">
        <f t="shared" si="10"/>
        <v>491.31264300000009</v>
      </c>
      <c r="P5" s="19">
        <f t="shared" si="11"/>
        <v>526.35030840000002</v>
      </c>
      <c r="Q5" s="19">
        <f t="shared" si="12"/>
        <v>531.30570840000007</v>
      </c>
      <c r="R5" s="19">
        <f t="shared" si="13"/>
        <v>547.27964840000004</v>
      </c>
      <c r="S5" s="19">
        <f t="shared" si="14"/>
        <v>515.3319484000001</v>
      </c>
      <c r="T5" s="19">
        <f t="shared" si="15"/>
        <v>507.30921380000001</v>
      </c>
      <c r="U5" s="19">
        <f t="shared" si="16"/>
        <v>553.31470839999997</v>
      </c>
      <c r="V5" s="19">
        <f t="shared" si="17"/>
        <v>567.33035840000002</v>
      </c>
    </row>
    <row r="6" spans="1:23" x14ac:dyDescent="0.25">
      <c r="A6" s="17" t="s">
        <v>501</v>
      </c>
      <c r="B6" s="17" t="str">
        <f t="shared" si="1"/>
        <v>PA 23:0</v>
      </c>
      <c r="C6" s="1" t="str">
        <f t="shared" si="2"/>
        <v>23</v>
      </c>
      <c r="D6" s="1" t="str">
        <f t="shared" si="3"/>
        <v>0</v>
      </c>
      <c r="G6" s="17">
        <f t="shared" si="4"/>
        <v>26</v>
      </c>
      <c r="H6" s="17">
        <f t="shared" si="5"/>
        <v>51</v>
      </c>
      <c r="I6" s="17">
        <f t="shared" si="6"/>
        <v>8</v>
      </c>
      <c r="J6" s="17">
        <v>1</v>
      </c>
      <c r="L6" s="19" t="str">
        <f t="shared" si="7"/>
        <v>C26H51O8P1</v>
      </c>
      <c r="M6" s="19">
        <f t="shared" si="8"/>
        <v>522.33213760000001</v>
      </c>
      <c r="N6" s="19">
        <f t="shared" si="9"/>
        <v>523.33941220000008</v>
      </c>
      <c r="O6" s="19">
        <f t="shared" si="10"/>
        <v>505.32829220000008</v>
      </c>
      <c r="P6" s="19">
        <f t="shared" si="11"/>
        <v>540.3659576</v>
      </c>
      <c r="Q6" s="19">
        <f t="shared" si="12"/>
        <v>545.32135760000006</v>
      </c>
      <c r="R6" s="19">
        <f t="shared" si="13"/>
        <v>561.29529760000003</v>
      </c>
      <c r="S6" s="19">
        <f t="shared" si="14"/>
        <v>529.34759760000009</v>
      </c>
      <c r="T6" s="19">
        <f t="shared" si="15"/>
        <v>521.32486299999994</v>
      </c>
      <c r="U6" s="19">
        <f t="shared" si="16"/>
        <v>567.33035759999996</v>
      </c>
      <c r="V6" s="19">
        <f t="shared" si="17"/>
        <v>581.34600760000001</v>
      </c>
    </row>
    <row r="7" spans="1:23" x14ac:dyDescent="0.25">
      <c r="A7" s="17" t="s">
        <v>446</v>
      </c>
      <c r="B7" s="17" t="str">
        <f t="shared" si="1"/>
        <v>PA 24:0</v>
      </c>
      <c r="C7" s="1" t="str">
        <f t="shared" si="2"/>
        <v>24</v>
      </c>
      <c r="D7" s="1" t="str">
        <f t="shared" si="3"/>
        <v>0</v>
      </c>
      <c r="G7" s="17">
        <f t="shared" si="4"/>
        <v>27</v>
      </c>
      <c r="H7" s="17">
        <f t="shared" si="5"/>
        <v>53</v>
      </c>
      <c r="I7" s="17">
        <f t="shared" si="6"/>
        <v>8</v>
      </c>
      <c r="J7" s="17">
        <v>1</v>
      </c>
      <c r="L7" s="19" t="str">
        <f t="shared" si="7"/>
        <v>C27H53O8P1</v>
      </c>
      <c r="M7" s="19">
        <f t="shared" si="8"/>
        <v>536.34778679999999</v>
      </c>
      <c r="N7" s="19">
        <f t="shared" si="9"/>
        <v>537.35506140000007</v>
      </c>
      <c r="O7" s="19">
        <f t="shared" si="10"/>
        <v>519.34394140000006</v>
      </c>
      <c r="P7" s="19">
        <f t="shared" si="11"/>
        <v>554.38160679999999</v>
      </c>
      <c r="Q7" s="19">
        <f t="shared" si="12"/>
        <v>559.33700680000004</v>
      </c>
      <c r="R7" s="19">
        <f t="shared" si="13"/>
        <v>575.31094680000001</v>
      </c>
      <c r="S7" s="19">
        <f t="shared" si="14"/>
        <v>543.36324680000007</v>
      </c>
      <c r="T7" s="19">
        <f t="shared" si="15"/>
        <v>535.34051219999992</v>
      </c>
      <c r="U7" s="19">
        <f t="shared" si="16"/>
        <v>581.34600679999994</v>
      </c>
      <c r="V7" s="19">
        <f t="shared" si="17"/>
        <v>595.36165679999999</v>
      </c>
    </row>
    <row r="8" spans="1:23" x14ac:dyDescent="0.25">
      <c r="A8" s="17" t="s">
        <v>502</v>
      </c>
      <c r="B8" s="17" t="str">
        <f t="shared" si="1"/>
        <v>PA 25:0</v>
      </c>
      <c r="C8" s="1" t="str">
        <f t="shared" si="2"/>
        <v>25</v>
      </c>
      <c r="D8" s="1" t="str">
        <f t="shared" si="3"/>
        <v>0</v>
      </c>
      <c r="G8" s="17">
        <f t="shared" si="4"/>
        <v>28</v>
      </c>
      <c r="H8" s="17">
        <f t="shared" si="5"/>
        <v>55</v>
      </c>
      <c r="I8" s="17">
        <f t="shared" si="6"/>
        <v>8</v>
      </c>
      <c r="J8" s="17">
        <v>1</v>
      </c>
      <c r="L8" s="19" t="str">
        <f t="shared" si="7"/>
        <v>C28H55O8P1</v>
      </c>
      <c r="M8" s="19">
        <f t="shared" si="8"/>
        <v>550.36343599999998</v>
      </c>
      <c r="N8" s="19">
        <f t="shared" si="9"/>
        <v>551.37071060000005</v>
      </c>
      <c r="O8" s="19">
        <f t="shared" si="10"/>
        <v>533.35959060000005</v>
      </c>
      <c r="P8" s="19">
        <f t="shared" si="11"/>
        <v>568.39725599999997</v>
      </c>
      <c r="Q8" s="19">
        <f t="shared" si="12"/>
        <v>573.35265600000002</v>
      </c>
      <c r="R8" s="19">
        <f t="shared" si="13"/>
        <v>589.326596</v>
      </c>
      <c r="S8" s="19">
        <f t="shared" si="14"/>
        <v>557.37889600000005</v>
      </c>
      <c r="T8" s="19">
        <f t="shared" si="15"/>
        <v>549.35616139999991</v>
      </c>
      <c r="U8" s="19">
        <f t="shared" si="16"/>
        <v>595.36165599999993</v>
      </c>
      <c r="V8" s="19">
        <f t="shared" si="17"/>
        <v>609.37730599999998</v>
      </c>
    </row>
    <row r="9" spans="1:23" x14ac:dyDescent="0.25">
      <c r="A9" s="17" t="s">
        <v>503</v>
      </c>
      <c r="B9" s="17" t="str">
        <f t="shared" si="1"/>
        <v>PA 26:0</v>
      </c>
      <c r="C9" s="1" t="str">
        <f t="shared" si="2"/>
        <v>26</v>
      </c>
      <c r="D9" s="1" t="str">
        <f t="shared" si="3"/>
        <v>0</v>
      </c>
      <c r="G9" s="17">
        <f t="shared" si="4"/>
        <v>29</v>
      </c>
      <c r="H9" s="17">
        <f t="shared" si="5"/>
        <v>57</v>
      </c>
      <c r="I9" s="17">
        <f t="shared" si="6"/>
        <v>8</v>
      </c>
      <c r="J9" s="17">
        <v>1</v>
      </c>
      <c r="L9" s="19" t="str">
        <f t="shared" si="7"/>
        <v>C29H57O8P1</v>
      </c>
      <c r="M9" s="19">
        <f t="shared" si="8"/>
        <v>564.37908519999996</v>
      </c>
      <c r="N9" s="19">
        <f t="shared" si="9"/>
        <v>565.38635980000004</v>
      </c>
      <c r="O9" s="19">
        <f t="shared" si="10"/>
        <v>547.37523980000003</v>
      </c>
      <c r="P9" s="19">
        <f t="shared" si="11"/>
        <v>582.41290519999995</v>
      </c>
      <c r="Q9" s="19">
        <f t="shared" si="12"/>
        <v>587.36830520000001</v>
      </c>
      <c r="R9" s="19">
        <f t="shared" si="13"/>
        <v>603.34224519999998</v>
      </c>
      <c r="S9" s="19">
        <f t="shared" si="14"/>
        <v>571.39454520000004</v>
      </c>
      <c r="T9" s="19">
        <f t="shared" si="15"/>
        <v>563.37181059999989</v>
      </c>
      <c r="U9" s="19">
        <f t="shared" si="16"/>
        <v>609.37730519999991</v>
      </c>
      <c r="V9" s="19">
        <f t="shared" si="17"/>
        <v>623.39295519999996</v>
      </c>
    </row>
    <row r="10" spans="1:23" x14ac:dyDescent="0.25">
      <c r="A10" s="17" t="s">
        <v>504</v>
      </c>
      <c r="B10" s="17" t="str">
        <f t="shared" si="1"/>
        <v>PA 27:0</v>
      </c>
      <c r="C10" s="1" t="str">
        <f t="shared" si="2"/>
        <v>27</v>
      </c>
      <c r="D10" s="1" t="str">
        <f t="shared" si="3"/>
        <v>0</v>
      </c>
      <c r="G10" s="17">
        <f t="shared" si="4"/>
        <v>30</v>
      </c>
      <c r="H10" s="17">
        <f t="shared" si="5"/>
        <v>59</v>
      </c>
      <c r="I10" s="17">
        <f t="shared" si="6"/>
        <v>8</v>
      </c>
      <c r="J10" s="17">
        <v>1</v>
      </c>
      <c r="L10" s="19" t="str">
        <f t="shared" si="7"/>
        <v>C30H59O8P1</v>
      </c>
      <c r="M10" s="19">
        <f t="shared" si="8"/>
        <v>578.39473439999995</v>
      </c>
      <c r="N10" s="19">
        <f t="shared" si="9"/>
        <v>579.40200900000002</v>
      </c>
      <c r="O10" s="19">
        <f t="shared" si="10"/>
        <v>561.39088900000002</v>
      </c>
      <c r="P10" s="19">
        <f t="shared" si="11"/>
        <v>596.42855439999994</v>
      </c>
      <c r="Q10" s="19">
        <f t="shared" si="12"/>
        <v>601.38395439999999</v>
      </c>
      <c r="R10" s="19">
        <f t="shared" si="13"/>
        <v>617.35789439999996</v>
      </c>
      <c r="S10" s="19">
        <f t="shared" si="14"/>
        <v>585.41019440000002</v>
      </c>
      <c r="T10" s="19">
        <f t="shared" si="15"/>
        <v>577.38745979999987</v>
      </c>
      <c r="U10" s="19">
        <f t="shared" si="16"/>
        <v>623.39295439999989</v>
      </c>
      <c r="V10" s="19">
        <f t="shared" si="17"/>
        <v>637.40860439999994</v>
      </c>
    </row>
    <row r="11" spans="1:23" x14ac:dyDescent="0.25">
      <c r="A11" s="17" t="s">
        <v>505</v>
      </c>
      <c r="B11" s="17" t="str">
        <f t="shared" si="1"/>
        <v>PA 28:0</v>
      </c>
      <c r="C11" s="1" t="str">
        <f t="shared" si="2"/>
        <v>28</v>
      </c>
      <c r="D11" s="1" t="str">
        <f t="shared" si="3"/>
        <v>0</v>
      </c>
      <c r="G11" s="17">
        <f t="shared" si="4"/>
        <v>31</v>
      </c>
      <c r="H11" s="17">
        <f t="shared" si="5"/>
        <v>61</v>
      </c>
      <c r="I11" s="17">
        <f t="shared" si="6"/>
        <v>8</v>
      </c>
      <c r="J11" s="17">
        <v>1</v>
      </c>
      <c r="L11" s="19" t="str">
        <f t="shared" si="7"/>
        <v>C31H61O8P1</v>
      </c>
      <c r="M11" s="19">
        <f t="shared" si="8"/>
        <v>592.41038359999993</v>
      </c>
      <c r="N11" s="19">
        <f t="shared" si="9"/>
        <v>593.41765820000001</v>
      </c>
      <c r="O11" s="19">
        <f t="shared" si="10"/>
        <v>575.4065382</v>
      </c>
      <c r="P11" s="19">
        <f t="shared" si="11"/>
        <v>610.44420359999992</v>
      </c>
      <c r="Q11" s="19">
        <f t="shared" si="12"/>
        <v>615.39960359999998</v>
      </c>
      <c r="R11" s="19">
        <f t="shared" si="13"/>
        <v>631.37354359999995</v>
      </c>
      <c r="S11" s="19">
        <f t="shared" si="14"/>
        <v>599.42584360000001</v>
      </c>
      <c r="T11" s="19">
        <f t="shared" si="15"/>
        <v>591.40310899999986</v>
      </c>
      <c r="U11" s="19">
        <f t="shared" si="16"/>
        <v>637.40860359999988</v>
      </c>
      <c r="V11" s="19">
        <f t="shared" si="17"/>
        <v>651.42425359999993</v>
      </c>
    </row>
    <row r="12" spans="1:23" x14ac:dyDescent="0.25">
      <c r="A12" s="17" t="s">
        <v>506</v>
      </c>
      <c r="B12" s="17" t="str">
        <f t="shared" si="1"/>
        <v>PA 29:0</v>
      </c>
      <c r="C12" s="1" t="str">
        <f t="shared" si="2"/>
        <v>29</v>
      </c>
      <c r="D12" s="1" t="str">
        <f t="shared" si="3"/>
        <v>0</v>
      </c>
      <c r="G12" s="17">
        <f t="shared" si="4"/>
        <v>32</v>
      </c>
      <c r="H12" s="17">
        <f t="shared" si="5"/>
        <v>63</v>
      </c>
      <c r="I12" s="17">
        <f t="shared" si="6"/>
        <v>8</v>
      </c>
      <c r="J12" s="17">
        <v>1</v>
      </c>
      <c r="L12" s="19" t="str">
        <f t="shared" si="7"/>
        <v>C32H63O8P1</v>
      </c>
      <c r="M12" s="19">
        <f t="shared" si="8"/>
        <v>606.42603280000003</v>
      </c>
      <c r="N12" s="19">
        <f t="shared" si="9"/>
        <v>607.4333074000001</v>
      </c>
      <c r="O12" s="19">
        <f t="shared" si="10"/>
        <v>589.4221874000001</v>
      </c>
      <c r="P12" s="19">
        <f t="shared" si="11"/>
        <v>624.45985280000002</v>
      </c>
      <c r="Q12" s="19">
        <f t="shared" si="12"/>
        <v>629.41525280000008</v>
      </c>
      <c r="R12" s="19">
        <f t="shared" si="13"/>
        <v>645.38919280000005</v>
      </c>
      <c r="S12" s="19">
        <f t="shared" si="14"/>
        <v>613.44149280000011</v>
      </c>
      <c r="T12" s="19">
        <f t="shared" si="15"/>
        <v>605.41875819999996</v>
      </c>
      <c r="U12" s="19">
        <f t="shared" si="16"/>
        <v>651.42425279999998</v>
      </c>
      <c r="V12" s="19">
        <f t="shared" si="17"/>
        <v>665.43990280000003</v>
      </c>
    </row>
    <row r="13" spans="1:23" x14ac:dyDescent="0.25">
      <c r="A13" s="17" t="s">
        <v>519</v>
      </c>
      <c r="B13" s="17" t="str">
        <f t="shared" si="1"/>
        <v>PA 30:2</v>
      </c>
      <c r="C13" s="1" t="str">
        <f t="shared" si="2"/>
        <v>30</v>
      </c>
      <c r="D13" s="1" t="str">
        <f t="shared" si="3"/>
        <v>2</v>
      </c>
      <c r="G13" s="17">
        <f t="shared" si="4"/>
        <v>33</v>
      </c>
      <c r="H13" s="17">
        <f t="shared" si="5"/>
        <v>61</v>
      </c>
      <c r="I13" s="17">
        <f t="shared" si="6"/>
        <v>8</v>
      </c>
      <c r="J13" s="17">
        <v>1</v>
      </c>
      <c r="L13" s="19" t="str">
        <f t="shared" si="7"/>
        <v>C33H61O8P1</v>
      </c>
      <c r="M13" s="19">
        <f t="shared" si="8"/>
        <v>616.41038359999993</v>
      </c>
      <c r="N13" s="19">
        <f t="shared" si="9"/>
        <v>617.41765820000001</v>
      </c>
      <c r="O13" s="19">
        <f t="shared" si="10"/>
        <v>599.4065382</v>
      </c>
      <c r="P13" s="19">
        <f t="shared" si="11"/>
        <v>634.44420359999992</v>
      </c>
      <c r="Q13" s="19">
        <f t="shared" si="12"/>
        <v>639.39960359999998</v>
      </c>
      <c r="R13" s="19">
        <f t="shared" si="13"/>
        <v>655.37354359999995</v>
      </c>
      <c r="S13" s="19">
        <f t="shared" si="14"/>
        <v>623.42584360000001</v>
      </c>
      <c r="T13" s="19">
        <f t="shared" si="15"/>
        <v>615.40310899999986</v>
      </c>
      <c r="U13" s="19">
        <f t="shared" si="16"/>
        <v>661.40860359999988</v>
      </c>
      <c r="V13" s="19">
        <f t="shared" si="17"/>
        <v>675.42425359999993</v>
      </c>
    </row>
    <row r="14" spans="1:23" x14ac:dyDescent="0.25">
      <c r="A14" s="17" t="s">
        <v>512</v>
      </c>
      <c r="B14" s="17" t="str">
        <f t="shared" si="1"/>
        <v>PA 30:1</v>
      </c>
      <c r="C14" s="1" t="str">
        <f t="shared" si="2"/>
        <v>30</v>
      </c>
      <c r="D14" s="1" t="str">
        <f t="shared" si="3"/>
        <v>1</v>
      </c>
      <c r="G14" s="17">
        <f t="shared" si="4"/>
        <v>33</v>
      </c>
      <c r="H14" s="17">
        <f t="shared" si="5"/>
        <v>63</v>
      </c>
      <c r="I14" s="17">
        <f t="shared" si="6"/>
        <v>8</v>
      </c>
      <c r="J14" s="17">
        <v>1</v>
      </c>
      <c r="L14" s="19" t="str">
        <f t="shared" si="7"/>
        <v>C33H63O8P1</v>
      </c>
      <c r="M14" s="19">
        <f t="shared" ref="M14" si="18">(G14*12)+(H14*1.0078246)+(I14*15.994915)+(J14*30.973763)</f>
        <v>618.42603280000003</v>
      </c>
      <c r="N14" s="19">
        <f t="shared" si="9"/>
        <v>619.4333074000001</v>
      </c>
      <c r="O14" s="19">
        <f t="shared" si="10"/>
        <v>601.4221874000001</v>
      </c>
      <c r="P14" s="19">
        <f t="shared" si="11"/>
        <v>636.45985280000002</v>
      </c>
      <c r="Q14" s="19">
        <f t="shared" si="12"/>
        <v>641.41525280000008</v>
      </c>
      <c r="R14" s="19">
        <f t="shared" si="13"/>
        <v>657.38919280000005</v>
      </c>
      <c r="S14" s="19">
        <f t="shared" si="14"/>
        <v>625.44149280000011</v>
      </c>
      <c r="T14" s="19">
        <f t="shared" si="15"/>
        <v>617.41875819999996</v>
      </c>
      <c r="U14" s="19">
        <f t="shared" si="16"/>
        <v>663.42425279999998</v>
      </c>
      <c r="V14" s="19">
        <f t="shared" si="17"/>
        <v>677.43990280000003</v>
      </c>
    </row>
    <row r="15" spans="1:23" x14ac:dyDescent="0.25">
      <c r="A15" s="17" t="s">
        <v>507</v>
      </c>
      <c r="B15" s="17" t="str">
        <f t="shared" si="1"/>
        <v>PA 30:0</v>
      </c>
      <c r="C15" s="1" t="str">
        <f t="shared" si="2"/>
        <v>30</v>
      </c>
      <c r="D15" s="1" t="str">
        <f t="shared" si="3"/>
        <v>0</v>
      </c>
      <c r="G15" s="17">
        <f t="shared" si="4"/>
        <v>33</v>
      </c>
      <c r="H15" s="17">
        <f t="shared" si="5"/>
        <v>65</v>
      </c>
      <c r="I15" s="17">
        <f t="shared" si="6"/>
        <v>8</v>
      </c>
      <c r="J15" s="17">
        <v>1</v>
      </c>
      <c r="L15" s="19" t="str">
        <f t="shared" si="7"/>
        <v>C33H65O8P1</v>
      </c>
      <c r="M15" s="19">
        <f t="shared" si="8"/>
        <v>620.44168200000001</v>
      </c>
      <c r="N15" s="19">
        <f t="shared" si="9"/>
        <v>621.44895660000009</v>
      </c>
      <c r="O15" s="19">
        <f t="shared" si="10"/>
        <v>603.43783660000008</v>
      </c>
      <c r="P15" s="19">
        <f t="shared" si="11"/>
        <v>638.47550200000001</v>
      </c>
      <c r="Q15" s="19">
        <f t="shared" si="12"/>
        <v>643.43090200000006</v>
      </c>
      <c r="R15" s="19">
        <f t="shared" si="13"/>
        <v>659.40484200000003</v>
      </c>
      <c r="S15" s="19">
        <f t="shared" si="14"/>
        <v>627.45714200000009</v>
      </c>
      <c r="T15" s="19">
        <f t="shared" si="15"/>
        <v>619.43440739999994</v>
      </c>
      <c r="U15" s="19">
        <f t="shared" si="16"/>
        <v>665.43990199999996</v>
      </c>
      <c r="V15" s="19">
        <f t="shared" si="17"/>
        <v>679.45555200000001</v>
      </c>
    </row>
    <row r="16" spans="1:23" x14ac:dyDescent="0.25">
      <c r="A16" s="17" t="s">
        <v>520</v>
      </c>
      <c r="B16" s="17" t="str">
        <f t="shared" si="1"/>
        <v>PA 31:2</v>
      </c>
      <c r="C16" s="1" t="str">
        <f t="shared" si="2"/>
        <v>31</v>
      </c>
      <c r="D16" s="1" t="str">
        <f t="shared" si="3"/>
        <v>2</v>
      </c>
      <c r="G16" s="17">
        <f t="shared" si="4"/>
        <v>34</v>
      </c>
      <c r="H16" s="17">
        <f t="shared" si="5"/>
        <v>63</v>
      </c>
      <c r="I16" s="17">
        <f t="shared" si="6"/>
        <v>8</v>
      </c>
      <c r="J16" s="17">
        <v>1</v>
      </c>
      <c r="L16" s="19" t="str">
        <f t="shared" si="7"/>
        <v>C34H63O8P1</v>
      </c>
      <c r="M16" s="19">
        <f t="shared" si="8"/>
        <v>630.42603280000003</v>
      </c>
      <c r="N16" s="19">
        <f t="shared" si="9"/>
        <v>631.4333074000001</v>
      </c>
      <c r="O16" s="19">
        <f t="shared" si="10"/>
        <v>613.4221874000001</v>
      </c>
      <c r="P16" s="19">
        <f t="shared" si="11"/>
        <v>648.45985280000002</v>
      </c>
      <c r="Q16" s="19">
        <f t="shared" si="12"/>
        <v>653.41525280000008</v>
      </c>
      <c r="R16" s="19">
        <f t="shared" si="13"/>
        <v>669.38919280000005</v>
      </c>
      <c r="S16" s="19">
        <f t="shared" si="14"/>
        <v>637.44149280000011</v>
      </c>
      <c r="T16" s="19">
        <f t="shared" si="15"/>
        <v>629.41875819999996</v>
      </c>
      <c r="U16" s="19">
        <f t="shared" si="16"/>
        <v>675.42425279999998</v>
      </c>
      <c r="V16" s="19">
        <f t="shared" si="17"/>
        <v>689.43990280000003</v>
      </c>
    </row>
    <row r="17" spans="1:22" x14ac:dyDescent="0.25">
      <c r="A17" s="17" t="s">
        <v>513</v>
      </c>
      <c r="B17" s="17" t="str">
        <f t="shared" si="1"/>
        <v>PA 31:1</v>
      </c>
      <c r="C17" s="1" t="str">
        <f t="shared" si="2"/>
        <v>31</v>
      </c>
      <c r="D17" s="1" t="str">
        <f t="shared" si="3"/>
        <v>1</v>
      </c>
      <c r="G17" s="17">
        <f t="shared" si="4"/>
        <v>34</v>
      </c>
      <c r="H17" s="17">
        <f t="shared" si="5"/>
        <v>65</v>
      </c>
      <c r="I17" s="17">
        <f t="shared" si="6"/>
        <v>8</v>
      </c>
      <c r="J17" s="17">
        <v>1</v>
      </c>
      <c r="L17" s="19" t="str">
        <f t="shared" si="7"/>
        <v>C34H65O8P1</v>
      </c>
      <c r="M17" s="19">
        <f t="shared" si="8"/>
        <v>632.44168200000001</v>
      </c>
      <c r="N17" s="19">
        <f t="shared" si="9"/>
        <v>633.44895660000009</v>
      </c>
      <c r="O17" s="19">
        <f t="shared" si="10"/>
        <v>615.43783660000008</v>
      </c>
      <c r="P17" s="19">
        <f t="shared" si="11"/>
        <v>650.47550200000001</v>
      </c>
      <c r="Q17" s="19">
        <f t="shared" si="12"/>
        <v>655.43090200000006</v>
      </c>
      <c r="R17" s="19">
        <f t="shared" si="13"/>
        <v>671.40484200000003</v>
      </c>
      <c r="S17" s="19">
        <f t="shared" si="14"/>
        <v>639.45714200000009</v>
      </c>
      <c r="T17" s="19">
        <f t="shared" si="15"/>
        <v>631.43440739999994</v>
      </c>
      <c r="U17" s="19">
        <f t="shared" si="16"/>
        <v>677.43990199999996</v>
      </c>
      <c r="V17" s="19">
        <f t="shared" si="17"/>
        <v>691.45555200000001</v>
      </c>
    </row>
    <row r="18" spans="1:22" x14ac:dyDescent="0.25">
      <c r="A18" s="17" t="s">
        <v>508</v>
      </c>
      <c r="B18" s="17" t="str">
        <f t="shared" si="1"/>
        <v>PA 31:0</v>
      </c>
      <c r="C18" s="1" t="str">
        <f t="shared" si="2"/>
        <v>31</v>
      </c>
      <c r="D18" s="1" t="str">
        <f t="shared" si="3"/>
        <v>0</v>
      </c>
      <c r="G18" s="17">
        <f t="shared" si="4"/>
        <v>34</v>
      </c>
      <c r="H18" s="17">
        <f t="shared" si="5"/>
        <v>67</v>
      </c>
      <c r="I18" s="17">
        <f t="shared" si="6"/>
        <v>8</v>
      </c>
      <c r="J18" s="17">
        <v>1</v>
      </c>
      <c r="L18" s="19" t="str">
        <f t="shared" si="7"/>
        <v>C34H67O8P1</v>
      </c>
      <c r="M18" s="19">
        <f t="shared" si="8"/>
        <v>634.4573312</v>
      </c>
      <c r="N18" s="19">
        <f t="shared" si="9"/>
        <v>635.46460580000007</v>
      </c>
      <c r="O18" s="19">
        <f t="shared" si="10"/>
        <v>617.45348580000007</v>
      </c>
      <c r="P18" s="19">
        <f t="shared" si="11"/>
        <v>652.49115119999999</v>
      </c>
      <c r="Q18" s="19">
        <f t="shared" si="12"/>
        <v>657.44655120000004</v>
      </c>
      <c r="R18" s="19">
        <f t="shared" si="13"/>
        <v>673.42049120000001</v>
      </c>
      <c r="S18" s="19">
        <f t="shared" si="14"/>
        <v>641.47279120000007</v>
      </c>
      <c r="T18" s="19">
        <f t="shared" si="15"/>
        <v>633.45005659999993</v>
      </c>
      <c r="U18" s="19">
        <f t="shared" si="16"/>
        <v>679.45555119999995</v>
      </c>
      <c r="V18" s="19">
        <f t="shared" si="17"/>
        <v>693.4712012</v>
      </c>
    </row>
    <row r="19" spans="1:22" x14ac:dyDescent="0.25">
      <c r="A19" s="17" t="s">
        <v>526</v>
      </c>
      <c r="B19" s="17" t="str">
        <f t="shared" si="1"/>
        <v>PA 32:3</v>
      </c>
      <c r="C19" s="1" t="str">
        <f t="shared" si="2"/>
        <v>32</v>
      </c>
      <c r="D19" s="1" t="str">
        <f t="shared" si="3"/>
        <v>3</v>
      </c>
      <c r="G19" s="17">
        <f t="shared" si="4"/>
        <v>35</v>
      </c>
      <c r="H19" s="17">
        <f t="shared" si="5"/>
        <v>63</v>
      </c>
      <c r="I19" s="17">
        <f t="shared" si="6"/>
        <v>8</v>
      </c>
      <c r="J19" s="17">
        <v>1</v>
      </c>
      <c r="L19" s="19" t="str">
        <f t="shared" si="7"/>
        <v>C35H63O8P1</v>
      </c>
      <c r="M19" s="19">
        <f t="shared" si="8"/>
        <v>642.42603280000003</v>
      </c>
      <c r="N19" s="19">
        <f t="shared" si="9"/>
        <v>643.4333074000001</v>
      </c>
      <c r="O19" s="19">
        <f t="shared" si="10"/>
        <v>625.4221874000001</v>
      </c>
      <c r="P19" s="19">
        <f t="shared" si="11"/>
        <v>660.45985280000002</v>
      </c>
      <c r="Q19" s="19">
        <f t="shared" si="12"/>
        <v>665.41525280000008</v>
      </c>
      <c r="R19" s="19">
        <f t="shared" si="13"/>
        <v>681.38919280000005</v>
      </c>
      <c r="S19" s="19">
        <f t="shared" si="14"/>
        <v>649.44149280000011</v>
      </c>
      <c r="T19" s="19">
        <f t="shared" si="15"/>
        <v>641.41875819999996</v>
      </c>
      <c r="U19" s="19">
        <f t="shared" si="16"/>
        <v>687.42425279999998</v>
      </c>
      <c r="V19" s="19">
        <f t="shared" si="17"/>
        <v>701.43990280000003</v>
      </c>
    </row>
    <row r="20" spans="1:22" x14ac:dyDescent="0.25">
      <c r="A20" s="17" t="s">
        <v>521</v>
      </c>
      <c r="B20" s="17" t="str">
        <f t="shared" si="1"/>
        <v>PA 32:2</v>
      </c>
      <c r="C20" s="1" t="str">
        <f t="shared" si="2"/>
        <v>32</v>
      </c>
      <c r="D20" s="1" t="str">
        <f t="shared" si="3"/>
        <v>2</v>
      </c>
      <c r="G20" s="17">
        <f t="shared" si="4"/>
        <v>35</v>
      </c>
      <c r="H20" s="17">
        <f t="shared" si="5"/>
        <v>65</v>
      </c>
      <c r="I20" s="17">
        <f t="shared" si="6"/>
        <v>8</v>
      </c>
      <c r="J20" s="17">
        <v>1</v>
      </c>
      <c r="L20" s="19" t="str">
        <f t="shared" si="7"/>
        <v>C35H65O8P1</v>
      </c>
      <c r="M20" s="19">
        <f t="shared" si="8"/>
        <v>644.44168200000001</v>
      </c>
      <c r="N20" s="19">
        <f t="shared" si="9"/>
        <v>645.44895660000009</v>
      </c>
      <c r="O20" s="19">
        <f t="shared" si="10"/>
        <v>627.43783660000008</v>
      </c>
      <c r="P20" s="19">
        <f t="shared" si="11"/>
        <v>662.47550200000001</v>
      </c>
      <c r="Q20" s="19">
        <f t="shared" si="12"/>
        <v>667.43090200000006</v>
      </c>
      <c r="R20" s="19">
        <f t="shared" si="13"/>
        <v>683.40484200000003</v>
      </c>
      <c r="S20" s="19">
        <f t="shared" si="14"/>
        <v>651.45714200000009</v>
      </c>
      <c r="T20" s="19">
        <f t="shared" si="15"/>
        <v>643.43440739999994</v>
      </c>
      <c r="U20" s="19">
        <f t="shared" si="16"/>
        <v>689.43990199999996</v>
      </c>
      <c r="V20" s="19">
        <f t="shared" si="17"/>
        <v>703.45555200000001</v>
      </c>
    </row>
    <row r="21" spans="1:22" x14ac:dyDescent="0.25">
      <c r="A21" s="17" t="s">
        <v>514</v>
      </c>
      <c r="B21" s="17" t="str">
        <f t="shared" si="1"/>
        <v>PA 32:1</v>
      </c>
      <c r="C21" s="1" t="str">
        <f t="shared" si="2"/>
        <v>32</v>
      </c>
      <c r="D21" s="1" t="str">
        <f t="shared" si="3"/>
        <v>1</v>
      </c>
      <c r="G21" s="17">
        <f t="shared" si="4"/>
        <v>35</v>
      </c>
      <c r="H21" s="17">
        <f t="shared" si="5"/>
        <v>67</v>
      </c>
      <c r="I21" s="17">
        <f t="shared" si="6"/>
        <v>8</v>
      </c>
      <c r="J21" s="17">
        <v>1</v>
      </c>
      <c r="L21" s="19" t="str">
        <f t="shared" si="7"/>
        <v>C35H67O8P1</v>
      </c>
      <c r="M21" s="19">
        <f t="shared" si="8"/>
        <v>646.4573312</v>
      </c>
      <c r="N21" s="19">
        <f t="shared" si="9"/>
        <v>647.46460580000007</v>
      </c>
      <c r="O21" s="19">
        <f t="shared" si="10"/>
        <v>629.45348580000007</v>
      </c>
      <c r="P21" s="19">
        <f t="shared" si="11"/>
        <v>664.49115119999999</v>
      </c>
      <c r="Q21" s="19">
        <f t="shared" si="12"/>
        <v>669.44655120000004</v>
      </c>
      <c r="R21" s="19">
        <f t="shared" si="13"/>
        <v>685.42049120000001</v>
      </c>
      <c r="S21" s="19">
        <f t="shared" si="14"/>
        <v>653.47279120000007</v>
      </c>
      <c r="T21" s="19">
        <f t="shared" si="15"/>
        <v>645.45005659999993</v>
      </c>
      <c r="U21" s="19">
        <f t="shared" si="16"/>
        <v>691.45555119999995</v>
      </c>
      <c r="V21" s="19">
        <f t="shared" si="17"/>
        <v>705.4712012</v>
      </c>
    </row>
    <row r="22" spans="1:22" x14ac:dyDescent="0.25">
      <c r="A22" s="17" t="s">
        <v>89</v>
      </c>
      <c r="B22" s="17" t="str">
        <f t="shared" si="1"/>
        <v>PA 32:0</v>
      </c>
      <c r="C22" s="1" t="str">
        <f t="shared" si="2"/>
        <v>32</v>
      </c>
      <c r="D22" s="1" t="str">
        <f t="shared" si="3"/>
        <v>0</v>
      </c>
      <c r="G22" s="17">
        <f t="shared" si="4"/>
        <v>35</v>
      </c>
      <c r="H22" s="17">
        <f t="shared" si="5"/>
        <v>69</v>
      </c>
      <c r="I22" s="17">
        <f t="shared" si="6"/>
        <v>8</v>
      </c>
      <c r="J22" s="17">
        <v>1</v>
      </c>
      <c r="L22" s="19" t="str">
        <f t="shared" si="7"/>
        <v>C35H69O8P1</v>
      </c>
      <c r="M22" s="19">
        <f t="shared" si="8"/>
        <v>648.47298039999998</v>
      </c>
      <c r="N22" s="19">
        <f t="shared" si="9"/>
        <v>649.48025500000006</v>
      </c>
      <c r="O22" s="19">
        <f t="shared" si="10"/>
        <v>631.46913500000005</v>
      </c>
      <c r="P22" s="19">
        <f t="shared" si="11"/>
        <v>666.50680039999997</v>
      </c>
      <c r="Q22" s="19">
        <f t="shared" si="12"/>
        <v>671.46220040000003</v>
      </c>
      <c r="R22" s="19">
        <f t="shared" si="13"/>
        <v>687.4361404</v>
      </c>
      <c r="S22" s="19">
        <f t="shared" si="14"/>
        <v>655.48844040000006</v>
      </c>
      <c r="T22" s="19">
        <f t="shared" si="15"/>
        <v>647.46570579999991</v>
      </c>
      <c r="U22" s="19">
        <f t="shared" si="16"/>
        <v>693.47120039999993</v>
      </c>
      <c r="V22" s="19">
        <f t="shared" si="17"/>
        <v>707.48685039999998</v>
      </c>
    </row>
    <row r="23" spans="1:22" x14ac:dyDescent="0.25">
      <c r="A23" s="17" t="s">
        <v>522</v>
      </c>
      <c r="B23" s="17" t="str">
        <f t="shared" si="1"/>
        <v>PA 33:2</v>
      </c>
      <c r="C23" s="1" t="str">
        <f t="shared" si="2"/>
        <v>33</v>
      </c>
      <c r="D23" s="1" t="str">
        <f t="shared" si="3"/>
        <v>2</v>
      </c>
      <c r="G23" s="17">
        <f t="shared" si="4"/>
        <v>36</v>
      </c>
      <c r="H23" s="17">
        <f t="shared" si="5"/>
        <v>67</v>
      </c>
      <c r="I23" s="17">
        <f t="shared" si="6"/>
        <v>8</v>
      </c>
      <c r="J23" s="17">
        <v>1</v>
      </c>
      <c r="L23" s="19" t="str">
        <f t="shared" si="7"/>
        <v>C36H67O8P1</v>
      </c>
      <c r="M23" s="19">
        <f t="shared" si="8"/>
        <v>658.4573312</v>
      </c>
      <c r="N23" s="19">
        <f t="shared" si="9"/>
        <v>659.46460580000007</v>
      </c>
      <c r="O23" s="19">
        <f t="shared" si="10"/>
        <v>641.45348580000007</v>
      </c>
      <c r="P23" s="19">
        <f t="shared" si="11"/>
        <v>676.49115119999999</v>
      </c>
      <c r="Q23" s="19">
        <f t="shared" si="12"/>
        <v>681.44655120000004</v>
      </c>
      <c r="R23" s="19">
        <f t="shared" si="13"/>
        <v>697.42049120000001</v>
      </c>
      <c r="S23" s="19">
        <f t="shared" si="14"/>
        <v>665.47279120000007</v>
      </c>
      <c r="T23" s="19">
        <f t="shared" si="15"/>
        <v>657.45005659999993</v>
      </c>
      <c r="U23" s="19">
        <f t="shared" si="16"/>
        <v>703.45555119999995</v>
      </c>
      <c r="V23" s="19">
        <f t="shared" si="17"/>
        <v>717.4712012</v>
      </c>
    </row>
    <row r="24" spans="1:22" x14ac:dyDescent="0.25">
      <c r="A24" s="17" t="s">
        <v>515</v>
      </c>
      <c r="B24" s="17" t="str">
        <f t="shared" si="1"/>
        <v>PA 33:1</v>
      </c>
      <c r="C24" s="1" t="str">
        <f t="shared" si="2"/>
        <v>33</v>
      </c>
      <c r="D24" s="1" t="str">
        <f t="shared" si="3"/>
        <v>1</v>
      </c>
      <c r="G24" s="17">
        <f t="shared" si="4"/>
        <v>36</v>
      </c>
      <c r="H24" s="17">
        <f t="shared" si="5"/>
        <v>69</v>
      </c>
      <c r="I24" s="17">
        <f t="shared" si="6"/>
        <v>8</v>
      </c>
      <c r="J24" s="17">
        <v>1</v>
      </c>
      <c r="L24" s="19" t="str">
        <f t="shared" si="7"/>
        <v>C36H69O8P1</v>
      </c>
      <c r="M24" s="19">
        <f t="shared" si="8"/>
        <v>660.47298039999998</v>
      </c>
      <c r="N24" s="19">
        <f t="shared" si="9"/>
        <v>661.48025500000006</v>
      </c>
      <c r="O24" s="19">
        <f t="shared" si="10"/>
        <v>643.46913500000005</v>
      </c>
      <c r="P24" s="19">
        <f t="shared" si="11"/>
        <v>678.50680039999997</v>
      </c>
      <c r="Q24" s="19">
        <f t="shared" si="12"/>
        <v>683.46220040000003</v>
      </c>
      <c r="R24" s="19">
        <f t="shared" si="13"/>
        <v>699.4361404</v>
      </c>
      <c r="S24" s="19">
        <f t="shared" si="14"/>
        <v>667.48844040000006</v>
      </c>
      <c r="T24" s="19">
        <f t="shared" si="15"/>
        <v>659.46570579999991</v>
      </c>
      <c r="U24" s="19">
        <f t="shared" si="16"/>
        <v>705.47120039999993</v>
      </c>
      <c r="V24" s="19">
        <f t="shared" si="17"/>
        <v>719.48685039999998</v>
      </c>
    </row>
    <row r="25" spans="1:22" x14ac:dyDescent="0.25">
      <c r="A25" s="17" t="s">
        <v>439</v>
      </c>
      <c r="B25" s="17" t="str">
        <f t="shared" si="1"/>
        <v>PA 33:0</v>
      </c>
      <c r="C25" s="1" t="str">
        <f t="shared" si="2"/>
        <v>33</v>
      </c>
      <c r="D25" s="1" t="str">
        <f t="shared" si="3"/>
        <v>0</v>
      </c>
      <c r="G25" s="17">
        <f t="shared" si="4"/>
        <v>36</v>
      </c>
      <c r="H25" s="17">
        <f t="shared" si="5"/>
        <v>71</v>
      </c>
      <c r="I25" s="17">
        <f t="shared" si="6"/>
        <v>8</v>
      </c>
      <c r="J25" s="17">
        <v>1</v>
      </c>
      <c r="L25" s="19" t="str">
        <f t="shared" si="7"/>
        <v>C36H71O8P1</v>
      </c>
      <c r="M25" s="19">
        <f t="shared" si="8"/>
        <v>662.48862959999997</v>
      </c>
      <c r="N25" s="19">
        <f t="shared" si="9"/>
        <v>663.49590420000004</v>
      </c>
      <c r="O25" s="19">
        <f t="shared" si="10"/>
        <v>645.48478420000004</v>
      </c>
      <c r="P25" s="19">
        <f t="shared" si="11"/>
        <v>680.52244959999996</v>
      </c>
      <c r="Q25" s="19">
        <f t="shared" si="12"/>
        <v>685.47784960000001</v>
      </c>
      <c r="R25" s="19">
        <f t="shared" si="13"/>
        <v>701.45178959999998</v>
      </c>
      <c r="S25" s="19">
        <f t="shared" si="14"/>
        <v>669.50408960000004</v>
      </c>
      <c r="T25" s="19">
        <f t="shared" si="15"/>
        <v>661.48135499999989</v>
      </c>
      <c r="U25" s="19">
        <f t="shared" si="16"/>
        <v>707.48684959999991</v>
      </c>
      <c r="V25" s="19">
        <f t="shared" si="17"/>
        <v>721.50249959999996</v>
      </c>
    </row>
    <row r="26" spans="1:22" x14ac:dyDescent="0.25">
      <c r="A26" s="17" t="s">
        <v>523</v>
      </c>
      <c r="B26" s="17" t="str">
        <f t="shared" si="1"/>
        <v>PA 34:2</v>
      </c>
      <c r="C26" s="1" t="str">
        <f t="shared" si="2"/>
        <v>34</v>
      </c>
      <c r="D26" s="1" t="str">
        <f t="shared" si="3"/>
        <v>2</v>
      </c>
      <c r="G26" s="17">
        <f t="shared" si="4"/>
        <v>37</v>
      </c>
      <c r="H26" s="17">
        <f t="shared" si="5"/>
        <v>69</v>
      </c>
      <c r="I26" s="17">
        <f t="shared" si="6"/>
        <v>8</v>
      </c>
      <c r="J26" s="17">
        <v>1</v>
      </c>
      <c r="L26" s="19" t="str">
        <f t="shared" si="7"/>
        <v>C37H69O8P1</v>
      </c>
      <c r="M26" s="19">
        <f t="shared" si="8"/>
        <v>672.47298039999998</v>
      </c>
      <c r="N26" s="19">
        <f t="shared" si="9"/>
        <v>673.48025500000006</v>
      </c>
      <c r="O26" s="19">
        <f t="shared" si="10"/>
        <v>655.46913500000005</v>
      </c>
      <c r="P26" s="19">
        <f t="shared" si="11"/>
        <v>690.50680039999997</v>
      </c>
      <c r="Q26" s="19">
        <f t="shared" si="12"/>
        <v>695.46220040000003</v>
      </c>
      <c r="R26" s="19">
        <f t="shared" si="13"/>
        <v>711.4361404</v>
      </c>
      <c r="S26" s="19">
        <f t="shared" si="14"/>
        <v>679.48844040000006</v>
      </c>
      <c r="T26" s="19">
        <f t="shared" si="15"/>
        <v>671.46570579999991</v>
      </c>
      <c r="U26" s="19">
        <f t="shared" si="16"/>
        <v>717.47120039999993</v>
      </c>
      <c r="V26" s="19">
        <f t="shared" si="17"/>
        <v>731.48685039999998</v>
      </c>
    </row>
    <row r="27" spans="1:22" x14ac:dyDescent="0.25">
      <c r="A27" s="17" t="s">
        <v>516</v>
      </c>
      <c r="B27" s="17" t="str">
        <f t="shared" si="1"/>
        <v>PA 34:1</v>
      </c>
      <c r="C27" s="1" t="str">
        <f t="shared" si="2"/>
        <v>34</v>
      </c>
      <c r="D27" s="1" t="str">
        <f t="shared" si="3"/>
        <v>1</v>
      </c>
      <c r="G27" s="17">
        <f t="shared" si="4"/>
        <v>37</v>
      </c>
      <c r="H27" s="17">
        <f t="shared" si="5"/>
        <v>71</v>
      </c>
      <c r="I27" s="17">
        <f t="shared" si="6"/>
        <v>8</v>
      </c>
      <c r="J27" s="17">
        <v>1</v>
      </c>
      <c r="L27" s="19" t="str">
        <f t="shared" si="7"/>
        <v>C37H71O8P1</v>
      </c>
      <c r="M27" s="19">
        <f t="shared" si="8"/>
        <v>674.48862959999997</v>
      </c>
      <c r="N27" s="19">
        <f t="shared" si="9"/>
        <v>675.49590420000004</v>
      </c>
      <c r="O27" s="19">
        <f t="shared" si="10"/>
        <v>657.48478420000004</v>
      </c>
      <c r="P27" s="19">
        <f t="shared" si="11"/>
        <v>692.52244959999996</v>
      </c>
      <c r="Q27" s="19">
        <f t="shared" si="12"/>
        <v>697.47784960000001</v>
      </c>
      <c r="R27" s="19">
        <f t="shared" si="13"/>
        <v>713.45178959999998</v>
      </c>
      <c r="S27" s="19">
        <f t="shared" si="14"/>
        <v>681.50408960000004</v>
      </c>
      <c r="T27" s="19">
        <f t="shared" si="15"/>
        <v>673.48135499999989</v>
      </c>
      <c r="U27" s="19">
        <f t="shared" si="16"/>
        <v>719.48684959999991</v>
      </c>
      <c r="V27" s="19">
        <f t="shared" si="17"/>
        <v>733.50249959999996</v>
      </c>
    </row>
    <row r="28" spans="1:22" x14ac:dyDescent="0.25">
      <c r="A28" s="17" t="s">
        <v>509</v>
      </c>
      <c r="B28" s="17" t="str">
        <f t="shared" si="1"/>
        <v>PA 34:0</v>
      </c>
      <c r="C28" s="1" t="str">
        <f t="shared" si="2"/>
        <v>34</v>
      </c>
      <c r="D28" s="1" t="str">
        <f t="shared" si="3"/>
        <v>0</v>
      </c>
      <c r="G28" s="17">
        <f t="shared" si="4"/>
        <v>37</v>
      </c>
      <c r="H28" s="17">
        <f t="shared" si="5"/>
        <v>73</v>
      </c>
      <c r="I28" s="17">
        <f t="shared" si="6"/>
        <v>8</v>
      </c>
      <c r="J28" s="17">
        <v>1</v>
      </c>
      <c r="L28" s="19" t="str">
        <f t="shared" si="7"/>
        <v>C37H73O8P1</v>
      </c>
      <c r="M28" s="19">
        <f t="shared" si="8"/>
        <v>676.50427879999995</v>
      </c>
      <c r="N28" s="19">
        <f t="shared" si="9"/>
        <v>677.51155340000003</v>
      </c>
      <c r="O28" s="19">
        <f t="shared" si="10"/>
        <v>659.50043340000002</v>
      </c>
      <c r="P28" s="19">
        <f t="shared" si="11"/>
        <v>694.53809879999994</v>
      </c>
      <c r="Q28" s="19">
        <f t="shared" si="12"/>
        <v>699.4934988</v>
      </c>
      <c r="R28" s="19">
        <f t="shared" si="13"/>
        <v>715.46743879999997</v>
      </c>
      <c r="S28" s="19">
        <f t="shared" si="14"/>
        <v>683.51973880000003</v>
      </c>
      <c r="T28" s="19">
        <f t="shared" si="15"/>
        <v>675.49700419999988</v>
      </c>
      <c r="U28" s="19">
        <f t="shared" si="16"/>
        <v>721.5024987999999</v>
      </c>
      <c r="V28" s="19">
        <f t="shared" si="17"/>
        <v>735.51814879999995</v>
      </c>
    </row>
    <row r="29" spans="1:22" x14ac:dyDescent="0.25">
      <c r="A29" s="17" t="s">
        <v>524</v>
      </c>
      <c r="B29" s="17" t="str">
        <f t="shared" si="1"/>
        <v>PA 35:2</v>
      </c>
      <c r="C29" s="1" t="str">
        <f t="shared" si="2"/>
        <v>35</v>
      </c>
      <c r="D29" s="1" t="str">
        <f t="shared" si="3"/>
        <v>2</v>
      </c>
      <c r="G29" s="17">
        <f t="shared" si="4"/>
        <v>38</v>
      </c>
      <c r="H29" s="17">
        <f t="shared" si="5"/>
        <v>71</v>
      </c>
      <c r="I29" s="17">
        <f t="shared" si="6"/>
        <v>8</v>
      </c>
      <c r="J29" s="17">
        <v>1</v>
      </c>
      <c r="L29" s="19" t="str">
        <f t="shared" si="7"/>
        <v>C38H71O8P1</v>
      </c>
      <c r="M29" s="19">
        <f t="shared" si="8"/>
        <v>686.48862959999997</v>
      </c>
      <c r="N29" s="19">
        <f t="shared" si="9"/>
        <v>687.49590420000004</v>
      </c>
      <c r="O29" s="19">
        <f t="shared" si="10"/>
        <v>669.48478420000004</v>
      </c>
      <c r="P29" s="19">
        <f t="shared" si="11"/>
        <v>704.52244959999996</v>
      </c>
      <c r="Q29" s="19">
        <f t="shared" si="12"/>
        <v>709.47784960000001</v>
      </c>
      <c r="R29" s="19">
        <f t="shared" si="13"/>
        <v>725.45178959999998</v>
      </c>
      <c r="S29" s="19">
        <f t="shared" si="14"/>
        <v>693.50408960000004</v>
      </c>
      <c r="T29" s="19">
        <f t="shared" si="15"/>
        <v>685.48135499999989</v>
      </c>
      <c r="U29" s="19">
        <f t="shared" si="16"/>
        <v>731.48684959999991</v>
      </c>
      <c r="V29" s="19">
        <f t="shared" si="17"/>
        <v>745.50249959999996</v>
      </c>
    </row>
    <row r="30" spans="1:22" x14ac:dyDescent="0.25">
      <c r="A30" s="17" t="s">
        <v>517</v>
      </c>
      <c r="B30" s="17" t="str">
        <f t="shared" si="1"/>
        <v>PA 35:1</v>
      </c>
      <c r="C30" s="1" t="str">
        <f t="shared" si="2"/>
        <v>35</v>
      </c>
      <c r="D30" s="1" t="str">
        <f t="shared" si="3"/>
        <v>1</v>
      </c>
      <c r="G30" s="17">
        <f t="shared" si="4"/>
        <v>38</v>
      </c>
      <c r="H30" s="17">
        <f t="shared" si="5"/>
        <v>73</v>
      </c>
      <c r="I30" s="17">
        <f t="shared" si="6"/>
        <v>8</v>
      </c>
      <c r="J30" s="17">
        <v>1</v>
      </c>
      <c r="L30" s="19" t="str">
        <f t="shared" si="7"/>
        <v>C38H73O8P1</v>
      </c>
      <c r="M30" s="19">
        <f t="shared" si="8"/>
        <v>688.50427879999995</v>
      </c>
      <c r="N30" s="19">
        <f t="shared" si="9"/>
        <v>689.51155340000003</v>
      </c>
      <c r="O30" s="19">
        <f t="shared" si="10"/>
        <v>671.50043340000002</v>
      </c>
      <c r="P30" s="19">
        <f t="shared" si="11"/>
        <v>706.53809879999994</v>
      </c>
      <c r="Q30" s="19">
        <f t="shared" si="12"/>
        <v>711.4934988</v>
      </c>
      <c r="R30" s="19">
        <f t="shared" si="13"/>
        <v>727.46743879999997</v>
      </c>
      <c r="S30" s="19">
        <f t="shared" si="14"/>
        <v>695.51973880000003</v>
      </c>
      <c r="T30" s="19">
        <f t="shared" si="15"/>
        <v>687.49700419999988</v>
      </c>
      <c r="U30" s="19">
        <f t="shared" si="16"/>
        <v>733.5024987999999</v>
      </c>
      <c r="V30" s="19">
        <f t="shared" si="17"/>
        <v>747.51814879999995</v>
      </c>
    </row>
    <row r="31" spans="1:22" x14ac:dyDescent="0.25">
      <c r="A31" s="17" t="s">
        <v>510</v>
      </c>
      <c r="B31" s="17" t="str">
        <f t="shared" si="1"/>
        <v>PA 35:0</v>
      </c>
      <c r="C31" s="1" t="str">
        <f t="shared" si="2"/>
        <v>35</v>
      </c>
      <c r="D31" s="1" t="str">
        <f t="shared" si="3"/>
        <v>0</v>
      </c>
      <c r="G31" s="17">
        <f t="shared" si="4"/>
        <v>38</v>
      </c>
      <c r="H31" s="17">
        <f t="shared" si="5"/>
        <v>75</v>
      </c>
      <c r="I31" s="17">
        <f t="shared" si="6"/>
        <v>8</v>
      </c>
      <c r="J31" s="17">
        <v>1</v>
      </c>
      <c r="L31" s="19" t="str">
        <f t="shared" si="7"/>
        <v>C38H75O8P1</v>
      </c>
      <c r="M31" s="19">
        <f t="shared" si="8"/>
        <v>690.51992800000005</v>
      </c>
      <c r="N31" s="19">
        <f t="shared" si="9"/>
        <v>691.52720260000012</v>
      </c>
      <c r="O31" s="19">
        <f t="shared" si="10"/>
        <v>673.51608260000012</v>
      </c>
      <c r="P31" s="19">
        <f t="shared" si="11"/>
        <v>708.55374800000004</v>
      </c>
      <c r="Q31" s="19">
        <f t="shared" si="12"/>
        <v>713.5091480000001</v>
      </c>
      <c r="R31" s="19">
        <f t="shared" si="13"/>
        <v>729.48308800000007</v>
      </c>
      <c r="S31" s="19">
        <f t="shared" si="14"/>
        <v>697.53538800000013</v>
      </c>
      <c r="T31" s="19">
        <f t="shared" si="15"/>
        <v>689.51265339999998</v>
      </c>
      <c r="U31" s="19">
        <f t="shared" si="16"/>
        <v>735.518148</v>
      </c>
      <c r="V31" s="19">
        <f t="shared" si="17"/>
        <v>749.53379800000005</v>
      </c>
    </row>
    <row r="32" spans="1:22" x14ac:dyDescent="0.25">
      <c r="A32" s="17" t="s">
        <v>525</v>
      </c>
      <c r="B32" s="17" t="str">
        <f t="shared" si="1"/>
        <v>PA 36:2</v>
      </c>
      <c r="C32" s="1" t="str">
        <f t="shared" si="2"/>
        <v>36</v>
      </c>
      <c r="D32" s="1" t="str">
        <f t="shared" si="3"/>
        <v>2</v>
      </c>
      <c r="G32" s="17">
        <f t="shared" si="4"/>
        <v>39</v>
      </c>
      <c r="H32" s="17">
        <f t="shared" si="5"/>
        <v>73</v>
      </c>
      <c r="I32" s="17">
        <f t="shared" si="6"/>
        <v>8</v>
      </c>
      <c r="J32" s="17">
        <v>1</v>
      </c>
      <c r="L32" s="19" t="str">
        <f t="shared" si="7"/>
        <v>C39H73O8P1</v>
      </c>
      <c r="M32" s="19">
        <f t="shared" si="8"/>
        <v>700.50427879999995</v>
      </c>
      <c r="N32" s="19">
        <f t="shared" si="9"/>
        <v>701.51155340000003</v>
      </c>
      <c r="O32" s="19">
        <f t="shared" si="10"/>
        <v>683.50043340000002</v>
      </c>
      <c r="P32" s="19">
        <f t="shared" si="11"/>
        <v>718.53809879999994</v>
      </c>
      <c r="Q32" s="19">
        <f t="shared" si="12"/>
        <v>723.4934988</v>
      </c>
      <c r="R32" s="19">
        <f t="shared" si="13"/>
        <v>739.46743879999997</v>
      </c>
      <c r="S32" s="19">
        <f t="shared" si="14"/>
        <v>707.51973880000003</v>
      </c>
      <c r="T32" s="19">
        <f t="shared" si="15"/>
        <v>699.49700419999988</v>
      </c>
      <c r="U32" s="19">
        <f t="shared" si="16"/>
        <v>745.5024987999999</v>
      </c>
      <c r="V32" s="19">
        <f t="shared" si="17"/>
        <v>759.51814879999995</v>
      </c>
    </row>
    <row r="33" spans="1:22" x14ac:dyDescent="0.25">
      <c r="A33" s="17" t="s">
        <v>518</v>
      </c>
      <c r="B33" s="17" t="str">
        <f t="shared" si="1"/>
        <v>PA 36:1</v>
      </c>
      <c r="C33" s="1" t="str">
        <f t="shared" si="2"/>
        <v>36</v>
      </c>
      <c r="D33" s="1" t="str">
        <f t="shared" si="3"/>
        <v>1</v>
      </c>
      <c r="G33" s="17">
        <f t="shared" si="4"/>
        <v>39</v>
      </c>
      <c r="H33" s="17">
        <f t="shared" si="5"/>
        <v>75</v>
      </c>
      <c r="I33" s="17">
        <f t="shared" si="6"/>
        <v>8</v>
      </c>
      <c r="J33" s="17">
        <v>1</v>
      </c>
      <c r="L33" s="19" t="str">
        <f t="shared" si="7"/>
        <v>C39H75O8P1</v>
      </c>
      <c r="M33" s="19">
        <f t="shared" si="8"/>
        <v>702.51992800000005</v>
      </c>
      <c r="N33" s="19">
        <f t="shared" si="9"/>
        <v>703.52720260000012</v>
      </c>
      <c r="O33" s="19">
        <f t="shared" si="10"/>
        <v>685.51608260000012</v>
      </c>
      <c r="P33" s="19">
        <f t="shared" si="11"/>
        <v>720.55374800000004</v>
      </c>
      <c r="Q33" s="19">
        <f t="shared" si="12"/>
        <v>725.5091480000001</v>
      </c>
      <c r="R33" s="19">
        <f t="shared" si="13"/>
        <v>741.48308800000007</v>
      </c>
      <c r="S33" s="19">
        <f t="shared" si="14"/>
        <v>709.53538800000013</v>
      </c>
      <c r="T33" s="19">
        <f t="shared" si="15"/>
        <v>701.51265339999998</v>
      </c>
      <c r="U33" s="19">
        <f t="shared" si="16"/>
        <v>747.518148</v>
      </c>
      <c r="V33" s="19">
        <f t="shared" si="17"/>
        <v>761.53379800000005</v>
      </c>
    </row>
    <row r="34" spans="1:22" x14ac:dyDescent="0.25">
      <c r="A34" s="17" t="s">
        <v>511</v>
      </c>
      <c r="B34" s="17" t="str">
        <f t="shared" si="1"/>
        <v>PA 36:0</v>
      </c>
      <c r="C34" s="1" t="str">
        <f t="shared" si="2"/>
        <v>36</v>
      </c>
      <c r="D34" s="1" t="str">
        <f t="shared" si="3"/>
        <v>0</v>
      </c>
      <c r="G34" s="17">
        <f t="shared" si="4"/>
        <v>39</v>
      </c>
      <c r="H34" s="17">
        <f t="shared" si="5"/>
        <v>77</v>
      </c>
      <c r="I34" s="17">
        <f t="shared" si="6"/>
        <v>8</v>
      </c>
      <c r="J34" s="17">
        <v>1</v>
      </c>
      <c r="L34" s="19" t="str">
        <f t="shared" si="7"/>
        <v>C39H77O8P1</v>
      </c>
      <c r="M34" s="19">
        <f t="shared" si="8"/>
        <v>704.53557720000003</v>
      </c>
      <c r="N34" s="19">
        <f t="shared" si="9"/>
        <v>705.54285180000011</v>
      </c>
      <c r="O34" s="19">
        <f t="shared" si="10"/>
        <v>687.5317318000001</v>
      </c>
      <c r="P34" s="19">
        <f t="shared" si="11"/>
        <v>722.56939720000003</v>
      </c>
      <c r="Q34" s="19">
        <f t="shared" si="12"/>
        <v>727.52479720000008</v>
      </c>
      <c r="R34" s="19">
        <f t="shared" si="13"/>
        <v>743.49873720000005</v>
      </c>
      <c r="S34" s="19">
        <f t="shared" si="14"/>
        <v>711.55103720000011</v>
      </c>
      <c r="T34" s="19">
        <f t="shared" si="15"/>
        <v>703.52830259999996</v>
      </c>
      <c r="U34" s="19">
        <f t="shared" si="16"/>
        <v>749.53379719999998</v>
      </c>
      <c r="V34" s="19">
        <f t="shared" si="17"/>
        <v>763.54944720000003</v>
      </c>
    </row>
    <row r="35" spans="1:22" x14ac:dyDescent="0.25">
      <c r="A35" s="17" t="s">
        <v>645</v>
      </c>
      <c r="B35" s="17" t="str">
        <f>IF(ISNUMBER(SEARCH("(",A35)),IF(ISNUMBER(SEARCH("/",A35)),CONCATENATE(MID(A35,1,2)," ",(SUM(MID(A35,FIND("(",A35)+1,FIND(":",A35)-FIND("(",A35)-1),MID(A35,FIND("/",A35)+1,FIND(":",A35,FIND("/",A35))-FIND("/",A35)-1))),":",SUM(MID(A35,FIND(":",A35)+1,FIND("/",A35)-FIND(":",A35)-1),MID(A35,FIND(":",A35,FIND("/",A35))+1,FIND(")",A35)-FIND(":",A35,FIND("/",A35))-1)),MID(A35,(FIND(")",A35)+1),100)),CONCATENATE(MID(A35,1,2)," ",(SUM(MID(A35,FIND("(",A35)+1,FIND(":",A35)-FIND("(",A35)-1),MID(A35,FIND("_",A35)+1,FIND(":",A35,FIND("_",A35))-FIND("_",A35)-1))),":",SUM(MID(A35,FIND(":",A35)+1,FIND("_",A35)-FIND(":",A35)-1),MID(A35,FIND(":",A35,FIND("_",A35))+1,FIND(")",A35)-FIND(":",A35,FIND("_",A35))-1)),MID(A35,(FIND(")",A35)+1),100))),A35)</f>
        <v>PA 37:0</v>
      </c>
      <c r="C35" s="1" t="str">
        <f>MID(B35,4,FIND(":",B35)-FIND(" ",B35)-1)</f>
        <v>37</v>
      </c>
      <c r="D35" s="1" t="str">
        <f>IF(ISNUMBER(SEARCH("__",B35)),MID(B35,FIND(":",B35)+1,FIND("__",B35)-FIND(":",B35)-1),MID(B35,FIND(":",B35)+1,7))</f>
        <v>0</v>
      </c>
      <c r="G35" s="17">
        <f>C35+3</f>
        <v>40</v>
      </c>
      <c r="H35" s="17">
        <f>2*G35-(2*D35)-1-((LEN(A35)-LEN(SUBSTITUTE(A35,"_O_","")))/LEN("_O_"))*2-((LEN(A35)-LEN(SUBSTITUTE(A35,"_CHO_","")))/LEN("_CHO_"))*2-((LEN(A35)-LEN(SUBSTITUTE(A35,"_COOH_","")))/LEN("_COOH_"))*2</f>
        <v>79</v>
      </c>
      <c r="I35" s="17">
        <f>8+((LEN(A35)-LEN(SUBSTITUTE(A35,"_OH_","")))/LEN("_OH_"))*1+((LEN(A35)-LEN(SUBSTITUTE(A35,"_OOH_","")))/LEN("_OOH_"))*2+((LEN(A35)-LEN(SUBSTITUTE(A35,"_O_","")))/LEN("_O_"))*1+((LEN(A35)-LEN(SUBSTITUTE(A35,"_CHO_","")))/LEN("_CHO_"))*1+((LEN(A35)-LEN(SUBSTITUTE(A35,"_COOH_","")))/LEN("_COOH_"))*2</f>
        <v>8</v>
      </c>
      <c r="J35" s="17">
        <v>1</v>
      </c>
      <c r="L35" s="19" t="str">
        <f>CONCATENATE("C",G35,"H",H35,"O",I35,"P",J35)</f>
        <v>C40H79O8P1</v>
      </c>
      <c r="M35" s="19">
        <f t="shared" si="8"/>
        <v>718.55122640000002</v>
      </c>
      <c r="N35" s="19">
        <f>M35+1.0078246-0.00055</f>
        <v>719.55850100000009</v>
      </c>
      <c r="O35" s="19">
        <f>N35-18.01057-0.00055</f>
        <v>701.54738100000009</v>
      </c>
      <c r="P35" s="19">
        <f>M35+18.03437-0.00055</f>
        <v>736.58504640000001</v>
      </c>
      <c r="Q35" s="19">
        <f>M35+22.98977-0.00055</f>
        <v>741.54044640000006</v>
      </c>
      <c r="R35" s="19">
        <f>M35+38.96371-0.00055</f>
        <v>757.51438640000003</v>
      </c>
      <c r="S35" s="19">
        <f>M35+7.01601-0.00055</f>
        <v>725.56668640000009</v>
      </c>
      <c r="T35" s="19">
        <f>M35-1.0078246+0.00055</f>
        <v>717.54395179999995</v>
      </c>
      <c r="U35" s="19">
        <f>M35+44.99767+0.00055</f>
        <v>763.54944639999997</v>
      </c>
      <c r="V35" s="19">
        <f>M35+59.01332+0.00055</f>
        <v>777.56509640000002</v>
      </c>
    </row>
    <row r="37" spans="1:22" x14ac:dyDescent="0.25">
      <c r="C37" s="1"/>
      <c r="D37" s="1"/>
    </row>
    <row r="38" spans="1:22" x14ac:dyDescent="0.25">
      <c r="C38" s="1"/>
      <c r="D38" s="1"/>
    </row>
    <row r="39" spans="1:22" x14ac:dyDescent="0.25">
      <c r="C39" s="1"/>
      <c r="D39" s="1"/>
    </row>
    <row r="40" spans="1:22" x14ac:dyDescent="0.25">
      <c r="C40" s="1"/>
      <c r="D40" s="1"/>
    </row>
    <row r="41" spans="1:22" x14ac:dyDescent="0.25">
      <c r="C41" s="1"/>
      <c r="D41" s="1"/>
    </row>
    <row r="42" spans="1:22" x14ac:dyDescent="0.25">
      <c r="C42" s="1"/>
      <c r="D42" s="1"/>
    </row>
    <row r="43" spans="1:22" x14ac:dyDescent="0.25">
      <c r="C43" s="1"/>
      <c r="D43" s="1"/>
    </row>
  </sheetData>
  <sortState ref="A2:Q25">
    <sortCondition ref="A2:A25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/>
  <dimension ref="A1:AC135"/>
  <sheetViews>
    <sheetView showGridLines="0" zoomScaleNormal="100" workbookViewId="0">
      <pane xSplit="1" ySplit="2" topLeftCell="B3" activePane="bottomRight" state="frozen"/>
      <selection pane="topRight"/>
      <selection pane="bottomLeft"/>
      <selection pane="bottomRight" activeCell="P14" sqref="P14"/>
    </sheetView>
  </sheetViews>
  <sheetFormatPr defaultColWidth="9.140625" defaultRowHeight="15.75" x14ac:dyDescent="0.25"/>
  <cols>
    <col min="1" max="1" width="17.140625" style="19" customWidth="1"/>
    <col min="2" max="2" width="0.42578125" style="17" customWidth="1"/>
    <col min="3" max="3" width="3.85546875" style="17" hidden="1" customWidth="1"/>
    <col min="4" max="4" width="2.5703125" style="17" hidden="1" customWidth="1"/>
    <col min="5" max="5" width="10.85546875" style="17" hidden="1" customWidth="1"/>
    <col min="6" max="6" width="12.140625" style="17" hidden="1" customWidth="1"/>
    <col min="7" max="7" width="9.5703125" style="17" hidden="1" customWidth="1"/>
    <col min="8" max="8" width="10.85546875" style="17" hidden="1" customWidth="1"/>
    <col min="9" max="9" width="9.5703125" style="17" hidden="1" customWidth="1"/>
    <col min="10" max="11" width="9.140625" style="17" hidden="1" customWidth="1"/>
    <col min="12" max="12" width="21.140625" style="19" customWidth="1"/>
    <col min="13" max="13" width="13.5703125" style="19" customWidth="1"/>
    <col min="14" max="14" width="15.5703125" style="19" customWidth="1"/>
    <col min="15" max="15" width="15.85546875" style="42" customWidth="1"/>
    <col min="16" max="16" width="15.42578125" style="42" customWidth="1"/>
    <col min="17" max="17" width="16.140625" style="42" customWidth="1"/>
    <col min="18" max="19" width="15.28515625" style="42" customWidth="1"/>
    <col min="20" max="20" width="16" style="19" customWidth="1"/>
    <col min="21" max="21" width="0.28515625" style="19" customWidth="1"/>
    <col min="22" max="22" width="5.85546875" style="19" hidden="1" customWidth="1"/>
    <col min="23" max="23" width="14.28515625" style="41" customWidth="1"/>
    <col min="24" max="24" width="15.42578125" style="17" hidden="1" customWidth="1"/>
    <col min="25" max="25" width="14.85546875" style="42" customWidth="1"/>
    <col min="26" max="26" width="16.140625" style="42" customWidth="1"/>
    <col min="27" max="27" width="15.28515625" style="42" customWidth="1"/>
    <col min="28" max="28" width="11.28515625" customWidth="1"/>
    <col min="29" max="29" width="10.85546875" customWidth="1"/>
  </cols>
  <sheetData>
    <row r="1" spans="1:29" s="28" customFormat="1" x14ac:dyDescent="0.25">
      <c r="A1" s="29" t="s">
        <v>59</v>
      </c>
      <c r="B1" s="27" t="s">
        <v>5</v>
      </c>
      <c r="C1" s="27"/>
      <c r="D1" s="27"/>
      <c r="E1" s="27" t="s">
        <v>0</v>
      </c>
      <c r="F1" s="27" t="s">
        <v>1</v>
      </c>
      <c r="G1" s="27" t="s">
        <v>8</v>
      </c>
      <c r="H1" s="27" t="s">
        <v>2</v>
      </c>
      <c r="I1" s="27" t="s">
        <v>9</v>
      </c>
      <c r="J1" s="27"/>
      <c r="K1" s="27"/>
      <c r="L1" s="29" t="s">
        <v>14</v>
      </c>
      <c r="M1" s="29" t="s">
        <v>3</v>
      </c>
      <c r="N1" s="29" t="s">
        <v>7</v>
      </c>
      <c r="O1" s="40" t="s">
        <v>13</v>
      </c>
      <c r="P1" s="40" t="s">
        <v>4</v>
      </c>
      <c r="Q1" s="40" t="s">
        <v>6</v>
      </c>
      <c r="R1" s="40" t="s">
        <v>29</v>
      </c>
      <c r="S1" s="40" t="s">
        <v>30</v>
      </c>
      <c r="T1" s="29" t="s">
        <v>12</v>
      </c>
      <c r="U1" s="29" t="s">
        <v>10</v>
      </c>
      <c r="V1" s="29" t="s">
        <v>11</v>
      </c>
      <c r="W1" s="40" t="s">
        <v>164</v>
      </c>
      <c r="X1" s="27"/>
      <c r="Y1" s="40" t="s">
        <v>617</v>
      </c>
      <c r="Z1" s="40" t="s">
        <v>618</v>
      </c>
      <c r="AA1" s="40" t="s">
        <v>619</v>
      </c>
      <c r="AB1" s="28" t="s">
        <v>620</v>
      </c>
      <c r="AC1" s="28" t="s">
        <v>621</v>
      </c>
    </row>
    <row r="2" spans="1:29" hidden="1" x14ac:dyDescent="0.25">
      <c r="A2" s="19" t="s">
        <v>71</v>
      </c>
      <c r="B2" s="17" t="str">
        <f t="shared" ref="B2:B10" si="0">IF(ISNUMBER(SEARCH("[",A2)),IF(ISNUMBER(SEARCH("/",A2)),CONCATENATE(MID(A2,1,2)," ",(SUM(MID(A2,FIND("[",A2)+1,FIND(":",A2)-FIND("[",A2)-1),MID(A2,FIND("/",A2)+1,FIND(":",A2,FIND("/",A2))-FIND("/",A2)-1),MID(A2,FIND("[",A2,FIND("[",A2)+1)+1,(FIND(":",A2,FIND("[",A2))-FIND("[",A2)-1)),MID(A2,FIND("/",A2,FIND("/",A2)+1)+1,FIND(":",A2,FIND("/",A2,FIND("[",A2,FIND("[",A2)+1)+1))-FIND("/",A2,FIND("[",A2,FIND("[",A2)+1)+1)-1))),":",SUM(MID(A2,FIND(":",A2)+1,FIND("/",A2)-FIND(":",A2)-1),MID(A2,FIND(":",A2,FIND("/",A2))+1,FIND("]",A2)-FIND(":",A2,FIND("/",A2))-1),MID(A2,FIND(":",A2,FIND("[",A2,FIND("[",A2)+1))+1,(FIND("/",A2,FIND("[",A2,FIND("[",A2)+1)+1)-FIND(":",A2,FIND("[",A2,FIND("[",A2)+1))-1)),MID(A2,FIND(":",A2,FIND("/",A2,FIND("]",A2)+1))+1,(FIND("]",A2,FIND("[",A2,FIND("[",A2)+1)+1)-FIND(":",A2,FIND("/",A2,FIND("]",A2)+1))-1))),MID(A2,(FIND(")",A2)+1),100)),CONCATENATE(MID(A2,1,2)," ",(SUM(MID(A2,FIND("[",A2)+1,FIND(":",A2)-FIND("[",A2)-1),MID(A2,FIND("_",A2)+1,FIND(":",A2,FIND("_",A2))-FIND("_",A2)-1),MID(A2,FIND("[",A2,FIND("[",A2)+1)+1,(FIND(":",A2,FIND("[",A2))-FIND("[",A2)-1)),MID(A2,FIND("_",A2,FIND("_",A2)+1)+1,FIND(":",A2,FIND("_",A2,FIND("[",A2,FIND("[",A2)+1)+1))-FIND("_",A2,FIND("[",A2,FIND("[",A2)+1)+1)-1))),":",SUM(MID(A2,FIND(":",A2)+1,FIND("_",A2)-FIND(":",A2)-1),MID(A2,FIND(":",A2,FIND("_",A2))+1,FIND("]",A2)-FIND(":",A2,FIND("_",A2))-1),MID(A2,FIND(":",A2,FIND("[",A2,FIND("[",A2)+1))+1,(FIND("_",A2,FIND("[",A2,FIND("[",A2)+1)+1)-FIND(":",A2,FIND("[",A2,FIND("[",A2)+1))-1)),MID(A2,FIND(":",A2,FIND("_",A2,FIND("]",A2)+1))+1,(FIND("]",A2,FIND("[",A2,FIND("[",A2)+1)+1)-FIND(":",A2,FIND("_",A2,FIND("]",A2)+1))-1))),MID(A2,(FIND(")",A2)+1),100))),A2)</f>
        <v>CL 70:8__O__</v>
      </c>
      <c r="C2" s="1" t="str">
        <f t="shared" ref="C2:C10" si="1">MID(B2,4,FIND(":",B2)-FIND(" ",B2)-1)</f>
        <v>70</v>
      </c>
      <c r="D2" s="1" t="str">
        <f t="shared" ref="D2:D10" si="2">IF(ISNUMBER(SEARCH("__",B2)),MID(B2,FIND(":",B2)+1,FIND("__",B2)-FIND(":",B2)-1),MID(B2,FIND(":",B2)+1,7))</f>
        <v>8</v>
      </c>
      <c r="E2" s="17">
        <f t="shared" ref="E2" si="3">C2+9</f>
        <v>79</v>
      </c>
      <c r="F2" s="17">
        <f t="shared" ref="F2" si="4">2*E2-(2*D2)-4-((LEN(A2)-LEN(SUBSTITUTE(A2,"_O_","")))/LEN("_O_"))*2-((LEN(A2)-LEN(SUBSTITUTE(A2,"_CHO_","")))/LEN("_CHO_"))*2-((LEN(A2)-LEN(SUBSTITUTE(A2,"_COOH_","")))/LEN("_COOH_"))*2</f>
        <v>136</v>
      </c>
      <c r="G2" s="17">
        <v>0</v>
      </c>
      <c r="H2" s="17">
        <f t="shared" ref="H2" si="5">17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18</v>
      </c>
      <c r="I2" s="17">
        <v>2</v>
      </c>
      <c r="L2" s="19" t="str">
        <f t="shared" ref="L2" si="6">CONCATENATE("C",E2,"H",F2,"O",H2,"P",I2)</f>
        <v>C79H136O18P2</v>
      </c>
      <c r="M2" s="19">
        <f t="shared" ref="M2" si="7">(E2*12)+(F2*1.0078246)+(G2*14.003074)+(H2*15.994915)+(I2*30.973763)</f>
        <v>1434.9201416000001</v>
      </c>
      <c r="N2" s="19">
        <f t="shared" ref="N2:N15" si="8">M2+1.0078246-0.00055</f>
        <v>1435.9274162000002</v>
      </c>
      <c r="O2" s="42">
        <f t="shared" ref="O2:O15" si="9">N2-18.01057-0.00055</f>
        <v>1417.9162962000003</v>
      </c>
      <c r="P2" s="42">
        <f t="shared" ref="P2" si="10">M2+18.03437-0.00055</f>
        <v>1452.9539616000002</v>
      </c>
      <c r="Q2" s="42">
        <f t="shared" ref="Q2" si="11">M2+22.98977-0.00055</f>
        <v>1457.9093616</v>
      </c>
      <c r="R2" s="42">
        <f t="shared" ref="R2" si="12">M2+38.96371-0.00055</f>
        <v>1473.8833016000001</v>
      </c>
      <c r="S2" s="42">
        <f t="shared" ref="S2" si="13">M2+7.01601-0.00055</f>
        <v>1441.9356016000002</v>
      </c>
      <c r="T2" s="19">
        <f t="shared" ref="T2" si="14">M2-1.0078246+0.00055</f>
        <v>1433.912867</v>
      </c>
      <c r="U2" s="19">
        <f t="shared" ref="U2" si="15">M2+44.99767+0.00055</f>
        <v>1479.9183616</v>
      </c>
      <c r="V2" s="19">
        <f t="shared" ref="V2" si="16">M2+59.01332+0.00055</f>
        <v>1493.9340116000001</v>
      </c>
      <c r="Y2" s="42">
        <f t="shared" ref="Y2" si="17">V2+18.03437-0.00055</f>
        <v>1511.9678316000002</v>
      </c>
      <c r="Z2" s="42">
        <f t="shared" ref="Z2" si="18">V2+22.98977-0.00055</f>
        <v>1516.9232316</v>
      </c>
      <c r="AA2" s="42">
        <f t="shared" ref="AA2" si="19">V2+38.96371-0.00055</f>
        <v>1532.8971716000001</v>
      </c>
    </row>
    <row r="3" spans="1:29" x14ac:dyDescent="0.25">
      <c r="A3" s="19" t="s">
        <v>216</v>
      </c>
      <c r="B3" s="17" t="str">
        <f t="shared" si="0"/>
        <v>CL 46:2</v>
      </c>
      <c r="C3" s="1" t="str">
        <f t="shared" si="1"/>
        <v>46</v>
      </c>
      <c r="D3" s="1" t="str">
        <f t="shared" si="2"/>
        <v>2</v>
      </c>
      <c r="E3" s="17">
        <f t="shared" ref="E3:E5" si="20">C3+9</f>
        <v>55</v>
      </c>
      <c r="F3" s="17">
        <f t="shared" ref="F3:F5" si="21">2*E3-(2*D3)-4-((LEN(A3)-LEN(SUBSTITUTE(A3,"_O_","")))/LEN("_O_"))*2-((LEN(A3)-LEN(SUBSTITUTE(A3,"_CHO_","")))/LEN("_CHO_"))*2-((LEN(A3)-LEN(SUBSTITUTE(A3,"_COOH_","")))/LEN("_COOH_"))*2</f>
        <v>102</v>
      </c>
      <c r="G3" s="17">
        <v>0</v>
      </c>
      <c r="H3" s="17">
        <f t="shared" ref="H3:H5" si="22">17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17</v>
      </c>
      <c r="I3" s="17">
        <v>2</v>
      </c>
      <c r="L3" s="19" t="str">
        <f t="shared" ref="L3:L5" si="23">CONCATENATE("C",E3,"H",F3,"O",H3,"P",I3)</f>
        <v>C55H102O17P2</v>
      </c>
      <c r="M3" s="19">
        <f t="shared" ref="M3:M5" si="24">(E3*12)+(F3*1.0078246)+(G3*14.003074)+(H3*15.994915)+(I3*30.973763)</f>
        <v>1096.6591902</v>
      </c>
      <c r="N3" s="19">
        <f t="shared" si="8"/>
        <v>1097.6664648000001</v>
      </c>
      <c r="O3" s="42">
        <f t="shared" si="9"/>
        <v>1079.6553448000002</v>
      </c>
      <c r="P3" s="42">
        <f t="shared" ref="P3:P5" si="25">M3+18.03437-0.00055</f>
        <v>1114.6930102000001</v>
      </c>
      <c r="Q3" s="42">
        <f t="shared" ref="Q3:Q5" si="26">M3+22.98977-0.00055</f>
        <v>1119.6484101999999</v>
      </c>
      <c r="R3" s="42">
        <f t="shared" ref="R3:R5" si="27">M3+38.96371-0.00055</f>
        <v>1135.6223502</v>
      </c>
      <c r="S3" s="42">
        <f t="shared" ref="S3:S5" si="28">M3+7.01601-0.00055</f>
        <v>1103.6746502000001</v>
      </c>
      <c r="T3" s="19">
        <f t="shared" ref="T3:T5" si="29">M3-1.0078246+0.00055</f>
        <v>1095.6519155999999</v>
      </c>
      <c r="U3" s="19">
        <f t="shared" ref="U3:U5" si="30">M3+44.99767+0.00055</f>
        <v>1141.6574102</v>
      </c>
      <c r="V3" s="19">
        <f t="shared" ref="V3:V5" si="31">M3+59.01332+0.00055</f>
        <v>1155.6730602</v>
      </c>
      <c r="W3" s="42">
        <f t="shared" ref="W3:W5" si="32">(T3-1.0078246+0.00055)/2</f>
        <v>547.32232049999993</v>
      </c>
      <c r="Y3" s="42">
        <f>($M3+2*(18.03437-0.00055))/2</f>
        <v>566.3634151</v>
      </c>
      <c r="Z3" s="42">
        <f>($M3+2*(22.98977-0.00055))/2</f>
        <v>571.31881510000005</v>
      </c>
      <c r="AA3" s="42">
        <f>($M3+2*(38.96371-0.00055))/2</f>
        <v>587.29275510000002</v>
      </c>
      <c r="AB3" s="42">
        <f>($M3+1.0078246+22.98977-(2*0.00055))/2</f>
        <v>560.32784240000001</v>
      </c>
      <c r="AC3" s="42">
        <f t="shared" ref="AC3:AC66" si="33">($M3+1.0078246+38.96371-(2*0.00055))/2</f>
        <v>568.31481240000005</v>
      </c>
    </row>
    <row r="4" spans="1:29" x14ac:dyDescent="0.25">
      <c r="A4" s="19" t="s">
        <v>217</v>
      </c>
      <c r="B4" s="17" t="str">
        <f t="shared" si="0"/>
        <v>CL 46:1</v>
      </c>
      <c r="C4" s="1" t="str">
        <f t="shared" si="1"/>
        <v>46</v>
      </c>
      <c r="D4" s="1" t="str">
        <f t="shared" si="2"/>
        <v>1</v>
      </c>
      <c r="E4" s="17">
        <f t="shared" si="20"/>
        <v>55</v>
      </c>
      <c r="F4" s="17">
        <f t="shared" si="21"/>
        <v>104</v>
      </c>
      <c r="G4" s="17">
        <v>0</v>
      </c>
      <c r="H4" s="17">
        <f t="shared" si="22"/>
        <v>17</v>
      </c>
      <c r="I4" s="17">
        <v>2</v>
      </c>
      <c r="L4" s="19" t="str">
        <f t="shared" si="23"/>
        <v>C55H104O17P2</v>
      </c>
      <c r="M4" s="19">
        <f t="shared" si="24"/>
        <v>1098.6748393999999</v>
      </c>
      <c r="N4" s="19">
        <f t="shared" si="8"/>
        <v>1099.682114</v>
      </c>
      <c r="O4" s="42">
        <f t="shared" si="9"/>
        <v>1081.6709940000001</v>
      </c>
      <c r="P4" s="42">
        <f t="shared" si="25"/>
        <v>1116.7086594</v>
      </c>
      <c r="Q4" s="42">
        <f t="shared" si="26"/>
        <v>1121.6640593999998</v>
      </c>
      <c r="R4" s="42">
        <f t="shared" si="27"/>
        <v>1137.6379993999999</v>
      </c>
      <c r="S4" s="42">
        <f t="shared" si="28"/>
        <v>1105.6902994</v>
      </c>
      <c r="T4" s="19">
        <f t="shared" si="29"/>
        <v>1097.6675647999998</v>
      </c>
      <c r="U4" s="19">
        <f t="shared" si="30"/>
        <v>1143.6730593999998</v>
      </c>
      <c r="V4" s="19">
        <f t="shared" si="31"/>
        <v>1157.6887093999999</v>
      </c>
      <c r="W4" s="42">
        <f t="shared" si="32"/>
        <v>548.33014509999987</v>
      </c>
      <c r="Y4" s="42">
        <f t="shared" ref="Y4:Y67" si="34">($M4+2*(18.03437-0.00055))/2</f>
        <v>567.37123969999993</v>
      </c>
      <c r="Z4" s="42">
        <f t="shared" ref="Z4:Z67" si="35">($M4+2*(22.98977-0.00055))/2</f>
        <v>572.32663969999999</v>
      </c>
      <c r="AA4" s="42">
        <f t="shared" ref="AA4:AA67" si="36">($M4+2*(38.96371-0.00055))/2</f>
        <v>588.30057969999996</v>
      </c>
      <c r="AB4" s="42">
        <f t="shared" ref="AB4:AB67" si="37">($M4+1.0078246+22.98977-(2*0.00055))/2</f>
        <v>561.33566699999994</v>
      </c>
      <c r="AC4" s="42">
        <f t="shared" si="33"/>
        <v>569.32263699999999</v>
      </c>
    </row>
    <row r="5" spans="1:29" x14ac:dyDescent="0.25">
      <c r="A5" s="19" t="s">
        <v>218</v>
      </c>
      <c r="B5" s="17" t="str">
        <f t="shared" si="0"/>
        <v>CL 46:0</v>
      </c>
      <c r="C5" s="1" t="str">
        <f t="shared" si="1"/>
        <v>46</v>
      </c>
      <c r="D5" s="1" t="str">
        <f t="shared" si="2"/>
        <v>0</v>
      </c>
      <c r="E5" s="17">
        <f t="shared" si="20"/>
        <v>55</v>
      </c>
      <c r="F5" s="17">
        <f t="shared" si="21"/>
        <v>106</v>
      </c>
      <c r="G5" s="17">
        <v>0</v>
      </c>
      <c r="H5" s="17">
        <f t="shared" si="22"/>
        <v>17</v>
      </c>
      <c r="I5" s="17">
        <v>2</v>
      </c>
      <c r="L5" s="19" t="str">
        <f t="shared" si="23"/>
        <v>C55H106O17P2</v>
      </c>
      <c r="M5" s="19">
        <f t="shared" si="24"/>
        <v>1100.6904886</v>
      </c>
      <c r="N5" s="19">
        <f t="shared" si="8"/>
        <v>1101.6977632000001</v>
      </c>
      <c r="O5" s="42">
        <f t="shared" si="9"/>
        <v>1083.6866432000002</v>
      </c>
      <c r="P5" s="42">
        <f t="shared" si="25"/>
        <v>1118.7243086000001</v>
      </c>
      <c r="Q5" s="42">
        <f t="shared" si="26"/>
        <v>1123.6797085999999</v>
      </c>
      <c r="R5" s="42">
        <f t="shared" si="27"/>
        <v>1139.6536486</v>
      </c>
      <c r="S5" s="42">
        <f t="shared" si="28"/>
        <v>1107.7059486000001</v>
      </c>
      <c r="T5" s="19">
        <f t="shared" si="29"/>
        <v>1099.6832139999999</v>
      </c>
      <c r="U5" s="19">
        <f t="shared" si="30"/>
        <v>1145.6887085999999</v>
      </c>
      <c r="V5" s="19">
        <f t="shared" si="31"/>
        <v>1159.7043586</v>
      </c>
      <c r="W5" s="42">
        <f t="shared" si="32"/>
        <v>549.33796969999992</v>
      </c>
      <c r="Y5" s="42">
        <f t="shared" si="34"/>
        <v>568.37906429999998</v>
      </c>
      <c r="Z5" s="42">
        <f t="shared" si="35"/>
        <v>573.33446430000004</v>
      </c>
      <c r="AA5" s="42">
        <f t="shared" si="36"/>
        <v>589.30840430000001</v>
      </c>
      <c r="AB5" s="42">
        <f t="shared" si="37"/>
        <v>562.34349159999999</v>
      </c>
      <c r="AC5" s="42">
        <f t="shared" si="33"/>
        <v>570.33046160000004</v>
      </c>
    </row>
    <row r="6" spans="1:29" x14ac:dyDescent="0.25">
      <c r="A6" s="19" t="s">
        <v>215</v>
      </c>
      <c r="B6" s="17" t="str">
        <f t="shared" si="0"/>
        <v>CL 47:2</v>
      </c>
      <c r="C6" s="1" t="str">
        <f t="shared" si="1"/>
        <v>47</v>
      </c>
      <c r="D6" s="1" t="str">
        <f t="shared" si="2"/>
        <v>2</v>
      </c>
      <c r="E6" s="17">
        <f t="shared" ref="E6" si="38">C6+9</f>
        <v>56</v>
      </c>
      <c r="F6" s="17">
        <f t="shared" ref="F6" si="39">2*E6-(2*D6)-4-((LEN(A6)-LEN(SUBSTITUTE(A6,"_O_","")))/LEN("_O_"))*2-((LEN(A6)-LEN(SUBSTITUTE(A6,"_CHO_","")))/LEN("_CHO_"))*2-((LEN(A6)-LEN(SUBSTITUTE(A6,"_COOH_","")))/LEN("_COOH_"))*2</f>
        <v>104</v>
      </c>
      <c r="G6" s="17">
        <v>0</v>
      </c>
      <c r="H6" s="17">
        <f t="shared" ref="H6" si="40">17+((LEN(A6)-LEN(SUBSTITUTE(A6,"_OH_","")))/LEN("_OH_"))*1+((LEN(A6)-LEN(SUBSTITUTE(A6,"_OOH_","")))/LEN("_OOH_"))*2+((LEN(A6)-LEN(SUBSTITUTE(A6,"_O_","")))/LEN("_O_"))*1+((LEN(A6)-LEN(SUBSTITUTE(A6,"_CHO_","")))/LEN("_CHO_"))*1+((LEN(A6)-LEN(SUBSTITUTE(A6,"_COOH_","")))/LEN("_COOH_"))*2</f>
        <v>17</v>
      </c>
      <c r="I6" s="17">
        <v>2</v>
      </c>
      <c r="L6" s="19" t="str">
        <f t="shared" ref="L6" si="41">CONCATENATE("C",E6,"H",F6,"O",H6,"P",I6)</f>
        <v>C56H104O17P2</v>
      </c>
      <c r="M6" s="19">
        <f t="shared" ref="M6" si="42">(E6*12)+(F6*1.0078246)+(G6*14.003074)+(H6*15.994915)+(I6*30.973763)</f>
        <v>1110.6748393999999</v>
      </c>
      <c r="N6" s="19">
        <f t="shared" si="8"/>
        <v>1111.682114</v>
      </c>
      <c r="O6" s="42">
        <f t="shared" si="9"/>
        <v>1093.6709940000001</v>
      </c>
      <c r="P6" s="42">
        <f t="shared" ref="P6" si="43">M6+18.03437-0.00055</f>
        <v>1128.7086594</v>
      </c>
      <c r="Q6" s="42">
        <f t="shared" ref="Q6" si="44">M6+22.98977-0.00055</f>
        <v>1133.6640593999998</v>
      </c>
      <c r="R6" s="42">
        <f t="shared" ref="R6" si="45">M6+38.96371-0.00055</f>
        <v>1149.6379993999999</v>
      </c>
      <c r="S6" s="42">
        <f t="shared" ref="S6" si="46">M6+7.01601-0.00055</f>
        <v>1117.6902994</v>
      </c>
      <c r="T6" s="19">
        <f t="shared" ref="T6" si="47">M6-1.0078246+0.00055</f>
        <v>1109.6675647999998</v>
      </c>
      <c r="U6" s="19">
        <f t="shared" ref="U6" si="48">M6+44.99767+0.00055</f>
        <v>1155.6730593999998</v>
      </c>
      <c r="V6" s="19">
        <f t="shared" ref="V6" si="49">M6+59.01332+0.00055</f>
        <v>1169.6887093999999</v>
      </c>
      <c r="W6" s="42">
        <f t="shared" ref="W6:W8" si="50">(T6-1.0078246+0.00055)/2</f>
        <v>554.33014509999987</v>
      </c>
      <c r="Y6" s="42">
        <f t="shared" si="34"/>
        <v>573.37123969999993</v>
      </c>
      <c r="Z6" s="42">
        <f t="shared" si="35"/>
        <v>578.32663969999999</v>
      </c>
      <c r="AA6" s="42">
        <f t="shared" si="36"/>
        <v>594.30057969999996</v>
      </c>
      <c r="AB6" s="42">
        <f t="shared" si="37"/>
        <v>567.33566699999994</v>
      </c>
      <c r="AC6" s="42">
        <f t="shared" si="33"/>
        <v>575.32263699999999</v>
      </c>
    </row>
    <row r="7" spans="1:29" x14ac:dyDescent="0.25">
      <c r="A7" s="19" t="s">
        <v>214</v>
      </c>
      <c r="B7" s="17" t="str">
        <f t="shared" si="0"/>
        <v>CL 47:1</v>
      </c>
      <c r="C7" s="1" t="str">
        <f t="shared" si="1"/>
        <v>47</v>
      </c>
      <c r="D7" s="1" t="str">
        <f t="shared" si="2"/>
        <v>1</v>
      </c>
      <c r="E7" s="17">
        <f t="shared" ref="E7" si="51">C7+9</f>
        <v>56</v>
      </c>
      <c r="F7" s="17">
        <f t="shared" ref="F7" si="52">2*E7-(2*D7)-4-((LEN(A7)-LEN(SUBSTITUTE(A7,"_O_","")))/LEN("_O_"))*2-((LEN(A7)-LEN(SUBSTITUTE(A7,"_CHO_","")))/LEN("_CHO_"))*2-((LEN(A7)-LEN(SUBSTITUTE(A7,"_COOH_","")))/LEN("_COOH_"))*2</f>
        <v>106</v>
      </c>
      <c r="G7" s="17">
        <v>0</v>
      </c>
      <c r="H7" s="17">
        <f t="shared" ref="H7" si="53">17+((LEN(A7)-LEN(SUBSTITUTE(A7,"_OH_","")))/LEN("_OH_"))*1+((LEN(A7)-LEN(SUBSTITUTE(A7,"_OOH_","")))/LEN("_OOH_"))*2+((LEN(A7)-LEN(SUBSTITUTE(A7,"_O_","")))/LEN("_O_"))*1+((LEN(A7)-LEN(SUBSTITUTE(A7,"_CHO_","")))/LEN("_CHO_"))*1+((LEN(A7)-LEN(SUBSTITUTE(A7,"_COOH_","")))/LEN("_COOH_"))*2</f>
        <v>17</v>
      </c>
      <c r="I7" s="17">
        <v>2</v>
      </c>
      <c r="L7" s="19" t="str">
        <f t="shared" ref="L7" si="54">CONCATENATE("C",E7,"H",F7,"O",H7,"P",I7)</f>
        <v>C56H106O17P2</v>
      </c>
      <c r="M7" s="19">
        <f t="shared" ref="M7" si="55">(E7*12)+(F7*1.0078246)+(G7*14.003074)+(H7*15.994915)+(I7*30.973763)</f>
        <v>1112.6904886</v>
      </c>
      <c r="N7" s="19">
        <f t="shared" si="8"/>
        <v>1113.6977632000001</v>
      </c>
      <c r="O7" s="42">
        <f t="shared" si="9"/>
        <v>1095.6866432000002</v>
      </c>
      <c r="P7" s="42">
        <f t="shared" ref="P7" si="56">M7+18.03437-0.00055</f>
        <v>1130.7243086000001</v>
      </c>
      <c r="Q7" s="42">
        <f t="shared" ref="Q7" si="57">M7+22.98977-0.00055</f>
        <v>1135.6797085999999</v>
      </c>
      <c r="R7" s="42">
        <f t="shared" ref="R7" si="58">M7+38.96371-0.00055</f>
        <v>1151.6536486</v>
      </c>
      <c r="S7" s="42">
        <f t="shared" ref="S7" si="59">M7+7.01601-0.00055</f>
        <v>1119.7059486000001</v>
      </c>
      <c r="T7" s="19">
        <f t="shared" ref="T7" si="60">M7-1.0078246+0.00055</f>
        <v>1111.6832139999999</v>
      </c>
      <c r="U7" s="19">
        <f t="shared" ref="U7" si="61">M7+44.99767+0.00055</f>
        <v>1157.6887085999999</v>
      </c>
      <c r="V7" s="19">
        <f t="shared" ref="V7" si="62">M7+59.01332+0.00055</f>
        <v>1171.7043586</v>
      </c>
      <c r="W7" s="42">
        <f t="shared" si="50"/>
        <v>555.33796969999992</v>
      </c>
      <c r="Y7" s="42">
        <f t="shared" si="34"/>
        <v>574.37906429999998</v>
      </c>
      <c r="Z7" s="42">
        <f t="shared" si="35"/>
        <v>579.33446430000004</v>
      </c>
      <c r="AA7" s="42">
        <f t="shared" si="36"/>
        <v>595.30840430000001</v>
      </c>
      <c r="AB7" s="42">
        <f t="shared" si="37"/>
        <v>568.34349159999999</v>
      </c>
      <c r="AC7" s="42">
        <f t="shared" si="33"/>
        <v>576.33046160000004</v>
      </c>
    </row>
    <row r="8" spans="1:29" x14ac:dyDescent="0.25">
      <c r="A8" s="19" t="s">
        <v>213</v>
      </c>
      <c r="B8" s="17" t="str">
        <f t="shared" si="0"/>
        <v>CL 47:0</v>
      </c>
      <c r="C8" s="1" t="str">
        <f t="shared" si="1"/>
        <v>47</v>
      </c>
      <c r="D8" s="1" t="str">
        <f t="shared" si="2"/>
        <v>0</v>
      </c>
      <c r="E8" s="17">
        <f t="shared" ref="E8" si="63">C8+9</f>
        <v>56</v>
      </c>
      <c r="F8" s="17">
        <f t="shared" ref="F8" si="64">2*E8-(2*D8)-4-((LEN(A8)-LEN(SUBSTITUTE(A8,"_O_","")))/LEN("_O_"))*2-((LEN(A8)-LEN(SUBSTITUTE(A8,"_CHO_","")))/LEN("_CHO_"))*2-((LEN(A8)-LEN(SUBSTITUTE(A8,"_COOH_","")))/LEN("_COOH_"))*2</f>
        <v>108</v>
      </c>
      <c r="G8" s="17">
        <v>0</v>
      </c>
      <c r="H8" s="17">
        <f t="shared" ref="H8" si="65">17+((LEN(A8)-LEN(SUBSTITUTE(A8,"_OH_","")))/LEN("_OH_"))*1+((LEN(A8)-LEN(SUBSTITUTE(A8,"_OOH_","")))/LEN("_OOH_"))*2+((LEN(A8)-LEN(SUBSTITUTE(A8,"_O_","")))/LEN("_O_"))*1+((LEN(A8)-LEN(SUBSTITUTE(A8,"_CHO_","")))/LEN("_CHO_"))*1+((LEN(A8)-LEN(SUBSTITUTE(A8,"_COOH_","")))/LEN("_COOH_"))*2</f>
        <v>17</v>
      </c>
      <c r="I8" s="17">
        <v>2</v>
      </c>
      <c r="L8" s="19" t="str">
        <f t="shared" ref="L8" si="66">CONCATENATE("C",E8,"H",F8,"O",H8,"P",I8)</f>
        <v>C56H108O17P2</v>
      </c>
      <c r="M8" s="19">
        <f t="shared" ref="M8" si="67">(E8*12)+(F8*1.0078246)+(G8*14.003074)+(H8*15.994915)+(I8*30.973763)</f>
        <v>1114.7061377999999</v>
      </c>
      <c r="N8" s="19">
        <f t="shared" si="8"/>
        <v>1115.7134123999999</v>
      </c>
      <c r="O8" s="42">
        <f t="shared" si="9"/>
        <v>1097.7022924</v>
      </c>
      <c r="P8" s="42">
        <f t="shared" ref="P8" si="68">M8+18.03437-0.00055</f>
        <v>1132.7399578</v>
      </c>
      <c r="Q8" s="42">
        <f t="shared" ref="Q8" si="69">M8+22.98977-0.00055</f>
        <v>1137.6953577999998</v>
      </c>
      <c r="R8" s="42">
        <f t="shared" ref="R8" si="70">M8+38.96371-0.00055</f>
        <v>1153.6692977999999</v>
      </c>
      <c r="S8" s="42">
        <f t="shared" ref="S8" si="71">M8+7.01601-0.00055</f>
        <v>1121.7215977999999</v>
      </c>
      <c r="T8" s="19">
        <f t="shared" ref="T8" si="72">M8-1.0078246+0.00055</f>
        <v>1113.6988631999998</v>
      </c>
      <c r="U8" s="19">
        <f t="shared" ref="U8" si="73">M8+44.99767+0.00055</f>
        <v>1159.7043577999998</v>
      </c>
      <c r="V8" s="19">
        <f t="shared" ref="V8" si="74">M8+59.01332+0.00055</f>
        <v>1173.7200077999998</v>
      </c>
      <c r="W8" s="42">
        <f t="shared" si="50"/>
        <v>556.34579429999985</v>
      </c>
      <c r="Y8" s="42">
        <f t="shared" si="34"/>
        <v>575.38688889999992</v>
      </c>
      <c r="Z8" s="42">
        <f t="shared" si="35"/>
        <v>580.34228889999997</v>
      </c>
      <c r="AA8" s="42">
        <f t="shared" si="36"/>
        <v>596.31622889999994</v>
      </c>
      <c r="AB8" s="42">
        <f t="shared" si="37"/>
        <v>569.35131619999993</v>
      </c>
      <c r="AC8" s="42">
        <f t="shared" si="33"/>
        <v>577.33828619999997</v>
      </c>
    </row>
    <row r="9" spans="1:29" x14ac:dyDescent="0.25">
      <c r="A9" s="19" t="s">
        <v>204</v>
      </c>
      <c r="B9" s="17" t="str">
        <f t="shared" si="0"/>
        <v>CL 48:2</v>
      </c>
      <c r="C9" s="1" t="str">
        <f t="shared" si="1"/>
        <v>48</v>
      </c>
      <c r="D9" s="1" t="str">
        <f t="shared" si="2"/>
        <v>2</v>
      </c>
      <c r="E9" s="17">
        <f t="shared" ref="E9" si="75">C9+9</f>
        <v>57</v>
      </c>
      <c r="F9" s="17">
        <f t="shared" ref="F9" si="76">2*E9-(2*D9)-4-((LEN(A9)-LEN(SUBSTITUTE(A9,"_O_","")))/LEN("_O_"))*2-((LEN(A9)-LEN(SUBSTITUTE(A9,"_CHO_","")))/LEN("_CHO_"))*2-((LEN(A9)-LEN(SUBSTITUTE(A9,"_COOH_","")))/LEN("_COOH_"))*2</f>
        <v>106</v>
      </c>
      <c r="G9" s="17">
        <v>0</v>
      </c>
      <c r="H9" s="17">
        <f t="shared" ref="H9" si="77">17+((LEN(A9)-LEN(SUBSTITUTE(A9,"_OH_","")))/LEN("_OH_"))*1+((LEN(A9)-LEN(SUBSTITUTE(A9,"_OOH_","")))/LEN("_OOH_"))*2+((LEN(A9)-LEN(SUBSTITUTE(A9,"_O_","")))/LEN("_O_"))*1+((LEN(A9)-LEN(SUBSTITUTE(A9,"_CHO_","")))/LEN("_CHO_"))*1+((LEN(A9)-LEN(SUBSTITUTE(A9,"_COOH_","")))/LEN("_COOH_"))*2</f>
        <v>17</v>
      </c>
      <c r="I9" s="17">
        <v>2</v>
      </c>
      <c r="L9" s="19" t="str">
        <f t="shared" ref="L9" si="78">CONCATENATE("C",E9,"H",F9,"O",H9,"P",I9)</f>
        <v>C57H106O17P2</v>
      </c>
      <c r="M9" s="19">
        <f t="shared" ref="M9" si="79">(E9*12)+(F9*1.0078246)+(G9*14.003074)+(H9*15.994915)+(I9*30.973763)</f>
        <v>1124.6904886</v>
      </c>
      <c r="N9" s="19">
        <f t="shared" si="8"/>
        <v>1125.6977632000001</v>
      </c>
      <c r="O9" s="42">
        <f t="shared" si="9"/>
        <v>1107.6866432000002</v>
      </c>
      <c r="P9" s="42">
        <f t="shared" ref="P9" si="80">M9+18.03437-0.00055</f>
        <v>1142.7243086000001</v>
      </c>
      <c r="Q9" s="42">
        <f t="shared" ref="Q9" si="81">M9+22.98977-0.00055</f>
        <v>1147.6797085999999</v>
      </c>
      <c r="R9" s="42">
        <f t="shared" ref="R9" si="82">M9+38.96371-0.00055</f>
        <v>1163.6536486</v>
      </c>
      <c r="S9" s="42">
        <f t="shared" ref="S9" si="83">M9+7.01601-0.00055</f>
        <v>1131.7059486000001</v>
      </c>
      <c r="T9" s="19">
        <f t="shared" ref="T9" si="84">M9-1.0078246+0.00055</f>
        <v>1123.6832139999999</v>
      </c>
      <c r="U9" s="19">
        <f t="shared" ref="U9" si="85">M9+44.99767+0.00055</f>
        <v>1169.6887085999999</v>
      </c>
      <c r="V9" s="19">
        <f t="shared" ref="V9" si="86">M9+59.01332+0.00055</f>
        <v>1183.7043586</v>
      </c>
      <c r="W9" s="42">
        <f t="shared" ref="W9:W118" si="87">(T9-1.0078246+0.00055)/2</f>
        <v>561.33796969999992</v>
      </c>
      <c r="Y9" s="42">
        <f t="shared" si="34"/>
        <v>580.37906429999998</v>
      </c>
      <c r="Z9" s="42">
        <f t="shared" si="35"/>
        <v>585.33446430000004</v>
      </c>
      <c r="AA9" s="42">
        <f t="shared" si="36"/>
        <v>601.30840430000001</v>
      </c>
      <c r="AB9" s="42">
        <f t="shared" si="37"/>
        <v>574.34349159999999</v>
      </c>
      <c r="AC9" s="42">
        <f t="shared" si="33"/>
        <v>582.33046160000004</v>
      </c>
    </row>
    <row r="10" spans="1:29" x14ac:dyDescent="0.25">
      <c r="A10" s="19" t="s">
        <v>184</v>
      </c>
      <c r="B10" s="17" t="str">
        <f t="shared" si="0"/>
        <v>CL 48:1</v>
      </c>
      <c r="C10" s="1" t="str">
        <f t="shared" si="1"/>
        <v>48</v>
      </c>
      <c r="D10" s="1" t="str">
        <f t="shared" si="2"/>
        <v>1</v>
      </c>
      <c r="E10" s="17">
        <f t="shared" ref="E10" si="88">C10+9</f>
        <v>57</v>
      </c>
      <c r="F10" s="17">
        <f t="shared" ref="F10" si="89">2*E10-(2*D10)-4-((LEN(A10)-LEN(SUBSTITUTE(A10,"_O_","")))/LEN("_O_"))*2-((LEN(A10)-LEN(SUBSTITUTE(A10,"_CHO_","")))/LEN("_CHO_"))*2-((LEN(A10)-LEN(SUBSTITUTE(A10,"_COOH_","")))/LEN("_COOH_"))*2</f>
        <v>108</v>
      </c>
      <c r="G10" s="17">
        <v>0</v>
      </c>
      <c r="H10" s="17">
        <f t="shared" ref="H10" si="90">17+((LEN(A10)-LEN(SUBSTITUTE(A10,"_OH_","")))/LEN("_OH_"))*1+((LEN(A10)-LEN(SUBSTITUTE(A10,"_OOH_","")))/LEN("_OOH_"))*2+((LEN(A10)-LEN(SUBSTITUTE(A10,"_O_","")))/LEN("_O_"))*1+((LEN(A10)-LEN(SUBSTITUTE(A10,"_CHO_","")))/LEN("_CHO_"))*1+((LEN(A10)-LEN(SUBSTITUTE(A10,"_COOH_","")))/LEN("_COOH_"))*2</f>
        <v>17</v>
      </c>
      <c r="I10" s="17">
        <v>2</v>
      </c>
      <c r="L10" s="19" t="str">
        <f t="shared" ref="L10" si="91">CONCATENATE("C",E10,"H",F10,"O",H10,"P",I10)</f>
        <v>C57H108O17P2</v>
      </c>
      <c r="M10" s="19">
        <f t="shared" ref="M10" si="92">(E10*12)+(F10*1.0078246)+(G10*14.003074)+(H10*15.994915)+(I10*30.973763)</f>
        <v>1126.7061377999999</v>
      </c>
      <c r="N10" s="19">
        <f t="shared" si="8"/>
        <v>1127.7134123999999</v>
      </c>
      <c r="O10" s="42">
        <f t="shared" si="9"/>
        <v>1109.7022924</v>
      </c>
      <c r="P10" s="42">
        <f t="shared" ref="P10" si="93">M10+18.03437-0.00055</f>
        <v>1144.7399578</v>
      </c>
      <c r="Q10" s="42">
        <f t="shared" ref="Q10" si="94">M10+22.98977-0.00055</f>
        <v>1149.6953577999998</v>
      </c>
      <c r="R10" s="42">
        <f t="shared" ref="R10" si="95">M10+38.96371-0.00055</f>
        <v>1165.6692977999999</v>
      </c>
      <c r="S10" s="42">
        <f t="shared" ref="S10" si="96">M10+7.01601-0.00055</f>
        <v>1133.7215977999999</v>
      </c>
      <c r="T10" s="19">
        <f t="shared" ref="T10" si="97">M10-1.0078246+0.00055</f>
        <v>1125.6988631999998</v>
      </c>
      <c r="U10" s="19">
        <f t="shared" ref="U10" si="98">M10+44.99767+0.00055</f>
        <v>1171.7043577999998</v>
      </c>
      <c r="V10" s="19">
        <f t="shared" ref="V10" si="99">M10+59.01332+0.00055</f>
        <v>1185.7200077999998</v>
      </c>
      <c r="W10" s="42">
        <f t="shared" si="87"/>
        <v>562.34579429999985</v>
      </c>
      <c r="Y10" s="42">
        <f t="shared" si="34"/>
        <v>581.38688889999992</v>
      </c>
      <c r="Z10" s="42">
        <f t="shared" si="35"/>
        <v>586.34228889999997</v>
      </c>
      <c r="AA10" s="42">
        <f t="shared" si="36"/>
        <v>602.31622889999994</v>
      </c>
      <c r="AB10" s="42">
        <f t="shared" si="37"/>
        <v>575.35131619999993</v>
      </c>
      <c r="AC10" s="42">
        <f t="shared" si="33"/>
        <v>583.33828619999997</v>
      </c>
    </row>
    <row r="11" spans="1:29" x14ac:dyDescent="0.25">
      <c r="A11" s="20" t="s">
        <v>138</v>
      </c>
      <c r="B11" s="17" t="str">
        <f t="shared" ref="B11:B121" si="100">IF(ISNUMBER(SEARCH("[",A11)),IF(ISNUMBER(SEARCH("/",A11)),CONCATENATE(MID(A11,1,2)," ",(SUM(MID(A11,FIND("[",A11)+1,FIND(":",A11)-FIND("[",A11)-1),MID(A11,FIND("/",A11)+1,FIND(":",A11,FIND("/",A11))-FIND("/",A11)-1),MID(A11,FIND("[",A11,FIND("[",A11)+1)+1,(FIND(":",A11,FIND("[",A11))-FIND("[",A11)-1)),MID(A11,FIND("/",A11,FIND("/",A11)+1)+1,FIND(":",A11,FIND("/",A11,FIND("[",A11,FIND("[",A11)+1)+1))-FIND("/",A11,FIND("[",A11,FIND("[",A11)+1)+1)-1))),":",SUM(MID(A11,FIND(":",A11)+1,FIND("/",A11)-FIND(":",A11)-1),MID(A11,FIND(":",A11,FIND("/",A11))+1,FIND("]",A11)-FIND(":",A11,FIND("/",A11))-1),MID(A11,FIND(":",A11,FIND("[",A11,FIND("[",A11)+1))+1,(FIND("/",A11,FIND("[",A11,FIND("[",A11)+1)+1)-FIND(":",A11,FIND("[",A11,FIND("[",A11)+1))-1)),MID(A11,FIND(":",A11,FIND("/",A11,FIND("]",A11)+1))+1,(FIND("]",A11,FIND("[",A11,FIND("[",A11)+1)+1)-FIND(":",A11,FIND("/",A11,FIND("]",A11)+1))-1))),MID(A11,(FIND(")",A11)+1),100)),CONCATENATE(MID(A11,1,2)," ",(SUM(MID(A11,FIND("[",A11)+1,FIND(":",A11)-FIND("[",A11)-1),MID(A11,FIND("_",A11)+1,FIND(":",A11,FIND("_",A11))-FIND("_",A11)-1),MID(A11,FIND("[",A11,FIND("[",A11)+1)+1,(FIND(":",A11,FIND("[",A11))-FIND("[",A11)-1)),MID(A11,FIND("_",A11,FIND("_",A11)+1)+1,FIND(":",A11,FIND("_",A11,FIND("[",A11,FIND("[",A11)+1)+1))-FIND("_",A11,FIND("[",A11,FIND("[",A11)+1)+1)-1))),":",SUM(MID(A11,FIND(":",A11)+1,FIND("_",A11)-FIND(":",A11)-1),MID(A11,FIND(":",A11,FIND("_",A11))+1,FIND("]",A11)-FIND(":",A11,FIND("_",A11))-1),MID(A11,FIND(":",A11,FIND("[",A11,FIND("[",A11)+1))+1,(FIND("_",A11,FIND("[",A11,FIND("[",A11)+1)+1)-FIND(":",A11,FIND("[",A11,FIND("[",A11)+1))-1)),MID(A11,FIND(":",A11,FIND("_",A11,FIND("]",A11)+1))+1,(FIND("]",A11,FIND("[",A11,FIND("[",A11)+1)+1)-FIND(":",A11,FIND("_",A11,FIND("]",A11)+1))-1))),MID(A11,(FIND(")",A11)+1),100))),A11)</f>
        <v>CL 48:0</v>
      </c>
      <c r="C11" s="1" t="str">
        <f t="shared" ref="C11:C121" si="101">MID(B11,4,FIND(":",B11)-FIND(" ",B11)-1)</f>
        <v>48</v>
      </c>
      <c r="D11" s="1" t="str">
        <f t="shared" ref="D11:D121" si="102">IF(ISNUMBER(SEARCH("__",B11)),MID(B11,FIND(":",B11)+1,FIND("__",B11)-FIND(":",B11)-1),MID(B11,FIND(":",B11)+1,7))</f>
        <v>0</v>
      </c>
      <c r="E11" s="17">
        <f t="shared" ref="E11:E121" si="103">C11+9</f>
        <v>57</v>
      </c>
      <c r="F11" s="17">
        <f t="shared" ref="F11:F121" si="104">2*E11-(2*D11)-4-((LEN(A11)-LEN(SUBSTITUTE(A11,"_O_","")))/LEN("_O_"))*2-((LEN(A11)-LEN(SUBSTITUTE(A11,"_CHO_","")))/LEN("_CHO_"))*2-((LEN(A11)-LEN(SUBSTITUTE(A11,"_COOH_","")))/LEN("_COOH_"))*2</f>
        <v>110</v>
      </c>
      <c r="G11" s="17">
        <v>0</v>
      </c>
      <c r="H11" s="17">
        <f t="shared" ref="H11:H121" si="105">17+((LEN(A11)-LEN(SUBSTITUTE(A11,"_OH_","")))/LEN("_OH_"))*1+((LEN(A11)-LEN(SUBSTITUTE(A11,"_OOH_","")))/LEN("_OOH_"))*2+((LEN(A11)-LEN(SUBSTITUTE(A11,"_O_","")))/LEN("_O_"))*1+((LEN(A11)-LEN(SUBSTITUTE(A11,"_CHO_","")))/LEN("_CHO_"))*1+((LEN(A11)-LEN(SUBSTITUTE(A11,"_COOH_","")))/LEN("_COOH_"))*2</f>
        <v>17</v>
      </c>
      <c r="I11" s="17">
        <v>2</v>
      </c>
      <c r="L11" s="19" t="str">
        <f t="shared" ref="L11:L117" si="106">CONCATENATE("C",E11,"H",F11,"O",H11,"P",I11)</f>
        <v>C57H110O17P2</v>
      </c>
      <c r="M11" s="19">
        <f t="shared" ref="M11:M117" si="107">(E11*12)+(F11*1.0078246)+(G11*14.003074)+(H11*15.994915)+(I11*30.973763)</f>
        <v>1128.7217869999999</v>
      </c>
      <c r="N11" s="19">
        <f t="shared" ref="N11:N117" si="108">M11+1.0078246-0.00055</f>
        <v>1129.7290616</v>
      </c>
      <c r="O11" s="42">
        <f t="shared" ref="O11:O117" si="109">N11-18.01057-0.00055</f>
        <v>1111.7179416000001</v>
      </c>
      <c r="P11" s="42">
        <f t="shared" ref="P11:P117" si="110">M11+18.03437-0.00055</f>
        <v>1146.7556070000001</v>
      </c>
      <c r="Q11" s="42">
        <f t="shared" ref="Q11:Q117" si="111">M11+22.98977-0.00055</f>
        <v>1151.7110069999999</v>
      </c>
      <c r="R11" s="42">
        <f t="shared" ref="R11:R117" si="112">M11+38.96371-0.00055</f>
        <v>1167.684947</v>
      </c>
      <c r="S11" s="42">
        <f t="shared" ref="S11:S117" si="113">M11+7.01601-0.00055</f>
        <v>1135.737247</v>
      </c>
      <c r="T11" s="19">
        <f t="shared" ref="T11:T117" si="114">M11-1.0078246+0.00055</f>
        <v>1127.7145123999999</v>
      </c>
      <c r="U11" s="19">
        <f t="shared" ref="U11:U117" si="115">M11+44.99767+0.00055</f>
        <v>1173.7200069999999</v>
      </c>
      <c r="V11" s="19">
        <f t="shared" ref="V11:V117" si="116">M11+59.01332+0.00055</f>
        <v>1187.7356569999999</v>
      </c>
      <c r="W11" s="42">
        <f t="shared" si="87"/>
        <v>563.3536188999999</v>
      </c>
      <c r="Y11" s="42">
        <f t="shared" si="34"/>
        <v>582.39471349999997</v>
      </c>
      <c r="Z11" s="42">
        <f t="shared" si="35"/>
        <v>587.35011350000002</v>
      </c>
      <c r="AA11" s="42">
        <f t="shared" si="36"/>
        <v>603.32405349999999</v>
      </c>
      <c r="AB11" s="42">
        <f t="shared" si="37"/>
        <v>576.35914079999998</v>
      </c>
      <c r="AC11" s="42">
        <f t="shared" si="33"/>
        <v>584.34611080000002</v>
      </c>
    </row>
    <row r="12" spans="1:29" x14ac:dyDescent="0.25">
      <c r="A12" s="20" t="s">
        <v>205</v>
      </c>
      <c r="B12" s="17" t="str">
        <f>IF(ISNUMBER(SEARCH("[",A12)),IF(ISNUMBER(SEARCH("/",A12)),CONCATENATE(MID(A12,1,2)," ",(SUM(MID(A12,FIND("[",A12)+1,FIND(":",A12)-FIND("[",A12)-1),MID(A12,FIND("/",A12)+1,FIND(":",A12,FIND("/",A12))-FIND("/",A12)-1),MID(A12,FIND("[",A12,FIND("[",A12)+1)+1,(FIND(":",A12,FIND("[",A12))-FIND("[",A12)-1)),MID(A12,FIND("/",A12,FIND("/",A12)+1)+1,FIND(":",A12,FIND("/",A12,FIND("[",A12,FIND("[",A12)+1)+1))-FIND("/",A12,FIND("[",A12,FIND("[",A12)+1)+1)-1))),":",SUM(MID(A12,FIND(":",A12)+1,FIND("/",A12)-FIND(":",A12)-1),MID(A12,FIND(":",A12,FIND("/",A12))+1,FIND("]",A12)-FIND(":",A12,FIND("/",A12))-1),MID(A12,FIND(":",A12,FIND("[",A12,FIND("[",A12)+1))+1,(FIND("/",A12,FIND("[",A12,FIND("[",A12)+1)+1)-FIND(":",A12,FIND("[",A12,FIND("[",A12)+1))-1)),MID(A12,FIND(":",A12,FIND("/",A12,FIND("]",A12)+1))+1,(FIND("]",A12,FIND("[",A12,FIND("[",A12)+1)+1)-FIND(":",A12,FIND("/",A12,FIND("]",A12)+1))-1))),MID(A12,(FIND(")",A12)+1),100)),CONCATENATE(MID(A12,1,2)," ",(SUM(MID(A12,FIND("[",A12)+1,FIND(":",A12)-FIND("[",A12)-1),MID(A12,FIND("_",A12)+1,FIND(":",A12,FIND("_",A12))-FIND("_",A12)-1),MID(A12,FIND("[",A12,FIND("[",A12)+1)+1,(FIND(":",A12,FIND("[",A12))-FIND("[",A12)-1)),MID(A12,FIND("_",A12,FIND("_",A12)+1)+1,FIND(":",A12,FIND("_",A12,FIND("[",A12,FIND("[",A12)+1)+1))-FIND("_",A12,FIND("[",A12,FIND("[",A12)+1)+1)-1))),":",SUM(MID(A12,FIND(":",A12)+1,FIND("_",A12)-FIND(":",A12)-1),MID(A12,FIND(":",A12,FIND("_",A12))+1,FIND("]",A12)-FIND(":",A12,FIND("_",A12))-1),MID(A12,FIND(":",A12,FIND("[",A12,FIND("[",A12)+1))+1,(FIND("_",A12,FIND("[",A12,FIND("[",A12)+1)+1)-FIND(":",A12,FIND("[",A12,FIND("[",A12)+1))-1)),MID(A12,FIND(":",A12,FIND("_",A12,FIND("]",A12)+1))+1,(FIND("]",A12,FIND("[",A12,FIND("[",A12)+1)+1)-FIND(":",A12,FIND("_",A12,FIND("]",A12)+1))-1))),MID(A12,(FIND(")",A12)+1),100))),A12)</f>
        <v>CL 49:2</v>
      </c>
      <c r="C12" s="1" t="str">
        <f>MID(B12,4,FIND(":",B12)-FIND(" ",B12)-1)</f>
        <v>49</v>
      </c>
      <c r="D12" s="1" t="str">
        <f>IF(ISNUMBER(SEARCH("__",B12)),MID(B12,FIND(":",B12)+1,FIND("__",B12)-FIND(":",B12)-1),MID(B12,FIND(":",B12)+1,7))</f>
        <v>2</v>
      </c>
      <c r="E12" s="17">
        <f t="shared" si="103"/>
        <v>58</v>
      </c>
      <c r="F12" s="17">
        <f t="shared" si="104"/>
        <v>108</v>
      </c>
      <c r="G12" s="17">
        <v>0</v>
      </c>
      <c r="H12" s="17">
        <f t="shared" si="105"/>
        <v>17</v>
      </c>
      <c r="I12" s="17">
        <v>2</v>
      </c>
      <c r="L12" s="19" t="str">
        <f t="shared" si="106"/>
        <v>C58H108O17P2</v>
      </c>
      <c r="M12" s="19">
        <f t="shared" si="107"/>
        <v>1138.7061377999999</v>
      </c>
      <c r="N12" s="19">
        <f t="shared" si="8"/>
        <v>1139.7134123999999</v>
      </c>
      <c r="O12" s="42">
        <f t="shared" si="9"/>
        <v>1121.7022924</v>
      </c>
      <c r="P12" s="42">
        <f t="shared" si="110"/>
        <v>1156.7399578</v>
      </c>
      <c r="Q12" s="42">
        <f t="shared" si="111"/>
        <v>1161.6953577999998</v>
      </c>
      <c r="R12" s="42">
        <f t="shared" si="112"/>
        <v>1177.6692977999999</v>
      </c>
      <c r="S12" s="42">
        <f t="shared" si="113"/>
        <v>1145.7215977999999</v>
      </c>
      <c r="T12" s="19">
        <f t="shared" si="114"/>
        <v>1137.6988631999998</v>
      </c>
      <c r="U12" s="19">
        <f t="shared" si="115"/>
        <v>1183.7043577999998</v>
      </c>
      <c r="V12" s="19">
        <f t="shared" si="116"/>
        <v>1197.7200077999998</v>
      </c>
      <c r="W12" s="42">
        <f t="shared" si="87"/>
        <v>568.34579429999985</v>
      </c>
      <c r="Y12" s="42">
        <f t="shared" si="34"/>
        <v>587.38688889999992</v>
      </c>
      <c r="Z12" s="42">
        <f t="shared" si="35"/>
        <v>592.34228889999997</v>
      </c>
      <c r="AA12" s="42">
        <f t="shared" si="36"/>
        <v>608.31622889999994</v>
      </c>
      <c r="AB12" s="42">
        <f t="shared" si="37"/>
        <v>581.35131619999993</v>
      </c>
      <c r="AC12" s="42">
        <f t="shared" si="33"/>
        <v>589.33828619999997</v>
      </c>
    </row>
    <row r="13" spans="1:29" x14ac:dyDescent="0.25">
      <c r="A13" s="20" t="s">
        <v>183</v>
      </c>
      <c r="B13" s="17" t="str">
        <f>IF(ISNUMBER(SEARCH("[",A13)),IF(ISNUMBER(SEARCH("/",A13)),CONCATENATE(MID(A13,1,2)," ",(SUM(MID(A13,FIND("[",A13)+1,FIND(":",A13)-FIND("[",A13)-1),MID(A13,FIND("/",A13)+1,FIND(":",A13,FIND("/",A13))-FIND("/",A13)-1),MID(A13,FIND("[",A13,FIND("[",A13)+1)+1,(FIND(":",A13,FIND("[",A13))-FIND("[",A13)-1)),MID(A13,FIND("/",A13,FIND("/",A13)+1)+1,FIND(":",A13,FIND("/",A13,FIND("[",A13,FIND("[",A13)+1)+1))-FIND("/",A13,FIND("[",A13,FIND("[",A13)+1)+1)-1))),":",SUM(MID(A13,FIND(":",A13)+1,FIND("/",A13)-FIND(":",A13)-1),MID(A13,FIND(":",A13,FIND("/",A13))+1,FIND("]",A13)-FIND(":",A13,FIND("/",A13))-1),MID(A13,FIND(":",A13,FIND("[",A13,FIND("[",A13)+1))+1,(FIND("/",A13,FIND("[",A13,FIND("[",A13)+1)+1)-FIND(":",A13,FIND("[",A13,FIND("[",A13)+1))-1)),MID(A13,FIND(":",A13,FIND("/",A13,FIND("]",A13)+1))+1,(FIND("]",A13,FIND("[",A13,FIND("[",A13)+1)+1)-FIND(":",A13,FIND("/",A13,FIND("]",A13)+1))-1))),MID(A13,(FIND(")",A13)+1),100)),CONCATENATE(MID(A13,1,2)," ",(SUM(MID(A13,FIND("[",A13)+1,FIND(":",A13)-FIND("[",A13)-1),MID(A13,FIND("_",A13)+1,FIND(":",A13,FIND("_",A13))-FIND("_",A13)-1),MID(A13,FIND("[",A13,FIND("[",A13)+1)+1,(FIND(":",A13,FIND("[",A13))-FIND("[",A13)-1)),MID(A13,FIND("_",A13,FIND("_",A13)+1)+1,FIND(":",A13,FIND("_",A13,FIND("[",A13,FIND("[",A13)+1)+1))-FIND("_",A13,FIND("[",A13,FIND("[",A13)+1)+1)-1))),":",SUM(MID(A13,FIND(":",A13)+1,FIND("_",A13)-FIND(":",A13)-1),MID(A13,FIND(":",A13,FIND("_",A13))+1,FIND("]",A13)-FIND(":",A13,FIND("_",A13))-1),MID(A13,FIND(":",A13,FIND("[",A13,FIND("[",A13)+1))+1,(FIND("_",A13,FIND("[",A13,FIND("[",A13)+1)+1)-FIND(":",A13,FIND("[",A13,FIND("[",A13)+1))-1)),MID(A13,FIND(":",A13,FIND("_",A13,FIND("]",A13)+1))+1,(FIND("]",A13,FIND("[",A13,FIND("[",A13)+1)+1)-FIND(":",A13,FIND("_",A13,FIND("]",A13)+1))-1))),MID(A13,(FIND(")",A13)+1),100))),A13)</f>
        <v>CL 49:1</v>
      </c>
      <c r="C13" s="1" t="str">
        <f>MID(B13,4,FIND(":",B13)-FIND(" ",B13)-1)</f>
        <v>49</v>
      </c>
      <c r="D13" s="1" t="str">
        <f>IF(ISNUMBER(SEARCH("__",B13)),MID(B13,FIND(":",B13)+1,FIND("__",B13)-FIND(":",B13)-1),MID(B13,FIND(":",B13)+1,7))</f>
        <v>1</v>
      </c>
      <c r="E13" s="17">
        <f t="shared" si="103"/>
        <v>58</v>
      </c>
      <c r="F13" s="17">
        <f t="shared" si="104"/>
        <v>110</v>
      </c>
      <c r="G13" s="17">
        <v>0</v>
      </c>
      <c r="H13" s="17">
        <f t="shared" si="105"/>
        <v>17</v>
      </c>
      <c r="I13" s="17">
        <v>2</v>
      </c>
      <c r="L13" s="19" t="str">
        <f t="shared" si="106"/>
        <v>C58H110O17P2</v>
      </c>
      <c r="M13" s="19">
        <f t="shared" si="107"/>
        <v>1140.7217869999999</v>
      </c>
      <c r="N13" s="19">
        <f t="shared" si="8"/>
        <v>1141.7290616</v>
      </c>
      <c r="O13" s="42">
        <f t="shared" si="9"/>
        <v>1123.7179416000001</v>
      </c>
      <c r="P13" s="42">
        <f t="shared" si="110"/>
        <v>1158.7556070000001</v>
      </c>
      <c r="Q13" s="42">
        <f t="shared" si="111"/>
        <v>1163.7110069999999</v>
      </c>
      <c r="R13" s="42">
        <f t="shared" si="112"/>
        <v>1179.684947</v>
      </c>
      <c r="S13" s="42">
        <f t="shared" si="113"/>
        <v>1147.737247</v>
      </c>
      <c r="T13" s="19">
        <f t="shared" si="114"/>
        <v>1139.7145123999999</v>
      </c>
      <c r="U13" s="19">
        <f t="shared" si="115"/>
        <v>1185.7200069999999</v>
      </c>
      <c r="V13" s="19">
        <f t="shared" si="116"/>
        <v>1199.7356569999999</v>
      </c>
      <c r="W13" s="42">
        <f t="shared" si="87"/>
        <v>569.3536188999999</v>
      </c>
      <c r="Y13" s="42">
        <f t="shared" si="34"/>
        <v>588.39471349999997</v>
      </c>
      <c r="Z13" s="42">
        <f t="shared" si="35"/>
        <v>593.35011350000002</v>
      </c>
      <c r="AA13" s="42">
        <f t="shared" si="36"/>
        <v>609.32405349999999</v>
      </c>
      <c r="AB13" s="42">
        <f t="shared" si="37"/>
        <v>582.35914079999998</v>
      </c>
      <c r="AC13" s="42">
        <f t="shared" si="33"/>
        <v>590.34611080000002</v>
      </c>
    </row>
    <row r="14" spans="1:29" x14ac:dyDescent="0.25">
      <c r="A14" s="20" t="s">
        <v>141</v>
      </c>
      <c r="B14" s="17" t="str">
        <f t="shared" si="100"/>
        <v>CL 49:0</v>
      </c>
      <c r="C14" s="1" t="str">
        <f t="shared" si="101"/>
        <v>49</v>
      </c>
      <c r="D14" s="1" t="str">
        <f t="shared" si="102"/>
        <v>0</v>
      </c>
      <c r="E14" s="17">
        <f t="shared" si="103"/>
        <v>58</v>
      </c>
      <c r="F14" s="17">
        <f t="shared" si="104"/>
        <v>112</v>
      </c>
      <c r="G14" s="17">
        <v>0</v>
      </c>
      <c r="H14" s="17">
        <f t="shared" si="105"/>
        <v>17</v>
      </c>
      <c r="I14" s="17">
        <v>2</v>
      </c>
      <c r="L14" s="19" t="str">
        <f t="shared" si="106"/>
        <v>C58H112O17P2</v>
      </c>
      <c r="M14" s="19">
        <f t="shared" si="107"/>
        <v>1142.7374362</v>
      </c>
      <c r="N14" s="19">
        <f t="shared" si="108"/>
        <v>1143.7447108000001</v>
      </c>
      <c r="O14" s="42">
        <f t="shared" si="109"/>
        <v>1125.7335908000002</v>
      </c>
      <c r="P14" s="42">
        <f t="shared" si="110"/>
        <v>1160.7712562000002</v>
      </c>
      <c r="Q14" s="42">
        <f t="shared" si="111"/>
        <v>1165.7266562</v>
      </c>
      <c r="R14" s="42">
        <f t="shared" si="112"/>
        <v>1181.7005962000001</v>
      </c>
      <c r="S14" s="42">
        <f t="shared" si="113"/>
        <v>1149.7528962000001</v>
      </c>
      <c r="T14" s="19">
        <f t="shared" si="114"/>
        <v>1141.7301616</v>
      </c>
      <c r="U14" s="19">
        <f t="shared" si="115"/>
        <v>1187.7356562</v>
      </c>
      <c r="V14" s="19">
        <f t="shared" si="116"/>
        <v>1201.7513062</v>
      </c>
      <c r="W14" s="42">
        <f t="shared" si="87"/>
        <v>570.36144349999995</v>
      </c>
      <c r="Y14" s="42">
        <f t="shared" si="34"/>
        <v>589.40253810000002</v>
      </c>
      <c r="Z14" s="42">
        <f t="shared" si="35"/>
        <v>594.35793810000007</v>
      </c>
      <c r="AA14" s="42">
        <f t="shared" si="36"/>
        <v>610.33187810000004</v>
      </c>
      <c r="AB14" s="42">
        <f t="shared" si="37"/>
        <v>583.36696540000003</v>
      </c>
      <c r="AC14" s="42">
        <f t="shared" si="33"/>
        <v>591.35393540000007</v>
      </c>
    </row>
    <row r="15" spans="1:29" x14ac:dyDescent="0.25">
      <c r="A15" s="20" t="s">
        <v>206</v>
      </c>
      <c r="B15" s="17" t="str">
        <f>IF(ISNUMBER(SEARCH("[",A15)),IF(ISNUMBER(SEARCH("/",A15)),CONCATENATE(MID(A15,1,2)," ",(SUM(MID(A15,FIND("[",A15)+1,FIND(":",A15)-FIND("[",A15)-1),MID(A15,FIND("/",A15)+1,FIND(":",A15,FIND("/",A15))-FIND("/",A15)-1),MID(A15,FIND("[",A15,FIND("[",A15)+1)+1,(FIND(":",A15,FIND("[",A15))-FIND("[",A15)-1)),MID(A15,FIND("/",A15,FIND("/",A15)+1)+1,FIND(":",A15,FIND("/",A15,FIND("[",A15,FIND("[",A15)+1)+1))-FIND("/",A15,FIND("[",A15,FIND("[",A15)+1)+1)-1))),":",SUM(MID(A15,FIND(":",A15)+1,FIND("/",A15)-FIND(":",A15)-1),MID(A15,FIND(":",A15,FIND("/",A15))+1,FIND("]",A15)-FIND(":",A15,FIND("/",A15))-1),MID(A15,FIND(":",A15,FIND("[",A15,FIND("[",A15)+1))+1,(FIND("/",A15,FIND("[",A15,FIND("[",A15)+1)+1)-FIND(":",A15,FIND("[",A15,FIND("[",A15)+1))-1)),MID(A15,FIND(":",A15,FIND("/",A15,FIND("]",A15)+1))+1,(FIND("]",A15,FIND("[",A15,FIND("[",A15)+1)+1)-FIND(":",A15,FIND("/",A15,FIND("]",A15)+1))-1))),MID(A15,(FIND(")",A15)+1),100)),CONCATENATE(MID(A15,1,2)," ",(SUM(MID(A15,FIND("[",A15)+1,FIND(":",A15)-FIND("[",A15)-1),MID(A15,FIND("_",A15)+1,FIND(":",A15,FIND("_",A15))-FIND("_",A15)-1),MID(A15,FIND("[",A15,FIND("[",A15)+1)+1,(FIND(":",A15,FIND("[",A15))-FIND("[",A15)-1)),MID(A15,FIND("_",A15,FIND("_",A15)+1)+1,FIND(":",A15,FIND("_",A15,FIND("[",A15,FIND("[",A15)+1)+1))-FIND("_",A15,FIND("[",A15,FIND("[",A15)+1)+1)-1))),":",SUM(MID(A15,FIND(":",A15)+1,FIND("_",A15)-FIND(":",A15)-1),MID(A15,FIND(":",A15,FIND("_",A15))+1,FIND("]",A15)-FIND(":",A15,FIND("_",A15))-1),MID(A15,FIND(":",A15,FIND("[",A15,FIND("[",A15)+1))+1,(FIND("_",A15,FIND("[",A15,FIND("[",A15)+1)+1)-FIND(":",A15,FIND("[",A15,FIND("[",A15)+1))-1)),MID(A15,FIND(":",A15,FIND("_",A15,FIND("]",A15)+1))+1,(FIND("]",A15,FIND("[",A15,FIND("[",A15)+1)+1)-FIND(":",A15,FIND("_",A15,FIND("]",A15)+1))-1))),MID(A15,(FIND(")",A15)+1),100))),A15)</f>
        <v>CL 50:2</v>
      </c>
      <c r="C15" s="1" t="str">
        <f>MID(B15,4,FIND(":",B15)-FIND(" ",B15)-1)</f>
        <v>50</v>
      </c>
      <c r="D15" s="1" t="str">
        <f>IF(ISNUMBER(SEARCH("__",B15)),MID(B15,FIND(":",B15)+1,FIND("__",B15)-FIND(":",B15)-1),MID(B15,FIND(":",B15)+1,7))</f>
        <v>2</v>
      </c>
      <c r="E15" s="17">
        <f t="shared" si="103"/>
        <v>59</v>
      </c>
      <c r="F15" s="17">
        <f t="shared" si="104"/>
        <v>110</v>
      </c>
      <c r="G15" s="17">
        <v>0</v>
      </c>
      <c r="H15" s="17">
        <f t="shared" si="105"/>
        <v>17</v>
      </c>
      <c r="I15" s="17">
        <v>2</v>
      </c>
      <c r="L15" s="19" t="str">
        <f t="shared" si="106"/>
        <v>C59H110O17P2</v>
      </c>
      <c r="M15" s="19">
        <f t="shared" si="107"/>
        <v>1152.7217869999999</v>
      </c>
      <c r="N15" s="19">
        <f t="shared" si="8"/>
        <v>1153.7290616</v>
      </c>
      <c r="O15" s="42">
        <f t="shared" si="9"/>
        <v>1135.7179416000001</v>
      </c>
      <c r="P15" s="42">
        <f t="shared" si="110"/>
        <v>1170.7556070000001</v>
      </c>
      <c r="Q15" s="42">
        <f t="shared" si="111"/>
        <v>1175.7110069999999</v>
      </c>
      <c r="R15" s="42">
        <f t="shared" si="112"/>
        <v>1191.684947</v>
      </c>
      <c r="S15" s="42">
        <f t="shared" si="113"/>
        <v>1159.737247</v>
      </c>
      <c r="T15" s="19">
        <f t="shared" si="114"/>
        <v>1151.7145123999999</v>
      </c>
      <c r="U15" s="19">
        <f t="shared" si="115"/>
        <v>1197.7200069999999</v>
      </c>
      <c r="V15" s="19">
        <f t="shared" si="116"/>
        <v>1211.7356569999999</v>
      </c>
      <c r="W15" s="42">
        <f t="shared" si="87"/>
        <v>575.3536188999999</v>
      </c>
      <c r="Y15" s="42">
        <f t="shared" si="34"/>
        <v>594.39471349999997</v>
      </c>
      <c r="Z15" s="42">
        <f t="shared" si="35"/>
        <v>599.35011350000002</v>
      </c>
      <c r="AA15" s="42">
        <f t="shared" si="36"/>
        <v>615.32405349999999</v>
      </c>
      <c r="AB15" s="42">
        <f t="shared" si="37"/>
        <v>588.35914079999998</v>
      </c>
      <c r="AC15" s="42">
        <f t="shared" si="33"/>
        <v>596.34611080000002</v>
      </c>
    </row>
    <row r="16" spans="1:29" x14ac:dyDescent="0.25">
      <c r="A16" s="20" t="s">
        <v>182</v>
      </c>
      <c r="B16" s="17" t="str">
        <f t="shared" ref="B16" si="117">IF(ISNUMBER(SEARCH("[",A16)),IF(ISNUMBER(SEARCH("/",A16)),CONCATENATE(MID(A16,1,2)," ",(SUM(MID(A16,FIND("[",A16)+1,FIND(":",A16)-FIND("[",A16)-1),MID(A16,FIND("/",A16)+1,FIND(":",A16,FIND("/",A16))-FIND("/",A16)-1),MID(A16,FIND("[",A16,FIND("[",A16)+1)+1,(FIND(":",A16,FIND("[",A16))-FIND("[",A16)-1)),MID(A16,FIND("/",A16,FIND("/",A16)+1)+1,FIND(":",A16,FIND("/",A16,FIND("[",A16,FIND("[",A16)+1)+1))-FIND("/",A16,FIND("[",A16,FIND("[",A16)+1)+1)-1))),":",SUM(MID(A16,FIND(":",A16)+1,FIND("/",A16)-FIND(":",A16)-1),MID(A16,FIND(":",A16,FIND("/",A16))+1,FIND("]",A16)-FIND(":",A16,FIND("/",A16))-1),MID(A16,FIND(":",A16,FIND("[",A16,FIND("[",A16)+1))+1,(FIND("/",A16,FIND("[",A16,FIND("[",A16)+1)+1)-FIND(":",A16,FIND("[",A16,FIND("[",A16)+1))-1)),MID(A16,FIND(":",A16,FIND("/",A16,FIND("]",A16)+1))+1,(FIND("]",A16,FIND("[",A16,FIND("[",A16)+1)+1)-FIND(":",A16,FIND("/",A16,FIND("]",A16)+1))-1))),MID(A16,(FIND(")",A16)+1),100)),CONCATENATE(MID(A16,1,2)," ",(SUM(MID(A16,FIND("[",A16)+1,FIND(":",A16)-FIND("[",A16)-1),MID(A16,FIND("_",A16)+1,FIND(":",A16,FIND("_",A16))-FIND("_",A16)-1),MID(A16,FIND("[",A16,FIND("[",A16)+1)+1,(FIND(":",A16,FIND("[",A16))-FIND("[",A16)-1)),MID(A16,FIND("_",A16,FIND("_",A16)+1)+1,FIND(":",A16,FIND("_",A16,FIND("[",A16,FIND("[",A16)+1)+1))-FIND("_",A16,FIND("[",A16,FIND("[",A16)+1)+1)-1))),":",SUM(MID(A16,FIND(":",A16)+1,FIND("_",A16)-FIND(":",A16)-1),MID(A16,FIND(":",A16,FIND("_",A16))+1,FIND("]",A16)-FIND(":",A16,FIND("_",A16))-1),MID(A16,FIND(":",A16,FIND("[",A16,FIND("[",A16)+1))+1,(FIND("_",A16,FIND("[",A16,FIND("[",A16)+1)+1)-FIND(":",A16,FIND("[",A16,FIND("[",A16)+1))-1)),MID(A16,FIND(":",A16,FIND("_",A16,FIND("]",A16)+1))+1,(FIND("]",A16,FIND("[",A16,FIND("[",A16)+1)+1)-FIND(":",A16,FIND("_",A16,FIND("]",A16)+1))-1))),MID(A16,(FIND(")",A16)+1),100))),A16)</f>
        <v>CL 50:1</v>
      </c>
      <c r="C16" s="1" t="str">
        <f t="shared" ref="C16" si="118">MID(B16,4,FIND(":",B16)-FIND(" ",B16)-1)</f>
        <v>50</v>
      </c>
      <c r="D16" s="1" t="str">
        <f t="shared" ref="D16" si="119">IF(ISNUMBER(SEARCH("__",B16)),MID(B16,FIND(":",B16)+1,FIND("__",B16)-FIND(":",B16)-1),MID(B16,FIND(":",B16)+1,7))</f>
        <v>1</v>
      </c>
      <c r="E16" s="17">
        <f t="shared" ref="E16" si="120">C16+9</f>
        <v>59</v>
      </c>
      <c r="F16" s="17">
        <f t="shared" ref="F16" si="121">2*E16-(2*D16)-4-((LEN(A16)-LEN(SUBSTITUTE(A16,"_O_","")))/LEN("_O_"))*2-((LEN(A16)-LEN(SUBSTITUTE(A16,"_CHO_","")))/LEN("_CHO_"))*2-((LEN(A16)-LEN(SUBSTITUTE(A16,"_COOH_","")))/LEN("_COOH_"))*2</f>
        <v>112</v>
      </c>
      <c r="G16" s="17">
        <v>0</v>
      </c>
      <c r="H16" s="17">
        <f t="shared" ref="H16" si="122">17+((LEN(A16)-LEN(SUBSTITUTE(A16,"_OH_","")))/LEN("_OH_"))*1+((LEN(A16)-LEN(SUBSTITUTE(A16,"_OOH_","")))/LEN("_OOH_"))*2+((LEN(A16)-LEN(SUBSTITUTE(A16,"_O_","")))/LEN("_O_"))*1+((LEN(A16)-LEN(SUBSTITUTE(A16,"_CHO_","")))/LEN("_CHO_"))*1+((LEN(A16)-LEN(SUBSTITUTE(A16,"_COOH_","")))/LEN("_COOH_"))*2</f>
        <v>17</v>
      </c>
      <c r="I16" s="17">
        <v>2</v>
      </c>
      <c r="L16" s="19" t="str">
        <f t="shared" ref="L16" si="123">CONCATENATE("C",E16,"H",F16,"O",H16,"P",I16)</f>
        <v>C59H112O17P2</v>
      </c>
      <c r="M16" s="19">
        <f t="shared" ref="M16" si="124">(E16*12)+(F16*1.0078246)+(G16*14.003074)+(H16*15.994915)+(I16*30.973763)</f>
        <v>1154.7374362</v>
      </c>
      <c r="N16" s="19">
        <f t="shared" ref="N16" si="125">M16+1.0078246-0.00055</f>
        <v>1155.7447108000001</v>
      </c>
      <c r="O16" s="42">
        <f t="shared" ref="O16" si="126">N16-18.01057-0.00055</f>
        <v>1137.7335908000002</v>
      </c>
      <c r="P16" s="42">
        <f t="shared" ref="P16" si="127">M16+18.03437-0.00055</f>
        <v>1172.7712562000002</v>
      </c>
      <c r="Q16" s="42">
        <f t="shared" ref="Q16" si="128">M16+22.98977-0.00055</f>
        <v>1177.7266562</v>
      </c>
      <c r="R16" s="42">
        <f t="shared" ref="R16" si="129">M16+38.96371-0.00055</f>
        <v>1193.7005962000001</v>
      </c>
      <c r="S16" s="42">
        <f t="shared" ref="S16" si="130">M16+7.01601-0.00055</f>
        <v>1161.7528962000001</v>
      </c>
      <c r="T16" s="19">
        <f t="shared" ref="T16" si="131">M16-1.0078246+0.00055</f>
        <v>1153.7301616</v>
      </c>
      <c r="U16" s="19">
        <f t="shared" ref="U16" si="132">M16+44.99767+0.00055</f>
        <v>1199.7356562</v>
      </c>
      <c r="V16" s="19">
        <f t="shared" ref="V16" si="133">M16+59.01332+0.00055</f>
        <v>1213.7513062</v>
      </c>
      <c r="W16" s="42">
        <f t="shared" si="87"/>
        <v>576.36144349999995</v>
      </c>
      <c r="Y16" s="42">
        <f t="shared" si="34"/>
        <v>595.40253810000002</v>
      </c>
      <c r="Z16" s="42">
        <f t="shared" si="35"/>
        <v>600.35793810000007</v>
      </c>
      <c r="AA16" s="42">
        <f t="shared" si="36"/>
        <v>616.33187810000004</v>
      </c>
      <c r="AB16" s="42">
        <f t="shared" si="37"/>
        <v>589.36696540000003</v>
      </c>
      <c r="AC16" s="42">
        <f t="shared" si="33"/>
        <v>597.35393540000007</v>
      </c>
    </row>
    <row r="17" spans="1:29" x14ac:dyDescent="0.25">
      <c r="A17" s="20" t="s">
        <v>142</v>
      </c>
      <c r="B17" s="17" t="str">
        <f t="shared" si="100"/>
        <v>CL 50:0</v>
      </c>
      <c r="C17" s="1" t="str">
        <f t="shared" si="101"/>
        <v>50</v>
      </c>
      <c r="D17" s="1" t="str">
        <f t="shared" si="102"/>
        <v>0</v>
      </c>
      <c r="E17" s="17">
        <f t="shared" si="103"/>
        <v>59</v>
      </c>
      <c r="F17" s="17">
        <f t="shared" si="104"/>
        <v>114</v>
      </c>
      <c r="G17" s="17">
        <v>0</v>
      </c>
      <c r="H17" s="17">
        <f t="shared" si="105"/>
        <v>17</v>
      </c>
      <c r="I17" s="17">
        <v>2</v>
      </c>
      <c r="L17" s="19" t="str">
        <f t="shared" si="106"/>
        <v>C59H114O17P2</v>
      </c>
      <c r="M17" s="19">
        <f t="shared" si="107"/>
        <v>1156.7530853999999</v>
      </c>
      <c r="N17" s="19">
        <f t="shared" si="108"/>
        <v>1157.76036</v>
      </c>
      <c r="O17" s="42">
        <f t="shared" si="109"/>
        <v>1139.7492400000001</v>
      </c>
      <c r="P17" s="42">
        <f t="shared" si="110"/>
        <v>1174.7869054</v>
      </c>
      <c r="Q17" s="42">
        <f t="shared" si="111"/>
        <v>1179.7423053999999</v>
      </c>
      <c r="R17" s="42">
        <f t="shared" si="112"/>
        <v>1195.7162453999999</v>
      </c>
      <c r="S17" s="42">
        <f t="shared" si="113"/>
        <v>1163.7685454</v>
      </c>
      <c r="T17" s="19">
        <f t="shared" si="114"/>
        <v>1155.7458107999998</v>
      </c>
      <c r="U17" s="19">
        <f t="shared" si="115"/>
        <v>1201.7513053999999</v>
      </c>
      <c r="V17" s="19">
        <f t="shared" si="116"/>
        <v>1215.7669553999999</v>
      </c>
      <c r="W17" s="42">
        <f t="shared" si="87"/>
        <v>577.36926809999989</v>
      </c>
      <c r="Y17" s="42">
        <f t="shared" si="34"/>
        <v>596.41036269999995</v>
      </c>
      <c r="Z17" s="42">
        <f t="shared" si="35"/>
        <v>601.3657627</v>
      </c>
      <c r="AA17" s="42">
        <f t="shared" si="36"/>
        <v>617.33970269999998</v>
      </c>
      <c r="AB17" s="42">
        <f t="shared" si="37"/>
        <v>590.37478999999996</v>
      </c>
      <c r="AC17" s="42">
        <f t="shared" si="33"/>
        <v>598.36176</v>
      </c>
    </row>
    <row r="18" spans="1:29" x14ac:dyDescent="0.25">
      <c r="A18" s="20" t="s">
        <v>251</v>
      </c>
      <c r="B18" s="17" t="str">
        <f t="shared" si="100"/>
        <v>CL 51:3</v>
      </c>
      <c r="C18" s="1" t="str">
        <f t="shared" si="101"/>
        <v>51</v>
      </c>
      <c r="D18" s="1" t="str">
        <f t="shared" si="102"/>
        <v>3</v>
      </c>
      <c r="E18" s="17">
        <f t="shared" si="103"/>
        <v>60</v>
      </c>
      <c r="F18" s="17">
        <f t="shared" si="104"/>
        <v>110</v>
      </c>
      <c r="G18" s="17">
        <v>0</v>
      </c>
      <c r="H18" s="17">
        <f t="shared" si="105"/>
        <v>17</v>
      </c>
      <c r="I18" s="17">
        <v>2</v>
      </c>
      <c r="L18" s="19" t="str">
        <f t="shared" si="106"/>
        <v>C60H110O17P2</v>
      </c>
      <c r="M18" s="19">
        <f t="shared" si="107"/>
        <v>1164.7217869999999</v>
      </c>
      <c r="N18" s="19">
        <f t="shared" si="108"/>
        <v>1165.7290616</v>
      </c>
      <c r="O18" s="42">
        <f t="shared" si="109"/>
        <v>1147.7179416000001</v>
      </c>
      <c r="P18" s="42">
        <f t="shared" si="110"/>
        <v>1182.7556070000001</v>
      </c>
      <c r="Q18" s="42">
        <f t="shared" si="111"/>
        <v>1187.7110069999999</v>
      </c>
      <c r="R18" s="42">
        <f t="shared" si="112"/>
        <v>1203.684947</v>
      </c>
      <c r="S18" s="42">
        <f t="shared" si="113"/>
        <v>1171.737247</v>
      </c>
      <c r="T18" s="19">
        <f t="shared" si="114"/>
        <v>1163.7145123999999</v>
      </c>
      <c r="U18" s="19">
        <f t="shared" si="115"/>
        <v>1209.7200069999999</v>
      </c>
      <c r="V18" s="19">
        <f t="shared" si="116"/>
        <v>1223.7356569999999</v>
      </c>
      <c r="W18" s="42">
        <f t="shared" si="87"/>
        <v>581.3536188999999</v>
      </c>
      <c r="Y18" s="42">
        <f t="shared" si="34"/>
        <v>600.39471349999997</v>
      </c>
      <c r="Z18" s="42">
        <f t="shared" si="35"/>
        <v>605.35011350000002</v>
      </c>
      <c r="AA18" s="42">
        <f t="shared" si="36"/>
        <v>621.32405349999999</v>
      </c>
      <c r="AB18" s="42">
        <f t="shared" si="37"/>
        <v>594.35914079999998</v>
      </c>
      <c r="AC18" s="42">
        <f t="shared" si="33"/>
        <v>602.34611080000002</v>
      </c>
    </row>
    <row r="19" spans="1:29" x14ac:dyDescent="0.25">
      <c r="A19" s="20" t="s">
        <v>207</v>
      </c>
      <c r="B19" s="17" t="str">
        <f>IF(ISNUMBER(SEARCH("[",A19)),IF(ISNUMBER(SEARCH("/",A19)),CONCATENATE(MID(A19,1,2)," ",(SUM(MID(A19,FIND("[",A19)+1,FIND(":",A19)-FIND("[",A19)-1),MID(A19,FIND("/",A19)+1,FIND(":",A19,FIND("/",A19))-FIND("/",A19)-1),MID(A19,FIND("[",A19,FIND("[",A19)+1)+1,(FIND(":",A19,FIND("[",A19))-FIND("[",A19)-1)),MID(A19,FIND("/",A19,FIND("/",A19)+1)+1,FIND(":",A19,FIND("/",A19,FIND("[",A19,FIND("[",A19)+1)+1))-FIND("/",A19,FIND("[",A19,FIND("[",A19)+1)+1)-1))),":",SUM(MID(A19,FIND(":",A19)+1,FIND("/",A19)-FIND(":",A19)-1),MID(A19,FIND(":",A19,FIND("/",A19))+1,FIND("]",A19)-FIND(":",A19,FIND("/",A19))-1),MID(A19,FIND(":",A19,FIND("[",A19,FIND("[",A19)+1))+1,(FIND("/",A19,FIND("[",A19,FIND("[",A19)+1)+1)-FIND(":",A19,FIND("[",A19,FIND("[",A19)+1))-1)),MID(A19,FIND(":",A19,FIND("/",A19,FIND("]",A19)+1))+1,(FIND("]",A19,FIND("[",A19,FIND("[",A19)+1)+1)-FIND(":",A19,FIND("/",A19,FIND("]",A19)+1))-1))),MID(A19,(FIND(")",A19)+1),100)),CONCATENATE(MID(A19,1,2)," ",(SUM(MID(A19,FIND("[",A19)+1,FIND(":",A19)-FIND("[",A19)-1),MID(A19,FIND("_",A19)+1,FIND(":",A19,FIND("_",A19))-FIND("_",A19)-1),MID(A19,FIND("[",A19,FIND("[",A19)+1)+1,(FIND(":",A19,FIND("[",A19))-FIND("[",A19)-1)),MID(A19,FIND("_",A19,FIND("_",A19)+1)+1,FIND(":",A19,FIND("_",A19,FIND("[",A19,FIND("[",A19)+1)+1))-FIND("_",A19,FIND("[",A19,FIND("[",A19)+1)+1)-1))),":",SUM(MID(A19,FIND(":",A19)+1,FIND("_",A19)-FIND(":",A19)-1),MID(A19,FIND(":",A19,FIND("_",A19))+1,FIND("]",A19)-FIND(":",A19,FIND("_",A19))-1),MID(A19,FIND(":",A19,FIND("[",A19,FIND("[",A19)+1))+1,(FIND("_",A19,FIND("[",A19,FIND("[",A19)+1)+1)-FIND(":",A19,FIND("[",A19,FIND("[",A19)+1))-1)),MID(A19,FIND(":",A19,FIND("_",A19,FIND("]",A19)+1))+1,(FIND("]",A19,FIND("[",A19,FIND("[",A19)+1)+1)-FIND(":",A19,FIND("_",A19,FIND("]",A19)+1))-1))),MID(A19,(FIND(")",A19)+1),100))),A19)</f>
        <v>CL 51:2</v>
      </c>
      <c r="C19" s="1" t="str">
        <f>MID(B19,4,FIND(":",B19)-FIND(" ",B19)-1)</f>
        <v>51</v>
      </c>
      <c r="D19" s="1" t="str">
        <f>IF(ISNUMBER(SEARCH("__",B19)),MID(B19,FIND(":",B19)+1,FIND("__",B19)-FIND(":",B19)-1),MID(B19,FIND(":",B19)+1,7))</f>
        <v>2</v>
      </c>
      <c r="E19" s="17">
        <f t="shared" si="103"/>
        <v>60</v>
      </c>
      <c r="F19" s="17">
        <f t="shared" si="104"/>
        <v>112</v>
      </c>
      <c r="G19" s="17">
        <v>0</v>
      </c>
      <c r="H19" s="17">
        <f t="shared" si="105"/>
        <v>17</v>
      </c>
      <c r="I19" s="17">
        <v>2</v>
      </c>
      <c r="L19" s="19" t="str">
        <f t="shared" si="106"/>
        <v>C60H112O17P2</v>
      </c>
      <c r="M19" s="19">
        <f t="shared" si="107"/>
        <v>1166.7374362</v>
      </c>
      <c r="N19" s="19">
        <f t="shared" si="108"/>
        <v>1167.7447108000001</v>
      </c>
      <c r="O19" s="42">
        <f t="shared" si="109"/>
        <v>1149.7335908000002</v>
      </c>
      <c r="P19" s="42">
        <f t="shared" si="110"/>
        <v>1184.7712562000002</v>
      </c>
      <c r="Q19" s="42">
        <f t="shared" si="111"/>
        <v>1189.7266562</v>
      </c>
      <c r="R19" s="42">
        <f t="shared" si="112"/>
        <v>1205.7005962000001</v>
      </c>
      <c r="S19" s="42">
        <f t="shared" si="113"/>
        <v>1173.7528962000001</v>
      </c>
      <c r="T19" s="19">
        <f t="shared" si="114"/>
        <v>1165.7301616</v>
      </c>
      <c r="U19" s="19">
        <f t="shared" si="115"/>
        <v>1211.7356562</v>
      </c>
      <c r="V19" s="19">
        <f t="shared" si="116"/>
        <v>1225.7513062</v>
      </c>
      <c r="W19" s="42">
        <f t="shared" si="87"/>
        <v>582.36144349999995</v>
      </c>
      <c r="Y19" s="42">
        <f t="shared" si="34"/>
        <v>601.40253810000002</v>
      </c>
      <c r="Z19" s="42">
        <f t="shared" si="35"/>
        <v>606.35793810000007</v>
      </c>
      <c r="AA19" s="42">
        <f t="shared" si="36"/>
        <v>622.33187810000004</v>
      </c>
      <c r="AB19" s="42">
        <f t="shared" si="37"/>
        <v>595.36696540000003</v>
      </c>
      <c r="AC19" s="42">
        <f t="shared" si="33"/>
        <v>603.35393540000007</v>
      </c>
    </row>
    <row r="20" spans="1:29" x14ac:dyDescent="0.25">
      <c r="A20" s="20" t="s">
        <v>181</v>
      </c>
      <c r="B20" s="17" t="str">
        <f>IF(ISNUMBER(SEARCH("[",A20)),IF(ISNUMBER(SEARCH("/",A20)),CONCATENATE(MID(A20,1,2)," ",(SUM(MID(A20,FIND("[",A20)+1,FIND(":",A20)-FIND("[",A20)-1),MID(A20,FIND("/",A20)+1,FIND(":",A20,FIND("/",A20))-FIND("/",A20)-1),MID(A20,FIND("[",A20,FIND("[",A20)+1)+1,(FIND(":",A20,FIND("[",A20))-FIND("[",A20)-1)),MID(A20,FIND("/",A20,FIND("/",A20)+1)+1,FIND(":",A20,FIND("/",A20,FIND("[",A20,FIND("[",A20)+1)+1))-FIND("/",A20,FIND("[",A20,FIND("[",A20)+1)+1)-1))),":",SUM(MID(A20,FIND(":",A20)+1,FIND("/",A20)-FIND(":",A20)-1),MID(A20,FIND(":",A20,FIND("/",A20))+1,FIND("]",A20)-FIND(":",A20,FIND("/",A20))-1),MID(A20,FIND(":",A20,FIND("[",A20,FIND("[",A20)+1))+1,(FIND("/",A20,FIND("[",A20,FIND("[",A20)+1)+1)-FIND(":",A20,FIND("[",A20,FIND("[",A20)+1))-1)),MID(A20,FIND(":",A20,FIND("/",A20,FIND("]",A20)+1))+1,(FIND("]",A20,FIND("[",A20,FIND("[",A20)+1)+1)-FIND(":",A20,FIND("/",A20,FIND("]",A20)+1))-1))),MID(A20,(FIND(")",A20)+1),100)),CONCATENATE(MID(A20,1,2)," ",(SUM(MID(A20,FIND("[",A20)+1,FIND(":",A20)-FIND("[",A20)-1),MID(A20,FIND("_",A20)+1,FIND(":",A20,FIND("_",A20))-FIND("_",A20)-1),MID(A20,FIND("[",A20,FIND("[",A20)+1)+1,(FIND(":",A20,FIND("[",A20))-FIND("[",A20)-1)),MID(A20,FIND("_",A20,FIND("_",A20)+1)+1,FIND(":",A20,FIND("_",A20,FIND("[",A20,FIND("[",A20)+1)+1))-FIND("_",A20,FIND("[",A20,FIND("[",A20)+1)+1)-1))),":",SUM(MID(A20,FIND(":",A20)+1,FIND("_",A20)-FIND(":",A20)-1),MID(A20,FIND(":",A20,FIND("_",A20))+1,FIND("]",A20)-FIND(":",A20,FIND("_",A20))-1),MID(A20,FIND(":",A20,FIND("[",A20,FIND("[",A20)+1))+1,(FIND("_",A20,FIND("[",A20,FIND("[",A20)+1)+1)-FIND(":",A20,FIND("[",A20,FIND("[",A20)+1))-1)),MID(A20,FIND(":",A20,FIND("_",A20,FIND("]",A20)+1))+1,(FIND("]",A20,FIND("[",A20,FIND("[",A20)+1)+1)-FIND(":",A20,FIND("_",A20,FIND("]",A20)+1))-1))),MID(A20,(FIND(")",A20)+1),100))),A20)</f>
        <v>CL 51:1</v>
      </c>
      <c r="C20" s="1" t="str">
        <f>MID(B20,4,FIND(":",B20)-FIND(" ",B20)-1)</f>
        <v>51</v>
      </c>
      <c r="D20" s="1" t="str">
        <f>IF(ISNUMBER(SEARCH("__",B20)),MID(B20,FIND(":",B20)+1,FIND("__",B20)-FIND(":",B20)-1),MID(B20,FIND(":",B20)+1,7))</f>
        <v>1</v>
      </c>
      <c r="E20" s="17">
        <f t="shared" si="103"/>
        <v>60</v>
      </c>
      <c r="F20" s="17">
        <f t="shared" si="104"/>
        <v>114</v>
      </c>
      <c r="G20" s="17">
        <v>0</v>
      </c>
      <c r="H20" s="17">
        <f t="shared" si="105"/>
        <v>17</v>
      </c>
      <c r="I20" s="17">
        <v>2</v>
      </c>
      <c r="L20" s="19" t="str">
        <f t="shared" si="106"/>
        <v>C60H114O17P2</v>
      </c>
      <c r="M20" s="19">
        <f t="shared" si="107"/>
        <v>1168.7530853999999</v>
      </c>
      <c r="N20" s="19">
        <f t="shared" si="108"/>
        <v>1169.76036</v>
      </c>
      <c r="O20" s="42">
        <f t="shared" si="109"/>
        <v>1151.7492400000001</v>
      </c>
      <c r="P20" s="42">
        <f t="shared" si="110"/>
        <v>1186.7869054</v>
      </c>
      <c r="Q20" s="42">
        <f t="shared" si="111"/>
        <v>1191.7423053999999</v>
      </c>
      <c r="R20" s="42">
        <f>M20+38.96371-0.00055</f>
        <v>1207.7162453999999</v>
      </c>
      <c r="S20" s="42">
        <f t="shared" si="113"/>
        <v>1175.7685454</v>
      </c>
      <c r="T20" s="19">
        <f t="shared" si="114"/>
        <v>1167.7458107999998</v>
      </c>
      <c r="U20" s="19">
        <f t="shared" si="115"/>
        <v>1213.7513053999999</v>
      </c>
      <c r="V20" s="19">
        <f t="shared" si="116"/>
        <v>1227.7669553999999</v>
      </c>
      <c r="W20" s="42">
        <f t="shared" si="87"/>
        <v>583.36926809999989</v>
      </c>
      <c r="Y20" s="42">
        <f t="shared" si="34"/>
        <v>602.41036269999995</v>
      </c>
      <c r="Z20" s="42">
        <f t="shared" si="35"/>
        <v>607.3657627</v>
      </c>
      <c r="AA20" s="42">
        <f t="shared" si="36"/>
        <v>623.33970269999998</v>
      </c>
      <c r="AB20" s="42">
        <f t="shared" si="37"/>
        <v>596.37478999999996</v>
      </c>
      <c r="AC20" s="42">
        <f t="shared" si="33"/>
        <v>604.36176</v>
      </c>
    </row>
    <row r="21" spans="1:29" x14ac:dyDescent="0.25">
      <c r="A21" s="20" t="s">
        <v>143</v>
      </c>
      <c r="B21" s="17" t="str">
        <f t="shared" si="100"/>
        <v>CL 51:0</v>
      </c>
      <c r="C21" s="1" t="str">
        <f t="shared" si="101"/>
        <v>51</v>
      </c>
      <c r="D21" s="1" t="str">
        <f t="shared" si="102"/>
        <v>0</v>
      </c>
      <c r="E21" s="17">
        <f t="shared" si="103"/>
        <v>60</v>
      </c>
      <c r="F21" s="17">
        <f t="shared" si="104"/>
        <v>116</v>
      </c>
      <c r="G21" s="17">
        <v>0</v>
      </c>
      <c r="H21" s="17">
        <f t="shared" si="105"/>
        <v>17</v>
      </c>
      <c r="I21" s="17">
        <v>2</v>
      </c>
      <c r="L21" s="19" t="str">
        <f t="shared" si="106"/>
        <v>C60H116O17P2</v>
      </c>
      <c r="M21" s="19">
        <f t="shared" si="107"/>
        <v>1170.7687346</v>
      </c>
      <c r="N21" s="19">
        <f t="shared" si="108"/>
        <v>1171.7760092000001</v>
      </c>
      <c r="O21" s="42">
        <f t="shared" si="109"/>
        <v>1153.7648892000002</v>
      </c>
      <c r="P21" s="42">
        <f t="shared" ref="P21" si="134">M21+18.03437-0.00055</f>
        <v>1188.8025546000001</v>
      </c>
      <c r="Q21" s="42">
        <f t="shared" ref="Q21" si="135">M21+22.98977-0.00055</f>
        <v>1193.7579545999999</v>
      </c>
      <c r="R21" s="42">
        <f t="shared" ref="R21" si="136">M21+38.96371-0.00055</f>
        <v>1209.7318946</v>
      </c>
      <c r="S21" s="42">
        <f t="shared" si="113"/>
        <v>1177.7841946000001</v>
      </c>
      <c r="T21" s="19">
        <f t="shared" si="114"/>
        <v>1169.7614599999999</v>
      </c>
      <c r="U21" s="19">
        <f t="shared" si="115"/>
        <v>1215.7669546</v>
      </c>
      <c r="V21" s="19">
        <f t="shared" si="116"/>
        <v>1229.7826046</v>
      </c>
      <c r="W21" s="42">
        <f t="shared" si="87"/>
        <v>584.37709269999993</v>
      </c>
      <c r="Y21" s="42">
        <f t="shared" si="34"/>
        <v>603.4181873</v>
      </c>
      <c r="Z21" s="42">
        <f t="shared" si="35"/>
        <v>608.37358730000005</v>
      </c>
      <c r="AA21" s="42">
        <f t="shared" si="36"/>
        <v>624.34752730000002</v>
      </c>
      <c r="AB21" s="42">
        <f t="shared" si="37"/>
        <v>597.38261460000001</v>
      </c>
      <c r="AC21" s="42">
        <f t="shared" si="33"/>
        <v>605.36958460000005</v>
      </c>
    </row>
    <row r="22" spans="1:29" x14ac:dyDescent="0.25">
      <c r="A22" s="20" t="s">
        <v>208</v>
      </c>
      <c r="B22" s="17" t="str">
        <f>IF(ISNUMBER(SEARCH("[",A22)),IF(ISNUMBER(SEARCH("/",A22)),CONCATENATE(MID(A22,1,2)," ",(SUM(MID(A22,FIND("[",A22)+1,FIND(":",A22)-FIND("[",A22)-1),MID(A22,FIND("/",A22)+1,FIND(":",A22,FIND("/",A22))-FIND("/",A22)-1),MID(A22,FIND("[",A22,FIND("[",A22)+1)+1,(FIND(":",A22,FIND("[",A22))-FIND("[",A22)-1)),MID(A22,FIND("/",A22,FIND("/",A22)+1)+1,FIND(":",A22,FIND("/",A22,FIND("[",A22,FIND("[",A22)+1)+1))-FIND("/",A22,FIND("[",A22,FIND("[",A22)+1)+1)-1))),":",SUM(MID(A22,FIND(":",A22)+1,FIND("/",A22)-FIND(":",A22)-1),MID(A22,FIND(":",A22,FIND("/",A22))+1,FIND("]",A22)-FIND(":",A22,FIND("/",A22))-1),MID(A22,FIND(":",A22,FIND("[",A22,FIND("[",A22)+1))+1,(FIND("/",A22,FIND("[",A22,FIND("[",A22)+1)+1)-FIND(":",A22,FIND("[",A22,FIND("[",A22)+1))-1)),MID(A22,FIND(":",A22,FIND("/",A22,FIND("]",A22)+1))+1,(FIND("]",A22,FIND("[",A22,FIND("[",A22)+1)+1)-FIND(":",A22,FIND("/",A22,FIND("]",A22)+1))-1))),MID(A22,(FIND(")",A22)+1),100)),CONCATENATE(MID(A22,1,2)," ",(SUM(MID(A22,FIND("[",A22)+1,FIND(":",A22)-FIND("[",A22)-1),MID(A22,FIND("_",A22)+1,FIND(":",A22,FIND("_",A22))-FIND("_",A22)-1),MID(A22,FIND("[",A22,FIND("[",A22)+1)+1,(FIND(":",A22,FIND("[",A22))-FIND("[",A22)-1)),MID(A22,FIND("_",A22,FIND("_",A22)+1)+1,FIND(":",A22,FIND("_",A22,FIND("[",A22,FIND("[",A22)+1)+1))-FIND("_",A22,FIND("[",A22,FIND("[",A22)+1)+1)-1))),":",SUM(MID(A22,FIND(":",A22)+1,FIND("_",A22)-FIND(":",A22)-1),MID(A22,FIND(":",A22,FIND("_",A22))+1,FIND("]",A22)-FIND(":",A22,FIND("_",A22))-1),MID(A22,FIND(":",A22,FIND("[",A22,FIND("[",A22)+1))+1,(FIND("_",A22,FIND("[",A22,FIND("[",A22)+1)+1)-FIND(":",A22,FIND("[",A22,FIND("[",A22)+1))-1)),MID(A22,FIND(":",A22,FIND("_",A22,FIND("]",A22)+1))+1,(FIND("]",A22,FIND("[",A22,FIND("[",A22)+1)+1)-FIND(":",A22,FIND("_",A22,FIND("]",A22)+1))-1))),MID(A22,(FIND(")",A22)+1),100))),A22)</f>
        <v>CL 52:2</v>
      </c>
      <c r="C22" s="1" t="str">
        <f>MID(B22,4,FIND(":",B22)-FIND(" ",B22)-1)</f>
        <v>52</v>
      </c>
      <c r="D22" s="1" t="str">
        <f>IF(ISNUMBER(SEARCH("__",B22)),MID(B22,FIND(":",B22)+1,FIND("__",B22)-FIND(":",B22)-1),MID(B22,FIND(":",B22)+1,7))</f>
        <v>2</v>
      </c>
      <c r="E22" s="17">
        <f t="shared" si="103"/>
        <v>61</v>
      </c>
      <c r="F22" s="17">
        <f t="shared" si="104"/>
        <v>114</v>
      </c>
      <c r="G22" s="17">
        <v>0</v>
      </c>
      <c r="H22" s="17">
        <f t="shared" si="105"/>
        <v>17</v>
      </c>
      <c r="I22" s="17">
        <v>2</v>
      </c>
      <c r="L22" s="19" t="str">
        <f t="shared" si="106"/>
        <v>C61H114O17P2</v>
      </c>
      <c r="M22" s="19">
        <f t="shared" si="107"/>
        <v>1180.7530853999999</v>
      </c>
      <c r="N22" s="19">
        <f t="shared" si="108"/>
        <v>1181.76036</v>
      </c>
      <c r="O22" s="42">
        <f t="shared" si="109"/>
        <v>1163.7492400000001</v>
      </c>
      <c r="P22" s="42">
        <f t="shared" si="110"/>
        <v>1198.7869054</v>
      </c>
      <c r="Q22" s="42">
        <f t="shared" si="111"/>
        <v>1203.7423053999999</v>
      </c>
      <c r="R22" s="42">
        <f t="shared" si="112"/>
        <v>1219.7162453999999</v>
      </c>
      <c r="S22" s="42">
        <f t="shared" si="113"/>
        <v>1187.7685454</v>
      </c>
      <c r="T22" s="19">
        <f t="shared" si="114"/>
        <v>1179.7458107999998</v>
      </c>
      <c r="U22" s="19">
        <f t="shared" si="115"/>
        <v>1225.7513053999999</v>
      </c>
      <c r="V22" s="19">
        <f t="shared" si="116"/>
        <v>1239.7669553999999</v>
      </c>
      <c r="W22" s="42">
        <f t="shared" si="87"/>
        <v>589.36926809999989</v>
      </c>
      <c r="Y22" s="42">
        <f t="shared" si="34"/>
        <v>608.41036269999995</v>
      </c>
      <c r="Z22" s="42">
        <f t="shared" si="35"/>
        <v>613.3657627</v>
      </c>
      <c r="AA22" s="42">
        <f t="shared" si="36"/>
        <v>629.33970269999998</v>
      </c>
      <c r="AB22" s="42">
        <f t="shared" si="37"/>
        <v>602.37478999999996</v>
      </c>
      <c r="AC22" s="42">
        <f t="shared" si="33"/>
        <v>610.36176</v>
      </c>
    </row>
    <row r="23" spans="1:29" x14ac:dyDescent="0.25">
      <c r="A23" s="20" t="s">
        <v>180</v>
      </c>
      <c r="B23" s="17" t="str">
        <f>IF(ISNUMBER(SEARCH("[",A23)),IF(ISNUMBER(SEARCH("/",A23)),CONCATENATE(MID(A23,1,2)," ",(SUM(MID(A23,FIND("[",A23)+1,FIND(":",A23)-FIND("[",A23)-1),MID(A23,FIND("/",A23)+1,FIND(":",A23,FIND("/",A23))-FIND("/",A23)-1),MID(A23,FIND("[",A23,FIND("[",A23)+1)+1,(FIND(":",A23,FIND("[",A23))-FIND("[",A23)-1)),MID(A23,FIND("/",A23,FIND("/",A23)+1)+1,FIND(":",A23,FIND("/",A23,FIND("[",A23,FIND("[",A23)+1)+1))-FIND("/",A23,FIND("[",A23,FIND("[",A23)+1)+1)-1))),":",SUM(MID(A23,FIND(":",A23)+1,FIND("/",A23)-FIND(":",A23)-1),MID(A23,FIND(":",A23,FIND("/",A23))+1,FIND("]",A23)-FIND(":",A23,FIND("/",A23))-1),MID(A23,FIND(":",A23,FIND("[",A23,FIND("[",A23)+1))+1,(FIND("/",A23,FIND("[",A23,FIND("[",A23)+1)+1)-FIND(":",A23,FIND("[",A23,FIND("[",A23)+1))-1)),MID(A23,FIND(":",A23,FIND("/",A23,FIND("]",A23)+1))+1,(FIND("]",A23,FIND("[",A23,FIND("[",A23)+1)+1)-FIND(":",A23,FIND("/",A23,FIND("]",A23)+1))-1))),MID(A23,(FIND(")",A23)+1),100)),CONCATENATE(MID(A23,1,2)," ",(SUM(MID(A23,FIND("[",A23)+1,FIND(":",A23)-FIND("[",A23)-1),MID(A23,FIND("_",A23)+1,FIND(":",A23,FIND("_",A23))-FIND("_",A23)-1),MID(A23,FIND("[",A23,FIND("[",A23)+1)+1,(FIND(":",A23,FIND("[",A23))-FIND("[",A23)-1)),MID(A23,FIND("_",A23,FIND("_",A23)+1)+1,FIND(":",A23,FIND("_",A23,FIND("[",A23,FIND("[",A23)+1)+1))-FIND("_",A23,FIND("[",A23,FIND("[",A23)+1)+1)-1))),":",SUM(MID(A23,FIND(":",A23)+1,FIND("_",A23)-FIND(":",A23)-1),MID(A23,FIND(":",A23,FIND("_",A23))+1,FIND("]",A23)-FIND(":",A23,FIND("_",A23))-1),MID(A23,FIND(":",A23,FIND("[",A23,FIND("[",A23)+1))+1,(FIND("_",A23,FIND("[",A23,FIND("[",A23)+1)+1)-FIND(":",A23,FIND("[",A23,FIND("[",A23)+1))-1)),MID(A23,FIND(":",A23,FIND("_",A23,FIND("]",A23)+1))+1,(FIND("]",A23,FIND("[",A23,FIND("[",A23)+1)+1)-FIND(":",A23,FIND("_",A23,FIND("]",A23)+1))-1))),MID(A23,(FIND(")",A23)+1),100))),A23)</f>
        <v>CL 52:1</v>
      </c>
      <c r="C23" s="1" t="str">
        <f>MID(B23,4,FIND(":",B23)-FIND(" ",B23)-1)</f>
        <v>52</v>
      </c>
      <c r="D23" s="1" t="str">
        <f>IF(ISNUMBER(SEARCH("__",B23)),MID(B23,FIND(":",B23)+1,FIND("__",B23)-FIND(":",B23)-1),MID(B23,FIND(":",B23)+1,7))</f>
        <v>1</v>
      </c>
      <c r="E23" s="17">
        <f t="shared" si="103"/>
        <v>61</v>
      </c>
      <c r="F23" s="17">
        <f t="shared" si="104"/>
        <v>116</v>
      </c>
      <c r="G23" s="17">
        <v>0</v>
      </c>
      <c r="H23" s="17">
        <f t="shared" si="105"/>
        <v>17</v>
      </c>
      <c r="I23" s="17">
        <v>2</v>
      </c>
      <c r="L23" s="19" t="str">
        <f t="shared" si="106"/>
        <v>C61H116O17P2</v>
      </c>
      <c r="M23" s="19">
        <f t="shared" si="107"/>
        <v>1182.7687346</v>
      </c>
      <c r="N23" s="19">
        <f t="shared" si="108"/>
        <v>1183.7760092000001</v>
      </c>
      <c r="O23" s="42">
        <f t="shared" si="109"/>
        <v>1165.7648892000002</v>
      </c>
      <c r="P23" s="42">
        <f t="shared" si="110"/>
        <v>1200.8025546000001</v>
      </c>
      <c r="Q23" s="42">
        <f t="shared" si="111"/>
        <v>1205.7579545999999</v>
      </c>
      <c r="R23" s="42">
        <f t="shared" si="112"/>
        <v>1221.7318946</v>
      </c>
      <c r="S23" s="42">
        <f t="shared" si="113"/>
        <v>1189.7841946000001</v>
      </c>
      <c r="T23" s="19">
        <f t="shared" si="114"/>
        <v>1181.7614599999999</v>
      </c>
      <c r="U23" s="19">
        <f t="shared" si="115"/>
        <v>1227.7669546</v>
      </c>
      <c r="V23" s="19">
        <f t="shared" si="116"/>
        <v>1241.7826046</v>
      </c>
      <c r="W23" s="42">
        <f t="shared" si="87"/>
        <v>590.37709269999993</v>
      </c>
      <c r="Y23" s="42">
        <f t="shared" si="34"/>
        <v>609.4181873</v>
      </c>
      <c r="Z23" s="42">
        <f t="shared" si="35"/>
        <v>614.37358730000005</v>
      </c>
      <c r="AA23" s="42">
        <f t="shared" si="36"/>
        <v>630.34752730000002</v>
      </c>
      <c r="AB23" s="42">
        <f t="shared" si="37"/>
        <v>603.38261460000001</v>
      </c>
      <c r="AC23" s="42">
        <f t="shared" si="33"/>
        <v>611.36958460000005</v>
      </c>
    </row>
    <row r="24" spans="1:29" x14ac:dyDescent="0.25">
      <c r="A24" s="20" t="s">
        <v>144</v>
      </c>
      <c r="B24" s="17" t="str">
        <f t="shared" si="100"/>
        <v>CL 52:0</v>
      </c>
      <c r="C24" s="1" t="str">
        <f t="shared" si="101"/>
        <v>52</v>
      </c>
      <c r="D24" s="1" t="str">
        <f t="shared" si="102"/>
        <v>0</v>
      </c>
      <c r="E24" s="17">
        <f t="shared" si="103"/>
        <v>61</v>
      </c>
      <c r="F24" s="17">
        <f t="shared" si="104"/>
        <v>118</v>
      </c>
      <c r="G24" s="17">
        <v>0</v>
      </c>
      <c r="H24" s="17">
        <f t="shared" si="105"/>
        <v>17</v>
      </c>
      <c r="I24" s="17">
        <v>2</v>
      </c>
      <c r="L24" s="19" t="str">
        <f t="shared" si="106"/>
        <v>C61H118O17P2</v>
      </c>
      <c r="M24" s="19">
        <f t="shared" si="107"/>
        <v>1184.7843837999999</v>
      </c>
      <c r="N24" s="19">
        <f t="shared" si="108"/>
        <v>1185.7916584</v>
      </c>
      <c r="O24" s="42">
        <f t="shared" si="109"/>
        <v>1167.7805384000001</v>
      </c>
      <c r="P24" s="42">
        <f t="shared" si="110"/>
        <v>1202.8182038</v>
      </c>
      <c r="Q24" s="42">
        <f t="shared" si="111"/>
        <v>1207.7736037999998</v>
      </c>
      <c r="R24" s="42">
        <f t="shared" si="112"/>
        <v>1223.7475437999999</v>
      </c>
      <c r="S24" s="42">
        <f t="shared" si="113"/>
        <v>1191.7998438</v>
      </c>
      <c r="T24" s="19">
        <f t="shared" si="114"/>
        <v>1183.7771091999998</v>
      </c>
      <c r="U24" s="19">
        <f t="shared" si="115"/>
        <v>1229.7826037999998</v>
      </c>
      <c r="V24" s="19">
        <f t="shared" si="116"/>
        <v>1243.7982537999999</v>
      </c>
      <c r="W24" s="42">
        <f t="shared" si="87"/>
        <v>591.38491729999987</v>
      </c>
      <c r="Y24" s="42">
        <f t="shared" si="34"/>
        <v>610.42601189999993</v>
      </c>
      <c r="Z24" s="42">
        <f t="shared" si="35"/>
        <v>615.38141189999999</v>
      </c>
      <c r="AA24" s="42">
        <f t="shared" si="36"/>
        <v>631.35535189999996</v>
      </c>
      <c r="AB24" s="42">
        <f t="shared" si="37"/>
        <v>604.39043919999995</v>
      </c>
      <c r="AC24" s="42">
        <f t="shared" si="33"/>
        <v>612.37740919999999</v>
      </c>
    </row>
    <row r="25" spans="1:29" x14ac:dyDescent="0.25">
      <c r="A25" s="20" t="s">
        <v>209</v>
      </c>
      <c r="B25" s="17" t="str">
        <f>IF(ISNUMBER(SEARCH("[",A25)),IF(ISNUMBER(SEARCH("/",A25)),CONCATENATE(MID(A25,1,2)," ",(SUM(MID(A25,FIND("[",A25)+1,FIND(":",A25)-FIND("[",A25)-1),MID(A25,FIND("/",A25)+1,FIND(":",A25,FIND("/",A25))-FIND("/",A25)-1),MID(A25,FIND("[",A25,FIND("[",A25)+1)+1,(FIND(":",A25,FIND("[",A25))-FIND("[",A25)-1)),MID(A25,FIND("/",A25,FIND("/",A25)+1)+1,FIND(":",A25,FIND("/",A25,FIND("[",A25,FIND("[",A25)+1)+1))-FIND("/",A25,FIND("[",A25,FIND("[",A25)+1)+1)-1))),":",SUM(MID(A25,FIND(":",A25)+1,FIND("/",A25)-FIND(":",A25)-1),MID(A25,FIND(":",A25,FIND("/",A25))+1,FIND("]",A25)-FIND(":",A25,FIND("/",A25))-1),MID(A25,FIND(":",A25,FIND("[",A25,FIND("[",A25)+1))+1,(FIND("/",A25,FIND("[",A25,FIND("[",A25)+1)+1)-FIND(":",A25,FIND("[",A25,FIND("[",A25)+1))-1)),MID(A25,FIND(":",A25,FIND("/",A25,FIND("]",A25)+1))+1,(FIND("]",A25,FIND("[",A25,FIND("[",A25)+1)+1)-FIND(":",A25,FIND("/",A25,FIND("]",A25)+1))-1))),MID(A25,(FIND(")",A25)+1),100)),CONCATENATE(MID(A25,1,2)," ",(SUM(MID(A25,FIND("[",A25)+1,FIND(":",A25)-FIND("[",A25)-1),MID(A25,FIND("_",A25)+1,FIND(":",A25,FIND("_",A25))-FIND("_",A25)-1),MID(A25,FIND("[",A25,FIND("[",A25)+1)+1,(FIND(":",A25,FIND("[",A25))-FIND("[",A25)-1)),MID(A25,FIND("_",A25,FIND("_",A25)+1)+1,FIND(":",A25,FIND("_",A25,FIND("[",A25,FIND("[",A25)+1)+1))-FIND("_",A25,FIND("[",A25,FIND("[",A25)+1)+1)-1))),":",SUM(MID(A25,FIND(":",A25)+1,FIND("_",A25)-FIND(":",A25)-1),MID(A25,FIND(":",A25,FIND("_",A25))+1,FIND("]",A25)-FIND(":",A25,FIND("_",A25))-1),MID(A25,FIND(":",A25,FIND("[",A25,FIND("[",A25)+1))+1,(FIND("_",A25,FIND("[",A25,FIND("[",A25)+1)+1)-FIND(":",A25,FIND("[",A25,FIND("[",A25)+1))-1)),MID(A25,FIND(":",A25,FIND("_",A25,FIND("]",A25)+1))+1,(FIND("]",A25,FIND("[",A25,FIND("[",A25)+1)+1)-FIND(":",A25,FIND("_",A25,FIND("]",A25)+1))-1))),MID(A25,(FIND(")",A25)+1),100))),A25)</f>
        <v>CL 53:2</v>
      </c>
      <c r="C25" s="1" t="str">
        <f>MID(B25,4,FIND(":",B25)-FIND(" ",B25)-1)</f>
        <v>53</v>
      </c>
      <c r="D25" s="1" t="str">
        <f>IF(ISNUMBER(SEARCH("__",B25)),MID(B25,FIND(":",B25)+1,FIND("__",B25)-FIND(":",B25)-1),MID(B25,FIND(":",B25)+1,7))</f>
        <v>2</v>
      </c>
      <c r="E25" s="17">
        <f t="shared" si="103"/>
        <v>62</v>
      </c>
      <c r="F25" s="17">
        <f t="shared" si="104"/>
        <v>116</v>
      </c>
      <c r="G25" s="17">
        <v>0</v>
      </c>
      <c r="H25" s="17">
        <f t="shared" si="105"/>
        <v>17</v>
      </c>
      <c r="I25" s="17">
        <v>2</v>
      </c>
      <c r="L25" s="19" t="str">
        <f t="shared" si="106"/>
        <v>C62H116O17P2</v>
      </c>
      <c r="M25" s="19">
        <f t="shared" si="107"/>
        <v>1194.7687346</v>
      </c>
      <c r="N25" s="19">
        <f t="shared" si="108"/>
        <v>1195.7760092000001</v>
      </c>
      <c r="O25" s="42">
        <f t="shared" si="109"/>
        <v>1177.7648892000002</v>
      </c>
      <c r="P25" s="42">
        <f t="shared" si="110"/>
        <v>1212.8025546000001</v>
      </c>
      <c r="Q25" s="42">
        <f t="shared" si="111"/>
        <v>1217.7579545999999</v>
      </c>
      <c r="R25" s="42">
        <f t="shared" si="112"/>
        <v>1233.7318946</v>
      </c>
      <c r="S25" s="42">
        <f t="shared" si="113"/>
        <v>1201.7841946000001</v>
      </c>
      <c r="T25" s="19">
        <f t="shared" si="114"/>
        <v>1193.7614599999999</v>
      </c>
      <c r="U25" s="19">
        <f t="shared" si="115"/>
        <v>1239.7669546</v>
      </c>
      <c r="V25" s="19">
        <f t="shared" si="116"/>
        <v>1253.7826046</v>
      </c>
      <c r="W25" s="42">
        <f t="shared" si="87"/>
        <v>596.37709269999993</v>
      </c>
      <c r="Y25" s="42">
        <f t="shared" si="34"/>
        <v>615.4181873</v>
      </c>
      <c r="Z25" s="42">
        <f t="shared" si="35"/>
        <v>620.37358730000005</v>
      </c>
      <c r="AA25" s="42">
        <f t="shared" si="36"/>
        <v>636.34752730000002</v>
      </c>
      <c r="AB25" s="42">
        <f t="shared" si="37"/>
        <v>609.38261460000001</v>
      </c>
      <c r="AC25" s="42">
        <f t="shared" si="33"/>
        <v>617.36958460000005</v>
      </c>
    </row>
    <row r="26" spans="1:29" x14ac:dyDescent="0.25">
      <c r="A26" s="20" t="s">
        <v>179</v>
      </c>
      <c r="B26" s="17" t="str">
        <f>IF(ISNUMBER(SEARCH("[",A26)),IF(ISNUMBER(SEARCH("/",A26)),CONCATENATE(MID(A26,1,2)," ",(SUM(MID(A26,FIND("[",A26)+1,FIND(":",A26)-FIND("[",A26)-1),MID(A26,FIND("/",A26)+1,FIND(":",A26,FIND("/",A26))-FIND("/",A26)-1),MID(A26,FIND("[",A26,FIND("[",A26)+1)+1,(FIND(":",A26,FIND("[",A26))-FIND("[",A26)-1)),MID(A26,FIND("/",A26,FIND("/",A26)+1)+1,FIND(":",A26,FIND("/",A26,FIND("[",A26,FIND("[",A26)+1)+1))-FIND("/",A26,FIND("[",A26,FIND("[",A26)+1)+1)-1))),":",SUM(MID(A26,FIND(":",A26)+1,FIND("/",A26)-FIND(":",A26)-1),MID(A26,FIND(":",A26,FIND("/",A26))+1,FIND("]",A26)-FIND(":",A26,FIND("/",A26))-1),MID(A26,FIND(":",A26,FIND("[",A26,FIND("[",A26)+1))+1,(FIND("/",A26,FIND("[",A26,FIND("[",A26)+1)+1)-FIND(":",A26,FIND("[",A26,FIND("[",A26)+1))-1)),MID(A26,FIND(":",A26,FIND("/",A26,FIND("]",A26)+1))+1,(FIND("]",A26,FIND("[",A26,FIND("[",A26)+1)+1)-FIND(":",A26,FIND("/",A26,FIND("]",A26)+1))-1))),MID(A26,(FIND(")",A26)+1),100)),CONCATENATE(MID(A26,1,2)," ",(SUM(MID(A26,FIND("[",A26)+1,FIND(":",A26)-FIND("[",A26)-1),MID(A26,FIND("_",A26)+1,FIND(":",A26,FIND("_",A26))-FIND("_",A26)-1),MID(A26,FIND("[",A26,FIND("[",A26)+1)+1,(FIND(":",A26,FIND("[",A26))-FIND("[",A26)-1)),MID(A26,FIND("_",A26,FIND("_",A26)+1)+1,FIND(":",A26,FIND("_",A26,FIND("[",A26,FIND("[",A26)+1)+1))-FIND("_",A26,FIND("[",A26,FIND("[",A26)+1)+1)-1))),":",SUM(MID(A26,FIND(":",A26)+1,FIND("_",A26)-FIND(":",A26)-1),MID(A26,FIND(":",A26,FIND("_",A26))+1,FIND("]",A26)-FIND(":",A26,FIND("_",A26))-1),MID(A26,FIND(":",A26,FIND("[",A26,FIND("[",A26)+1))+1,(FIND("_",A26,FIND("[",A26,FIND("[",A26)+1)+1)-FIND(":",A26,FIND("[",A26,FIND("[",A26)+1))-1)),MID(A26,FIND(":",A26,FIND("_",A26,FIND("]",A26)+1))+1,(FIND("]",A26,FIND("[",A26,FIND("[",A26)+1)+1)-FIND(":",A26,FIND("_",A26,FIND("]",A26)+1))-1))),MID(A26,(FIND(")",A26)+1),100))),A26)</f>
        <v>CL 53:1</v>
      </c>
      <c r="C26" s="1" t="str">
        <f>MID(B26,4,FIND(":",B26)-FIND(" ",B26)-1)</f>
        <v>53</v>
      </c>
      <c r="D26" s="1" t="str">
        <f>IF(ISNUMBER(SEARCH("__",B26)),MID(B26,FIND(":",B26)+1,FIND("__",B26)-FIND(":",B26)-1),MID(B26,FIND(":",B26)+1,7))</f>
        <v>1</v>
      </c>
      <c r="E26" s="17">
        <f t="shared" si="103"/>
        <v>62</v>
      </c>
      <c r="F26" s="17">
        <f t="shared" si="104"/>
        <v>118</v>
      </c>
      <c r="G26" s="17">
        <v>0</v>
      </c>
      <c r="H26" s="17">
        <f t="shared" si="105"/>
        <v>17</v>
      </c>
      <c r="I26" s="17">
        <v>2</v>
      </c>
      <c r="L26" s="19" t="str">
        <f t="shared" si="106"/>
        <v>C62H118O17P2</v>
      </c>
      <c r="M26" s="19">
        <f t="shared" si="107"/>
        <v>1196.7843837999999</v>
      </c>
      <c r="N26" s="19">
        <f t="shared" si="108"/>
        <v>1197.7916584</v>
      </c>
      <c r="O26" s="42">
        <f t="shared" si="109"/>
        <v>1179.7805384000001</v>
      </c>
      <c r="P26" s="42">
        <f t="shared" si="110"/>
        <v>1214.8182038</v>
      </c>
      <c r="Q26" s="42">
        <f t="shared" si="111"/>
        <v>1219.7736037999998</v>
      </c>
      <c r="R26" s="42">
        <f t="shared" si="112"/>
        <v>1235.7475437999999</v>
      </c>
      <c r="S26" s="42">
        <f t="shared" si="113"/>
        <v>1203.7998438</v>
      </c>
      <c r="T26" s="19">
        <f t="shared" si="114"/>
        <v>1195.7771091999998</v>
      </c>
      <c r="U26" s="19">
        <f t="shared" si="115"/>
        <v>1241.7826037999998</v>
      </c>
      <c r="V26" s="19">
        <f t="shared" si="116"/>
        <v>1255.7982537999999</v>
      </c>
      <c r="W26" s="42">
        <f t="shared" si="87"/>
        <v>597.38491729999987</v>
      </c>
      <c r="Y26" s="42">
        <f t="shared" si="34"/>
        <v>616.42601189999993</v>
      </c>
      <c r="Z26" s="42">
        <f t="shared" si="35"/>
        <v>621.38141189999999</v>
      </c>
      <c r="AA26" s="42">
        <f t="shared" si="36"/>
        <v>637.35535189999996</v>
      </c>
      <c r="AB26" s="42">
        <f t="shared" si="37"/>
        <v>610.39043919999995</v>
      </c>
      <c r="AC26" s="42">
        <f t="shared" si="33"/>
        <v>618.37740919999999</v>
      </c>
    </row>
    <row r="27" spans="1:29" x14ac:dyDescent="0.25">
      <c r="A27" s="20" t="s">
        <v>145</v>
      </c>
      <c r="B27" s="17" t="str">
        <f t="shared" si="100"/>
        <v>CL 53:0</v>
      </c>
      <c r="C27" s="1" t="str">
        <f t="shared" si="101"/>
        <v>53</v>
      </c>
      <c r="D27" s="1" t="str">
        <f t="shared" si="102"/>
        <v>0</v>
      </c>
      <c r="E27" s="17">
        <f t="shared" si="103"/>
        <v>62</v>
      </c>
      <c r="F27" s="17">
        <f t="shared" si="104"/>
        <v>120</v>
      </c>
      <c r="G27" s="17">
        <v>0</v>
      </c>
      <c r="H27" s="17">
        <f t="shared" si="105"/>
        <v>17</v>
      </c>
      <c r="I27" s="17">
        <v>2</v>
      </c>
      <c r="L27" s="19" t="str">
        <f t="shared" si="106"/>
        <v>C62H120O17P2</v>
      </c>
      <c r="M27" s="19">
        <f t="shared" si="107"/>
        <v>1198.800033</v>
      </c>
      <c r="N27" s="19">
        <f t="shared" si="108"/>
        <v>1199.8073076000001</v>
      </c>
      <c r="O27" s="42">
        <f t="shared" si="109"/>
        <v>1181.7961876000002</v>
      </c>
      <c r="P27" s="42">
        <f t="shared" si="110"/>
        <v>1216.8338530000001</v>
      </c>
      <c r="Q27" s="42">
        <f t="shared" si="111"/>
        <v>1221.7892529999999</v>
      </c>
      <c r="R27" s="42">
        <f t="shared" si="112"/>
        <v>1237.763193</v>
      </c>
      <c r="S27" s="42">
        <f t="shared" si="113"/>
        <v>1205.8154930000001</v>
      </c>
      <c r="T27" s="19">
        <f t="shared" si="114"/>
        <v>1197.7927583999999</v>
      </c>
      <c r="U27" s="19">
        <f t="shared" si="115"/>
        <v>1243.7982529999999</v>
      </c>
      <c r="V27" s="19">
        <f t="shared" si="116"/>
        <v>1257.813903</v>
      </c>
      <c r="W27" s="42">
        <f t="shared" si="87"/>
        <v>598.39274189999992</v>
      </c>
      <c r="Y27" s="42">
        <f t="shared" si="34"/>
        <v>617.43383649999998</v>
      </c>
      <c r="Z27" s="42">
        <f t="shared" si="35"/>
        <v>622.38923650000004</v>
      </c>
      <c r="AA27" s="42">
        <f t="shared" si="36"/>
        <v>638.36317650000001</v>
      </c>
      <c r="AB27" s="42">
        <f t="shared" si="37"/>
        <v>611.3982638</v>
      </c>
      <c r="AC27" s="42">
        <f t="shared" si="33"/>
        <v>619.38523380000004</v>
      </c>
    </row>
    <row r="28" spans="1:29" x14ac:dyDescent="0.25">
      <c r="A28" s="20" t="s">
        <v>210</v>
      </c>
      <c r="B28" s="17" t="str">
        <f>IF(ISNUMBER(SEARCH("[",A28)),IF(ISNUMBER(SEARCH("/",A28)),CONCATENATE(MID(A28,1,2)," ",(SUM(MID(A28,FIND("[",A28)+1,FIND(":",A28)-FIND("[",A28)-1),MID(A28,FIND("/",A28)+1,FIND(":",A28,FIND("/",A28))-FIND("/",A28)-1),MID(A28,FIND("[",A28,FIND("[",A28)+1)+1,(FIND(":",A28,FIND("[",A28))-FIND("[",A28)-1)),MID(A28,FIND("/",A28,FIND("/",A28)+1)+1,FIND(":",A28,FIND("/",A28,FIND("[",A28,FIND("[",A28)+1)+1))-FIND("/",A28,FIND("[",A28,FIND("[",A28)+1)+1)-1))),":",SUM(MID(A28,FIND(":",A28)+1,FIND("/",A28)-FIND(":",A28)-1),MID(A28,FIND(":",A28,FIND("/",A28))+1,FIND("]",A28)-FIND(":",A28,FIND("/",A28))-1),MID(A28,FIND(":",A28,FIND("[",A28,FIND("[",A28)+1))+1,(FIND("/",A28,FIND("[",A28,FIND("[",A28)+1)+1)-FIND(":",A28,FIND("[",A28,FIND("[",A28)+1))-1)),MID(A28,FIND(":",A28,FIND("/",A28,FIND("]",A28)+1))+1,(FIND("]",A28,FIND("[",A28,FIND("[",A28)+1)+1)-FIND(":",A28,FIND("/",A28,FIND("]",A28)+1))-1))),MID(A28,(FIND(")",A28)+1),100)),CONCATENATE(MID(A28,1,2)," ",(SUM(MID(A28,FIND("[",A28)+1,FIND(":",A28)-FIND("[",A28)-1),MID(A28,FIND("_",A28)+1,FIND(":",A28,FIND("_",A28))-FIND("_",A28)-1),MID(A28,FIND("[",A28,FIND("[",A28)+1)+1,(FIND(":",A28,FIND("[",A28))-FIND("[",A28)-1)),MID(A28,FIND("_",A28,FIND("_",A28)+1)+1,FIND(":",A28,FIND("_",A28,FIND("[",A28,FIND("[",A28)+1)+1))-FIND("_",A28,FIND("[",A28,FIND("[",A28)+1)+1)-1))),":",SUM(MID(A28,FIND(":",A28)+1,FIND("_",A28)-FIND(":",A28)-1),MID(A28,FIND(":",A28,FIND("_",A28))+1,FIND("]",A28)-FIND(":",A28,FIND("_",A28))-1),MID(A28,FIND(":",A28,FIND("[",A28,FIND("[",A28)+1))+1,(FIND("_",A28,FIND("[",A28,FIND("[",A28)+1)+1)-FIND(":",A28,FIND("[",A28,FIND("[",A28)+1))-1)),MID(A28,FIND(":",A28,FIND("_",A28,FIND("]",A28)+1))+1,(FIND("]",A28,FIND("[",A28,FIND("[",A28)+1)+1)-FIND(":",A28,FIND("_",A28,FIND("]",A28)+1))-1))),MID(A28,(FIND(")",A28)+1),100))),A28)</f>
        <v>CL 54:2</v>
      </c>
      <c r="C28" s="1" t="str">
        <f>MID(B28,4,FIND(":",B28)-FIND(" ",B28)-1)</f>
        <v>54</v>
      </c>
      <c r="D28" s="1" t="str">
        <f>IF(ISNUMBER(SEARCH("__",B28)),MID(B28,FIND(":",B28)+1,FIND("__",B28)-FIND(":",B28)-1),MID(B28,FIND(":",B28)+1,7))</f>
        <v>2</v>
      </c>
      <c r="E28" s="17">
        <f t="shared" si="103"/>
        <v>63</v>
      </c>
      <c r="F28" s="17">
        <f t="shared" si="104"/>
        <v>118</v>
      </c>
      <c r="G28" s="17">
        <v>0</v>
      </c>
      <c r="H28" s="17">
        <f t="shared" si="105"/>
        <v>17</v>
      </c>
      <c r="I28" s="17">
        <v>2</v>
      </c>
      <c r="L28" s="19" t="str">
        <f t="shared" si="106"/>
        <v>C63H118O17P2</v>
      </c>
      <c r="M28" s="19">
        <f t="shared" si="107"/>
        <v>1208.7843837999999</v>
      </c>
      <c r="N28" s="19">
        <f t="shared" si="108"/>
        <v>1209.7916584</v>
      </c>
      <c r="O28" s="42">
        <f t="shared" si="109"/>
        <v>1191.7805384000001</v>
      </c>
      <c r="P28" s="42">
        <f t="shared" si="110"/>
        <v>1226.8182038</v>
      </c>
      <c r="Q28" s="42">
        <f t="shared" si="111"/>
        <v>1231.7736037999998</v>
      </c>
      <c r="R28" s="42">
        <f t="shared" si="112"/>
        <v>1247.7475437999999</v>
      </c>
      <c r="S28" s="42">
        <f t="shared" si="113"/>
        <v>1215.7998438</v>
      </c>
      <c r="T28" s="19">
        <f t="shared" si="114"/>
        <v>1207.7771091999998</v>
      </c>
      <c r="U28" s="19">
        <f t="shared" si="115"/>
        <v>1253.7826037999998</v>
      </c>
      <c r="V28" s="19">
        <f t="shared" si="116"/>
        <v>1267.7982537999999</v>
      </c>
      <c r="W28" s="42">
        <f t="shared" si="87"/>
        <v>603.38491729999987</v>
      </c>
      <c r="Y28" s="42">
        <f t="shared" si="34"/>
        <v>622.42601189999993</v>
      </c>
      <c r="Z28" s="42">
        <f t="shared" si="35"/>
        <v>627.38141189999999</v>
      </c>
      <c r="AA28" s="42">
        <f t="shared" si="36"/>
        <v>643.35535189999996</v>
      </c>
      <c r="AB28" s="42">
        <f t="shared" si="37"/>
        <v>616.39043919999995</v>
      </c>
      <c r="AC28" s="42">
        <f t="shared" si="33"/>
        <v>624.37740919999999</v>
      </c>
    </row>
    <row r="29" spans="1:29" x14ac:dyDescent="0.25">
      <c r="A29" s="20" t="s">
        <v>178</v>
      </c>
      <c r="B29" s="17" t="str">
        <f>IF(ISNUMBER(SEARCH("[",A29)),IF(ISNUMBER(SEARCH("/",A29)),CONCATENATE(MID(A29,1,2)," ",(SUM(MID(A29,FIND("[",A29)+1,FIND(":",A29)-FIND("[",A29)-1),MID(A29,FIND("/",A29)+1,FIND(":",A29,FIND("/",A29))-FIND("/",A29)-1),MID(A29,FIND("[",A29,FIND("[",A29)+1)+1,(FIND(":",A29,FIND("[",A29))-FIND("[",A29)-1)),MID(A29,FIND("/",A29,FIND("/",A29)+1)+1,FIND(":",A29,FIND("/",A29,FIND("[",A29,FIND("[",A29)+1)+1))-FIND("/",A29,FIND("[",A29,FIND("[",A29)+1)+1)-1))),":",SUM(MID(A29,FIND(":",A29)+1,FIND("/",A29)-FIND(":",A29)-1),MID(A29,FIND(":",A29,FIND("/",A29))+1,FIND("]",A29)-FIND(":",A29,FIND("/",A29))-1),MID(A29,FIND(":",A29,FIND("[",A29,FIND("[",A29)+1))+1,(FIND("/",A29,FIND("[",A29,FIND("[",A29)+1)+1)-FIND(":",A29,FIND("[",A29,FIND("[",A29)+1))-1)),MID(A29,FIND(":",A29,FIND("/",A29,FIND("]",A29)+1))+1,(FIND("]",A29,FIND("[",A29,FIND("[",A29)+1)+1)-FIND(":",A29,FIND("/",A29,FIND("]",A29)+1))-1))),MID(A29,(FIND(")",A29)+1),100)),CONCATENATE(MID(A29,1,2)," ",(SUM(MID(A29,FIND("[",A29)+1,FIND(":",A29)-FIND("[",A29)-1),MID(A29,FIND("_",A29)+1,FIND(":",A29,FIND("_",A29))-FIND("_",A29)-1),MID(A29,FIND("[",A29,FIND("[",A29)+1)+1,(FIND(":",A29,FIND("[",A29))-FIND("[",A29)-1)),MID(A29,FIND("_",A29,FIND("_",A29)+1)+1,FIND(":",A29,FIND("_",A29,FIND("[",A29,FIND("[",A29)+1)+1))-FIND("_",A29,FIND("[",A29,FIND("[",A29)+1)+1)-1))),":",SUM(MID(A29,FIND(":",A29)+1,FIND("_",A29)-FIND(":",A29)-1),MID(A29,FIND(":",A29,FIND("_",A29))+1,FIND("]",A29)-FIND(":",A29,FIND("_",A29))-1),MID(A29,FIND(":",A29,FIND("[",A29,FIND("[",A29)+1))+1,(FIND("_",A29,FIND("[",A29,FIND("[",A29)+1)+1)-FIND(":",A29,FIND("[",A29,FIND("[",A29)+1))-1)),MID(A29,FIND(":",A29,FIND("_",A29,FIND("]",A29)+1))+1,(FIND("]",A29,FIND("[",A29,FIND("[",A29)+1)+1)-FIND(":",A29,FIND("_",A29,FIND("]",A29)+1))-1))),MID(A29,(FIND(")",A29)+1),100))),A29)</f>
        <v>CL 54:1</v>
      </c>
      <c r="C29" s="1" t="str">
        <f>MID(B29,4,FIND(":",B29)-FIND(" ",B29)-1)</f>
        <v>54</v>
      </c>
      <c r="D29" s="1" t="str">
        <f>IF(ISNUMBER(SEARCH("__",B29)),MID(B29,FIND(":",B29)+1,FIND("__",B29)-FIND(":",B29)-1),MID(B29,FIND(":",B29)+1,7))</f>
        <v>1</v>
      </c>
      <c r="E29" s="17">
        <f t="shared" si="103"/>
        <v>63</v>
      </c>
      <c r="F29" s="17">
        <f t="shared" si="104"/>
        <v>120</v>
      </c>
      <c r="G29" s="17">
        <v>0</v>
      </c>
      <c r="H29" s="17">
        <f t="shared" si="105"/>
        <v>17</v>
      </c>
      <c r="I29" s="17">
        <v>2</v>
      </c>
      <c r="L29" s="19" t="str">
        <f t="shared" si="106"/>
        <v>C63H120O17P2</v>
      </c>
      <c r="M29" s="19">
        <f t="shared" si="107"/>
        <v>1210.800033</v>
      </c>
      <c r="N29" s="19">
        <f t="shared" si="108"/>
        <v>1211.8073076000001</v>
      </c>
      <c r="O29" s="42">
        <f t="shared" si="109"/>
        <v>1193.7961876000002</v>
      </c>
      <c r="P29" s="42">
        <f t="shared" si="110"/>
        <v>1228.8338530000001</v>
      </c>
      <c r="Q29" s="42">
        <f t="shared" si="111"/>
        <v>1233.7892529999999</v>
      </c>
      <c r="R29" s="42">
        <f t="shared" si="112"/>
        <v>1249.763193</v>
      </c>
      <c r="S29" s="42">
        <f t="shared" si="113"/>
        <v>1217.8154930000001</v>
      </c>
      <c r="T29" s="19">
        <f t="shared" si="114"/>
        <v>1209.7927583999999</v>
      </c>
      <c r="U29" s="19">
        <f t="shared" si="115"/>
        <v>1255.7982529999999</v>
      </c>
      <c r="V29" s="19">
        <f t="shared" si="116"/>
        <v>1269.813903</v>
      </c>
      <c r="W29" s="42">
        <f t="shared" si="87"/>
        <v>604.39274189999992</v>
      </c>
      <c r="Y29" s="42">
        <f t="shared" si="34"/>
        <v>623.43383649999998</v>
      </c>
      <c r="Z29" s="42">
        <f t="shared" si="35"/>
        <v>628.38923650000004</v>
      </c>
      <c r="AA29" s="42">
        <f t="shared" si="36"/>
        <v>644.36317650000001</v>
      </c>
      <c r="AB29" s="42">
        <f t="shared" si="37"/>
        <v>617.3982638</v>
      </c>
      <c r="AC29" s="42">
        <f t="shared" si="33"/>
        <v>625.38523380000004</v>
      </c>
    </row>
    <row r="30" spans="1:29" x14ac:dyDescent="0.25">
      <c r="A30" s="20" t="s">
        <v>146</v>
      </c>
      <c r="B30" s="17" t="str">
        <f t="shared" si="100"/>
        <v>CL 54:0</v>
      </c>
      <c r="C30" s="1" t="str">
        <f t="shared" si="101"/>
        <v>54</v>
      </c>
      <c r="D30" s="1" t="str">
        <f t="shared" si="102"/>
        <v>0</v>
      </c>
      <c r="E30" s="17">
        <f t="shared" si="103"/>
        <v>63</v>
      </c>
      <c r="F30" s="17">
        <f t="shared" si="104"/>
        <v>122</v>
      </c>
      <c r="G30" s="17">
        <v>0</v>
      </c>
      <c r="H30" s="17">
        <f t="shared" si="105"/>
        <v>17</v>
      </c>
      <c r="I30" s="17">
        <v>2</v>
      </c>
      <c r="L30" s="19" t="str">
        <f t="shared" si="106"/>
        <v>C63H122O17P2</v>
      </c>
      <c r="M30" s="19">
        <f t="shared" si="107"/>
        <v>1212.8156821999999</v>
      </c>
      <c r="N30" s="19">
        <f t="shared" si="108"/>
        <v>1213.8229567999999</v>
      </c>
      <c r="O30" s="42">
        <f t="shared" si="109"/>
        <v>1195.8118368</v>
      </c>
      <c r="P30" s="42">
        <f t="shared" si="110"/>
        <v>1230.8495022</v>
      </c>
      <c r="Q30" s="42">
        <f t="shared" si="111"/>
        <v>1235.8049021999998</v>
      </c>
      <c r="R30" s="42">
        <f t="shared" si="112"/>
        <v>1251.7788421999999</v>
      </c>
      <c r="S30" s="42">
        <f t="shared" si="113"/>
        <v>1219.8311421999999</v>
      </c>
      <c r="T30" s="19">
        <f t="shared" si="114"/>
        <v>1211.8084075999998</v>
      </c>
      <c r="U30" s="19">
        <f t="shared" si="115"/>
        <v>1257.8139021999998</v>
      </c>
      <c r="V30" s="19">
        <f t="shared" si="116"/>
        <v>1271.8295521999999</v>
      </c>
      <c r="W30" s="42">
        <f t="shared" si="87"/>
        <v>605.40056649999985</v>
      </c>
      <c r="Y30" s="42">
        <f t="shared" si="34"/>
        <v>624.44166109999992</v>
      </c>
      <c r="Z30" s="42">
        <f t="shared" si="35"/>
        <v>629.39706109999997</v>
      </c>
      <c r="AA30" s="42">
        <f t="shared" si="36"/>
        <v>645.37100109999994</v>
      </c>
      <c r="AB30" s="42">
        <f t="shared" si="37"/>
        <v>618.40608839999993</v>
      </c>
      <c r="AC30" s="42">
        <f t="shared" si="33"/>
        <v>626.39305839999997</v>
      </c>
    </row>
    <row r="31" spans="1:29" x14ac:dyDescent="0.25">
      <c r="A31" s="20" t="s">
        <v>211</v>
      </c>
      <c r="B31" s="17" t="str">
        <f>IF(ISNUMBER(SEARCH("[",A31)),IF(ISNUMBER(SEARCH("/",A31)),CONCATENATE(MID(A31,1,2)," ",(SUM(MID(A31,FIND("[",A31)+1,FIND(":",A31)-FIND("[",A31)-1),MID(A31,FIND("/",A31)+1,FIND(":",A31,FIND("/",A31))-FIND("/",A31)-1),MID(A31,FIND("[",A31,FIND("[",A31)+1)+1,(FIND(":",A31,FIND("[",A31))-FIND("[",A31)-1)),MID(A31,FIND("/",A31,FIND("/",A31)+1)+1,FIND(":",A31,FIND("/",A31,FIND("[",A31,FIND("[",A31)+1)+1))-FIND("/",A31,FIND("[",A31,FIND("[",A31)+1)+1)-1))),":",SUM(MID(A31,FIND(":",A31)+1,FIND("/",A31)-FIND(":",A31)-1),MID(A31,FIND(":",A31,FIND("/",A31))+1,FIND("]",A31)-FIND(":",A31,FIND("/",A31))-1),MID(A31,FIND(":",A31,FIND("[",A31,FIND("[",A31)+1))+1,(FIND("/",A31,FIND("[",A31,FIND("[",A31)+1)+1)-FIND(":",A31,FIND("[",A31,FIND("[",A31)+1))-1)),MID(A31,FIND(":",A31,FIND("/",A31,FIND("]",A31)+1))+1,(FIND("]",A31,FIND("[",A31,FIND("[",A31)+1)+1)-FIND(":",A31,FIND("/",A31,FIND("]",A31)+1))-1))),MID(A31,(FIND(")",A31)+1),100)),CONCATENATE(MID(A31,1,2)," ",(SUM(MID(A31,FIND("[",A31)+1,FIND(":",A31)-FIND("[",A31)-1),MID(A31,FIND("_",A31)+1,FIND(":",A31,FIND("_",A31))-FIND("_",A31)-1),MID(A31,FIND("[",A31,FIND("[",A31)+1)+1,(FIND(":",A31,FIND("[",A31))-FIND("[",A31)-1)),MID(A31,FIND("_",A31,FIND("_",A31)+1)+1,FIND(":",A31,FIND("_",A31,FIND("[",A31,FIND("[",A31)+1)+1))-FIND("_",A31,FIND("[",A31,FIND("[",A31)+1)+1)-1))),":",SUM(MID(A31,FIND(":",A31)+1,FIND("_",A31)-FIND(":",A31)-1),MID(A31,FIND(":",A31,FIND("_",A31))+1,FIND("]",A31)-FIND(":",A31,FIND("_",A31))-1),MID(A31,FIND(":",A31,FIND("[",A31,FIND("[",A31)+1))+1,(FIND("_",A31,FIND("[",A31,FIND("[",A31)+1)+1)-FIND(":",A31,FIND("[",A31,FIND("[",A31)+1))-1)),MID(A31,FIND(":",A31,FIND("_",A31,FIND("]",A31)+1))+1,(FIND("]",A31,FIND("[",A31,FIND("[",A31)+1)+1)-FIND(":",A31,FIND("_",A31,FIND("]",A31)+1))-1))),MID(A31,(FIND(")",A31)+1),100))),A31)</f>
        <v>CL 55:2</v>
      </c>
      <c r="C31" s="1" t="str">
        <f>MID(B31,4,FIND(":",B31)-FIND(" ",B31)-1)</f>
        <v>55</v>
      </c>
      <c r="D31" s="1" t="str">
        <f>IF(ISNUMBER(SEARCH("__",B31)),MID(B31,FIND(":",B31)+1,FIND("__",B31)-FIND(":",B31)-1),MID(B31,FIND(":",B31)+1,7))</f>
        <v>2</v>
      </c>
      <c r="E31" s="17">
        <f t="shared" si="103"/>
        <v>64</v>
      </c>
      <c r="F31" s="17">
        <f t="shared" si="104"/>
        <v>120</v>
      </c>
      <c r="G31" s="17">
        <v>0</v>
      </c>
      <c r="H31" s="17">
        <f t="shared" si="105"/>
        <v>17</v>
      </c>
      <c r="I31" s="17">
        <v>2</v>
      </c>
      <c r="L31" s="19" t="str">
        <f t="shared" si="106"/>
        <v>C64H120O17P2</v>
      </c>
      <c r="M31" s="19">
        <f t="shared" si="107"/>
        <v>1222.800033</v>
      </c>
      <c r="N31" s="19">
        <f t="shared" si="108"/>
        <v>1223.8073076000001</v>
      </c>
      <c r="O31" s="42">
        <f t="shared" si="109"/>
        <v>1205.7961876000002</v>
      </c>
      <c r="P31" s="42">
        <f t="shared" si="110"/>
        <v>1240.8338530000001</v>
      </c>
      <c r="Q31" s="42">
        <f t="shared" si="111"/>
        <v>1245.7892529999999</v>
      </c>
      <c r="R31" s="42">
        <f t="shared" si="112"/>
        <v>1261.763193</v>
      </c>
      <c r="S31" s="42">
        <f t="shared" si="113"/>
        <v>1229.8154930000001</v>
      </c>
      <c r="T31" s="19">
        <f t="shared" si="114"/>
        <v>1221.7927583999999</v>
      </c>
      <c r="U31" s="19">
        <f t="shared" si="115"/>
        <v>1267.7982529999999</v>
      </c>
      <c r="V31" s="19">
        <f t="shared" si="116"/>
        <v>1281.813903</v>
      </c>
      <c r="W31" s="42">
        <f t="shared" si="87"/>
        <v>610.39274189999992</v>
      </c>
      <c r="Y31" s="42">
        <f t="shared" si="34"/>
        <v>629.43383649999998</v>
      </c>
      <c r="Z31" s="42">
        <f t="shared" si="35"/>
        <v>634.38923650000004</v>
      </c>
      <c r="AA31" s="42">
        <f t="shared" si="36"/>
        <v>650.36317650000001</v>
      </c>
      <c r="AB31" s="42">
        <f t="shared" si="37"/>
        <v>623.3982638</v>
      </c>
      <c r="AC31" s="42">
        <f t="shared" si="33"/>
        <v>631.38523380000004</v>
      </c>
    </row>
    <row r="32" spans="1:29" x14ac:dyDescent="0.25">
      <c r="A32" s="20" t="s">
        <v>177</v>
      </c>
      <c r="B32" s="17" t="str">
        <f>IF(ISNUMBER(SEARCH("[",A32)),IF(ISNUMBER(SEARCH("/",A32)),CONCATENATE(MID(A32,1,2)," ",(SUM(MID(A32,FIND("[",A32)+1,FIND(":",A32)-FIND("[",A32)-1),MID(A32,FIND("/",A32)+1,FIND(":",A32,FIND("/",A32))-FIND("/",A32)-1),MID(A32,FIND("[",A32,FIND("[",A32)+1)+1,(FIND(":",A32,FIND("[",A32))-FIND("[",A32)-1)),MID(A32,FIND("/",A32,FIND("/",A32)+1)+1,FIND(":",A32,FIND("/",A32,FIND("[",A32,FIND("[",A32)+1)+1))-FIND("/",A32,FIND("[",A32,FIND("[",A32)+1)+1)-1))),":",SUM(MID(A32,FIND(":",A32)+1,FIND("/",A32)-FIND(":",A32)-1),MID(A32,FIND(":",A32,FIND("/",A32))+1,FIND("]",A32)-FIND(":",A32,FIND("/",A32))-1),MID(A32,FIND(":",A32,FIND("[",A32,FIND("[",A32)+1))+1,(FIND("/",A32,FIND("[",A32,FIND("[",A32)+1)+1)-FIND(":",A32,FIND("[",A32,FIND("[",A32)+1))-1)),MID(A32,FIND(":",A32,FIND("/",A32,FIND("]",A32)+1))+1,(FIND("]",A32,FIND("[",A32,FIND("[",A32)+1)+1)-FIND(":",A32,FIND("/",A32,FIND("]",A32)+1))-1))),MID(A32,(FIND(")",A32)+1),100)),CONCATENATE(MID(A32,1,2)," ",(SUM(MID(A32,FIND("[",A32)+1,FIND(":",A32)-FIND("[",A32)-1),MID(A32,FIND("_",A32)+1,FIND(":",A32,FIND("_",A32))-FIND("_",A32)-1),MID(A32,FIND("[",A32,FIND("[",A32)+1)+1,(FIND(":",A32,FIND("[",A32))-FIND("[",A32)-1)),MID(A32,FIND("_",A32,FIND("_",A32)+1)+1,FIND(":",A32,FIND("_",A32,FIND("[",A32,FIND("[",A32)+1)+1))-FIND("_",A32,FIND("[",A32,FIND("[",A32)+1)+1)-1))),":",SUM(MID(A32,FIND(":",A32)+1,FIND("_",A32)-FIND(":",A32)-1),MID(A32,FIND(":",A32,FIND("_",A32))+1,FIND("]",A32)-FIND(":",A32,FIND("_",A32))-1),MID(A32,FIND(":",A32,FIND("[",A32,FIND("[",A32)+1))+1,(FIND("_",A32,FIND("[",A32,FIND("[",A32)+1)+1)-FIND(":",A32,FIND("[",A32,FIND("[",A32)+1))-1)),MID(A32,FIND(":",A32,FIND("_",A32,FIND("]",A32)+1))+1,(FIND("]",A32,FIND("[",A32,FIND("[",A32)+1)+1)-FIND(":",A32,FIND("_",A32,FIND("]",A32)+1))-1))),MID(A32,(FIND(")",A32)+1),100))),A32)</f>
        <v>CL 55:1</v>
      </c>
      <c r="C32" s="1" t="str">
        <f>MID(B32,4,FIND(":",B32)-FIND(" ",B32)-1)</f>
        <v>55</v>
      </c>
      <c r="D32" s="1" t="str">
        <f>IF(ISNUMBER(SEARCH("__",B32)),MID(B32,FIND(":",B32)+1,FIND("__",B32)-FIND(":",B32)-1),MID(B32,FIND(":",B32)+1,7))</f>
        <v>1</v>
      </c>
      <c r="E32" s="17">
        <f t="shared" si="103"/>
        <v>64</v>
      </c>
      <c r="F32" s="17">
        <f t="shared" si="104"/>
        <v>122</v>
      </c>
      <c r="G32" s="17">
        <v>0</v>
      </c>
      <c r="H32" s="17">
        <f t="shared" si="105"/>
        <v>17</v>
      </c>
      <c r="I32" s="17">
        <v>2</v>
      </c>
      <c r="L32" s="19" t="str">
        <f t="shared" si="106"/>
        <v>C64H122O17P2</v>
      </c>
      <c r="M32" s="19">
        <f t="shared" si="107"/>
        <v>1224.8156821999999</v>
      </c>
      <c r="N32" s="19">
        <f t="shared" si="108"/>
        <v>1225.8229567999999</v>
      </c>
      <c r="O32" s="42">
        <f t="shared" si="109"/>
        <v>1207.8118368</v>
      </c>
      <c r="P32" s="42">
        <f t="shared" si="110"/>
        <v>1242.8495022</v>
      </c>
      <c r="Q32" s="42">
        <f t="shared" si="111"/>
        <v>1247.8049021999998</v>
      </c>
      <c r="R32" s="42">
        <f t="shared" si="112"/>
        <v>1263.7788421999999</v>
      </c>
      <c r="S32" s="42">
        <f t="shared" si="113"/>
        <v>1231.8311421999999</v>
      </c>
      <c r="T32" s="19">
        <f t="shared" si="114"/>
        <v>1223.8084075999998</v>
      </c>
      <c r="U32" s="19">
        <f t="shared" si="115"/>
        <v>1269.8139021999998</v>
      </c>
      <c r="V32" s="19">
        <f t="shared" si="116"/>
        <v>1283.8295521999999</v>
      </c>
      <c r="W32" s="42">
        <f t="shared" si="87"/>
        <v>611.40056649999985</v>
      </c>
      <c r="Y32" s="42">
        <f t="shared" si="34"/>
        <v>630.44166109999992</v>
      </c>
      <c r="Z32" s="42">
        <f t="shared" si="35"/>
        <v>635.39706109999997</v>
      </c>
      <c r="AA32" s="42">
        <f t="shared" si="36"/>
        <v>651.37100109999994</v>
      </c>
      <c r="AB32" s="42">
        <f t="shared" si="37"/>
        <v>624.40608839999993</v>
      </c>
      <c r="AC32" s="42">
        <f t="shared" si="33"/>
        <v>632.39305839999997</v>
      </c>
    </row>
    <row r="33" spans="1:29" x14ac:dyDescent="0.25">
      <c r="A33" s="20" t="s">
        <v>147</v>
      </c>
      <c r="B33" s="17" t="str">
        <f t="shared" si="100"/>
        <v>CL 55:0</v>
      </c>
      <c r="C33" s="1" t="str">
        <f t="shared" si="101"/>
        <v>55</v>
      </c>
      <c r="D33" s="1" t="str">
        <f t="shared" si="102"/>
        <v>0</v>
      </c>
      <c r="E33" s="17">
        <f t="shared" si="103"/>
        <v>64</v>
      </c>
      <c r="F33" s="17">
        <f t="shared" si="104"/>
        <v>124</v>
      </c>
      <c r="G33" s="17">
        <v>0</v>
      </c>
      <c r="H33" s="17">
        <f t="shared" si="105"/>
        <v>17</v>
      </c>
      <c r="I33" s="17">
        <v>2</v>
      </c>
      <c r="L33" s="19" t="str">
        <f t="shared" si="106"/>
        <v>C64H124O17P2</v>
      </c>
      <c r="M33" s="19">
        <f t="shared" si="107"/>
        <v>1226.8313314</v>
      </c>
      <c r="N33" s="19">
        <f t="shared" si="108"/>
        <v>1227.838606</v>
      </c>
      <c r="O33" s="42">
        <f t="shared" si="109"/>
        <v>1209.8274860000001</v>
      </c>
      <c r="P33" s="42">
        <f t="shared" si="110"/>
        <v>1244.8651514000001</v>
      </c>
      <c r="Q33" s="42">
        <f t="shared" si="111"/>
        <v>1249.8205513999999</v>
      </c>
      <c r="R33" s="42">
        <f t="shared" si="112"/>
        <v>1265.7944914</v>
      </c>
      <c r="S33" s="42">
        <f t="shared" si="113"/>
        <v>1233.8467914</v>
      </c>
      <c r="T33" s="19">
        <f t="shared" si="114"/>
        <v>1225.8240567999999</v>
      </c>
      <c r="U33" s="19">
        <f t="shared" si="115"/>
        <v>1271.8295513999999</v>
      </c>
      <c r="V33" s="19">
        <f t="shared" si="116"/>
        <v>1285.8452014</v>
      </c>
      <c r="W33" s="42">
        <f t="shared" si="87"/>
        <v>612.4083910999999</v>
      </c>
      <c r="Y33" s="42">
        <f t="shared" si="34"/>
        <v>631.44948569999997</v>
      </c>
      <c r="Z33" s="42">
        <f t="shared" si="35"/>
        <v>636.40488570000002</v>
      </c>
      <c r="AA33" s="42">
        <f t="shared" si="36"/>
        <v>652.37882569999999</v>
      </c>
      <c r="AB33" s="42">
        <f t="shared" si="37"/>
        <v>625.41391299999998</v>
      </c>
      <c r="AC33" s="42">
        <f t="shared" si="33"/>
        <v>633.40088300000002</v>
      </c>
    </row>
    <row r="34" spans="1:29" x14ac:dyDescent="0.25">
      <c r="A34" s="20" t="s">
        <v>212</v>
      </c>
      <c r="B34" s="17" t="str">
        <f>IF(ISNUMBER(SEARCH("[",A34)),IF(ISNUMBER(SEARCH("/",A34)),CONCATENATE(MID(A34,1,2)," ",(SUM(MID(A34,FIND("[",A34)+1,FIND(":",A34)-FIND("[",A34)-1),MID(A34,FIND("/",A34)+1,FIND(":",A34,FIND("/",A34))-FIND("/",A34)-1),MID(A34,FIND("[",A34,FIND("[",A34)+1)+1,(FIND(":",A34,FIND("[",A34))-FIND("[",A34)-1)),MID(A34,FIND("/",A34,FIND("/",A34)+1)+1,FIND(":",A34,FIND("/",A34,FIND("[",A34,FIND("[",A34)+1)+1))-FIND("/",A34,FIND("[",A34,FIND("[",A34)+1)+1)-1))),":",SUM(MID(A34,FIND(":",A34)+1,FIND("/",A34)-FIND(":",A34)-1),MID(A34,FIND(":",A34,FIND("/",A34))+1,FIND("]",A34)-FIND(":",A34,FIND("/",A34))-1),MID(A34,FIND(":",A34,FIND("[",A34,FIND("[",A34)+1))+1,(FIND("/",A34,FIND("[",A34,FIND("[",A34)+1)+1)-FIND(":",A34,FIND("[",A34,FIND("[",A34)+1))-1)),MID(A34,FIND(":",A34,FIND("/",A34,FIND("]",A34)+1))+1,(FIND("]",A34,FIND("[",A34,FIND("[",A34)+1)+1)-FIND(":",A34,FIND("/",A34,FIND("]",A34)+1))-1))),MID(A34,(FIND(")",A34)+1),100)),CONCATENATE(MID(A34,1,2)," ",(SUM(MID(A34,FIND("[",A34)+1,FIND(":",A34)-FIND("[",A34)-1),MID(A34,FIND("_",A34)+1,FIND(":",A34,FIND("_",A34))-FIND("_",A34)-1),MID(A34,FIND("[",A34,FIND("[",A34)+1)+1,(FIND(":",A34,FIND("[",A34))-FIND("[",A34)-1)),MID(A34,FIND("_",A34,FIND("_",A34)+1)+1,FIND(":",A34,FIND("_",A34,FIND("[",A34,FIND("[",A34)+1)+1))-FIND("_",A34,FIND("[",A34,FIND("[",A34)+1)+1)-1))),":",SUM(MID(A34,FIND(":",A34)+1,FIND("_",A34)-FIND(":",A34)-1),MID(A34,FIND(":",A34,FIND("_",A34))+1,FIND("]",A34)-FIND(":",A34,FIND("_",A34))-1),MID(A34,FIND(":",A34,FIND("[",A34,FIND("[",A34)+1))+1,(FIND("_",A34,FIND("[",A34,FIND("[",A34)+1)+1)-FIND(":",A34,FIND("[",A34,FIND("[",A34)+1))-1)),MID(A34,FIND(":",A34,FIND("_",A34,FIND("]",A34)+1))+1,(FIND("]",A34,FIND("[",A34,FIND("[",A34)+1)+1)-FIND(":",A34,FIND("_",A34,FIND("]",A34)+1))-1))),MID(A34,(FIND(")",A34)+1),100))),A34)</f>
        <v>CL 56:2</v>
      </c>
      <c r="C34" s="1" t="str">
        <f>MID(B34,4,FIND(":",B34)-FIND(" ",B34)-1)</f>
        <v>56</v>
      </c>
      <c r="D34" s="1" t="str">
        <f>IF(ISNUMBER(SEARCH("__",B34)),MID(B34,FIND(":",B34)+1,FIND("__",B34)-FIND(":",B34)-1),MID(B34,FIND(":",B34)+1,7))</f>
        <v>2</v>
      </c>
      <c r="E34" s="17">
        <f t="shared" si="103"/>
        <v>65</v>
      </c>
      <c r="F34" s="17">
        <f t="shared" si="104"/>
        <v>122</v>
      </c>
      <c r="G34" s="17">
        <v>0</v>
      </c>
      <c r="H34" s="17">
        <f t="shared" si="105"/>
        <v>17</v>
      </c>
      <c r="I34" s="17">
        <v>2</v>
      </c>
      <c r="L34" s="19" t="str">
        <f t="shared" si="106"/>
        <v>C65H122O17P2</v>
      </c>
      <c r="M34" s="19">
        <f t="shared" si="107"/>
        <v>1236.8156821999999</v>
      </c>
      <c r="N34" s="19">
        <f t="shared" si="108"/>
        <v>1237.8229567999999</v>
      </c>
      <c r="O34" s="42">
        <f t="shared" si="109"/>
        <v>1219.8118368</v>
      </c>
      <c r="P34" s="42">
        <f t="shared" si="110"/>
        <v>1254.8495022</v>
      </c>
      <c r="Q34" s="42">
        <f t="shared" si="111"/>
        <v>1259.8049021999998</v>
      </c>
      <c r="R34" s="42">
        <f t="shared" si="112"/>
        <v>1275.7788421999999</v>
      </c>
      <c r="S34" s="42">
        <f t="shared" si="113"/>
        <v>1243.8311421999999</v>
      </c>
      <c r="T34" s="19">
        <f t="shared" si="114"/>
        <v>1235.8084075999998</v>
      </c>
      <c r="U34" s="19">
        <f t="shared" si="115"/>
        <v>1281.8139021999998</v>
      </c>
      <c r="V34" s="19">
        <f t="shared" si="116"/>
        <v>1295.8295521999999</v>
      </c>
      <c r="W34" s="42">
        <f t="shared" si="87"/>
        <v>617.40056649999985</v>
      </c>
      <c r="Y34" s="42">
        <f t="shared" si="34"/>
        <v>636.44166109999992</v>
      </c>
      <c r="Z34" s="42">
        <f t="shared" si="35"/>
        <v>641.39706109999997</v>
      </c>
      <c r="AA34" s="42">
        <f t="shared" si="36"/>
        <v>657.37100109999994</v>
      </c>
      <c r="AB34" s="42">
        <f t="shared" si="37"/>
        <v>630.40608839999993</v>
      </c>
      <c r="AC34" s="42">
        <f t="shared" si="33"/>
        <v>638.39305839999997</v>
      </c>
    </row>
    <row r="35" spans="1:29" x14ac:dyDescent="0.25">
      <c r="A35" s="20" t="s">
        <v>165</v>
      </c>
      <c r="B35" s="17" t="str">
        <f>IF(ISNUMBER(SEARCH("[",A35)),IF(ISNUMBER(SEARCH("/",A35)),CONCATENATE(MID(A35,1,2)," ",(SUM(MID(A35,FIND("[",A35)+1,FIND(":",A35)-FIND("[",A35)-1),MID(A35,FIND("/",A35)+1,FIND(":",A35,FIND("/",A35))-FIND("/",A35)-1),MID(A35,FIND("[",A35,FIND("[",A35)+1)+1,(FIND(":",A35,FIND("[",A35))-FIND("[",A35)-1)),MID(A35,FIND("/",A35,FIND("/",A35)+1)+1,FIND(":",A35,FIND("/",A35,FIND("[",A35,FIND("[",A35)+1)+1))-FIND("/",A35,FIND("[",A35,FIND("[",A35)+1)+1)-1))),":",SUM(MID(A35,FIND(":",A35)+1,FIND("/",A35)-FIND(":",A35)-1),MID(A35,FIND(":",A35,FIND("/",A35))+1,FIND("]",A35)-FIND(":",A35,FIND("/",A35))-1),MID(A35,FIND(":",A35,FIND("[",A35,FIND("[",A35)+1))+1,(FIND("/",A35,FIND("[",A35,FIND("[",A35)+1)+1)-FIND(":",A35,FIND("[",A35,FIND("[",A35)+1))-1)),MID(A35,FIND(":",A35,FIND("/",A35,FIND("]",A35)+1))+1,(FIND("]",A35,FIND("[",A35,FIND("[",A35)+1)+1)-FIND(":",A35,FIND("/",A35,FIND("]",A35)+1))-1))),MID(A35,(FIND(")",A35)+1),100)),CONCATENATE(MID(A35,1,2)," ",(SUM(MID(A35,FIND("[",A35)+1,FIND(":",A35)-FIND("[",A35)-1),MID(A35,FIND("_",A35)+1,FIND(":",A35,FIND("_",A35))-FIND("_",A35)-1),MID(A35,FIND("[",A35,FIND("[",A35)+1)+1,(FIND(":",A35,FIND("[",A35))-FIND("[",A35)-1)),MID(A35,FIND("_",A35,FIND("_",A35)+1)+1,FIND(":",A35,FIND("_",A35,FIND("[",A35,FIND("[",A35)+1)+1))-FIND("_",A35,FIND("[",A35,FIND("[",A35)+1)+1)-1))),":",SUM(MID(A35,FIND(":",A35)+1,FIND("_",A35)-FIND(":",A35)-1),MID(A35,FIND(":",A35,FIND("_",A35))+1,FIND("]",A35)-FIND(":",A35,FIND("_",A35))-1),MID(A35,FIND(":",A35,FIND("[",A35,FIND("[",A35)+1))+1,(FIND("_",A35,FIND("[",A35,FIND("[",A35)+1)+1)-FIND(":",A35,FIND("[",A35,FIND("[",A35)+1))-1)),MID(A35,FIND(":",A35,FIND("_",A35,FIND("]",A35)+1))+1,(FIND("]",A35,FIND("[",A35,FIND("[",A35)+1)+1)-FIND(":",A35,FIND("_",A35,FIND("]",A35)+1))-1))),MID(A35,(FIND(")",A35)+1),100))),A35)</f>
        <v>CL 56:1</v>
      </c>
      <c r="C35" s="1" t="str">
        <f>MID(B35,4,FIND(":",B35)-FIND(" ",B35)-1)</f>
        <v>56</v>
      </c>
      <c r="D35" s="1" t="str">
        <f>IF(ISNUMBER(SEARCH("__",B35)),MID(B35,FIND(":",B35)+1,FIND("__",B35)-FIND(":",B35)-1),MID(B35,FIND(":",B35)+1,7))</f>
        <v>1</v>
      </c>
      <c r="E35" s="17">
        <f t="shared" si="103"/>
        <v>65</v>
      </c>
      <c r="F35" s="17">
        <f t="shared" si="104"/>
        <v>124</v>
      </c>
      <c r="G35" s="17">
        <v>0</v>
      </c>
      <c r="H35" s="17">
        <f t="shared" si="105"/>
        <v>17</v>
      </c>
      <c r="I35" s="17">
        <v>2</v>
      </c>
      <c r="L35" s="19" t="str">
        <f t="shared" si="106"/>
        <v>C65H124O17P2</v>
      </c>
      <c r="M35" s="19">
        <f t="shared" si="107"/>
        <v>1238.8313314</v>
      </c>
      <c r="N35" s="19">
        <f t="shared" si="108"/>
        <v>1239.838606</v>
      </c>
      <c r="O35" s="42">
        <f t="shared" si="109"/>
        <v>1221.8274860000001</v>
      </c>
      <c r="P35" s="42">
        <f t="shared" si="110"/>
        <v>1256.8651514000001</v>
      </c>
      <c r="Q35" s="42">
        <f t="shared" si="111"/>
        <v>1261.8205513999999</v>
      </c>
      <c r="R35" s="42">
        <f t="shared" si="112"/>
        <v>1277.7944914</v>
      </c>
      <c r="S35" s="42">
        <f t="shared" si="113"/>
        <v>1245.8467914</v>
      </c>
      <c r="T35" s="19">
        <f t="shared" si="114"/>
        <v>1237.8240567999999</v>
      </c>
      <c r="U35" s="19">
        <f t="shared" si="115"/>
        <v>1283.8295513999999</v>
      </c>
      <c r="V35" s="19">
        <f t="shared" si="116"/>
        <v>1297.8452014</v>
      </c>
      <c r="W35" s="42">
        <f t="shared" si="87"/>
        <v>618.4083910999999</v>
      </c>
      <c r="Y35" s="42">
        <f t="shared" si="34"/>
        <v>637.44948569999997</v>
      </c>
      <c r="Z35" s="42">
        <f t="shared" si="35"/>
        <v>642.40488570000002</v>
      </c>
      <c r="AA35" s="42">
        <f t="shared" si="36"/>
        <v>658.37882569999999</v>
      </c>
      <c r="AB35" s="42">
        <f t="shared" si="37"/>
        <v>631.41391299999998</v>
      </c>
      <c r="AC35" s="42">
        <f t="shared" si="33"/>
        <v>639.40088300000002</v>
      </c>
    </row>
    <row r="36" spans="1:29" x14ac:dyDescent="0.25">
      <c r="A36" s="20" t="s">
        <v>140</v>
      </c>
      <c r="B36" s="17" t="str">
        <f t="shared" si="100"/>
        <v>CL 56:0</v>
      </c>
      <c r="C36" s="1" t="str">
        <f t="shared" si="101"/>
        <v>56</v>
      </c>
      <c r="D36" s="1" t="str">
        <f t="shared" si="102"/>
        <v>0</v>
      </c>
      <c r="E36" s="17">
        <f t="shared" si="103"/>
        <v>65</v>
      </c>
      <c r="F36" s="17">
        <f t="shared" si="104"/>
        <v>126</v>
      </c>
      <c r="G36" s="17">
        <v>0</v>
      </c>
      <c r="H36" s="17">
        <f t="shared" si="105"/>
        <v>17</v>
      </c>
      <c r="I36" s="17">
        <v>2</v>
      </c>
      <c r="L36" s="19" t="str">
        <f t="shared" si="106"/>
        <v>C65H126O17P2</v>
      </c>
      <c r="M36" s="19">
        <f t="shared" si="107"/>
        <v>1240.8469806000001</v>
      </c>
      <c r="N36" s="19">
        <f t="shared" si="108"/>
        <v>1241.8542552000001</v>
      </c>
      <c r="O36" s="42">
        <f t="shared" si="109"/>
        <v>1223.8431352000002</v>
      </c>
      <c r="P36" s="42">
        <f t="shared" si="110"/>
        <v>1258.8808006000002</v>
      </c>
      <c r="Q36" s="42">
        <f t="shared" si="111"/>
        <v>1263.8362006</v>
      </c>
      <c r="R36" s="42">
        <f t="shared" si="112"/>
        <v>1279.8101406000001</v>
      </c>
      <c r="S36" s="42">
        <f t="shared" si="113"/>
        <v>1247.8624406000001</v>
      </c>
      <c r="T36" s="19">
        <f t="shared" si="114"/>
        <v>1239.839706</v>
      </c>
      <c r="U36" s="19">
        <f t="shared" si="115"/>
        <v>1285.8452006</v>
      </c>
      <c r="V36" s="19">
        <f t="shared" si="116"/>
        <v>1299.8608506</v>
      </c>
      <c r="W36" s="42">
        <f t="shared" si="87"/>
        <v>619.41621569999995</v>
      </c>
      <c r="Y36" s="42">
        <f t="shared" si="34"/>
        <v>638.45731030000002</v>
      </c>
      <c r="Z36" s="42">
        <f t="shared" si="35"/>
        <v>643.41271030000007</v>
      </c>
      <c r="AA36" s="42">
        <f t="shared" si="36"/>
        <v>659.38665030000004</v>
      </c>
      <c r="AB36" s="42">
        <f t="shared" si="37"/>
        <v>632.42173760000003</v>
      </c>
      <c r="AC36" s="42">
        <f t="shared" si="33"/>
        <v>640.40870760000007</v>
      </c>
    </row>
    <row r="37" spans="1:29" x14ac:dyDescent="0.25">
      <c r="A37" s="20" t="s">
        <v>190</v>
      </c>
      <c r="B37" s="17" t="str">
        <f>IF(ISNUMBER(SEARCH("[",A37)),IF(ISNUMBER(SEARCH("/",A37)),CONCATENATE(MID(A37,1,2)," ",(SUM(MID(A37,FIND("[",A37)+1,FIND(":",A37)-FIND("[",A37)-1),MID(A37,FIND("/",A37)+1,FIND(":",A37,FIND("/",A37))-FIND("/",A37)-1),MID(A37,FIND("[",A37,FIND("[",A37)+1)+1,(FIND(":",A37,FIND("[",A37))-FIND("[",A37)-1)),MID(A37,FIND("/",A37,FIND("/",A37)+1)+1,FIND(":",A37,FIND("/",A37,FIND("[",A37,FIND("[",A37)+1)+1))-FIND("/",A37,FIND("[",A37,FIND("[",A37)+1)+1)-1))),":",SUM(MID(A37,FIND(":",A37)+1,FIND("/",A37)-FIND(":",A37)-1),MID(A37,FIND(":",A37,FIND("/",A37))+1,FIND("]",A37)-FIND(":",A37,FIND("/",A37))-1),MID(A37,FIND(":",A37,FIND("[",A37,FIND("[",A37)+1))+1,(FIND("/",A37,FIND("[",A37,FIND("[",A37)+1)+1)-FIND(":",A37,FIND("[",A37,FIND("[",A37)+1))-1)),MID(A37,FIND(":",A37,FIND("/",A37,FIND("]",A37)+1))+1,(FIND("]",A37,FIND("[",A37,FIND("[",A37)+1)+1)-FIND(":",A37,FIND("/",A37,FIND("]",A37)+1))-1))),MID(A37,(FIND(")",A37)+1),100)),CONCATENATE(MID(A37,1,2)," ",(SUM(MID(A37,FIND("[",A37)+1,FIND(":",A37)-FIND("[",A37)-1),MID(A37,FIND("_",A37)+1,FIND(":",A37,FIND("_",A37))-FIND("_",A37)-1),MID(A37,FIND("[",A37,FIND("[",A37)+1)+1,(FIND(":",A37,FIND("[",A37))-FIND("[",A37)-1)),MID(A37,FIND("_",A37,FIND("_",A37)+1)+1,FIND(":",A37,FIND("_",A37,FIND("[",A37,FIND("[",A37)+1)+1))-FIND("_",A37,FIND("[",A37,FIND("[",A37)+1)+1)-1))),":",SUM(MID(A37,FIND(":",A37)+1,FIND("_",A37)-FIND(":",A37)-1),MID(A37,FIND(":",A37,FIND("_",A37))+1,FIND("]",A37)-FIND(":",A37,FIND("_",A37))-1),MID(A37,FIND(":",A37,FIND("[",A37,FIND("[",A37)+1))+1,(FIND("_",A37,FIND("[",A37,FIND("[",A37)+1)+1)-FIND(":",A37,FIND("[",A37,FIND("[",A37)+1))-1)),MID(A37,FIND(":",A37,FIND("_",A37,FIND("]",A37)+1))+1,(FIND("]",A37,FIND("[",A37,FIND("[",A37)+1)+1)-FIND(":",A37,FIND("_",A37,FIND("]",A37)+1))-1))),MID(A37,(FIND(")",A37)+1),100))),A37)</f>
        <v>CL 57:2</v>
      </c>
      <c r="C37" s="1" t="str">
        <f>MID(B37,4,FIND(":",B37)-FIND(" ",B37)-1)</f>
        <v>57</v>
      </c>
      <c r="D37" s="1" t="str">
        <f>IF(ISNUMBER(SEARCH("__",B37)),MID(B37,FIND(":",B37)+1,FIND("__",B37)-FIND(":",B37)-1),MID(B37,FIND(":",B37)+1,7))</f>
        <v>2</v>
      </c>
      <c r="E37" s="17">
        <f t="shared" si="103"/>
        <v>66</v>
      </c>
      <c r="F37" s="17">
        <f t="shared" si="104"/>
        <v>124</v>
      </c>
      <c r="G37" s="17">
        <v>0</v>
      </c>
      <c r="H37" s="17">
        <f t="shared" si="105"/>
        <v>17</v>
      </c>
      <c r="I37" s="17">
        <v>2</v>
      </c>
      <c r="L37" s="19" t="str">
        <f t="shared" si="106"/>
        <v>C66H124O17P2</v>
      </c>
      <c r="M37" s="19">
        <f t="shared" si="107"/>
        <v>1250.8313314</v>
      </c>
      <c r="N37" s="19">
        <f t="shared" si="108"/>
        <v>1251.838606</v>
      </c>
      <c r="O37" s="42">
        <f t="shared" si="109"/>
        <v>1233.8274860000001</v>
      </c>
      <c r="P37" s="42">
        <f t="shared" si="110"/>
        <v>1268.8651514000001</v>
      </c>
      <c r="Q37" s="42">
        <f t="shared" si="111"/>
        <v>1273.8205513999999</v>
      </c>
      <c r="R37" s="42">
        <f t="shared" si="112"/>
        <v>1289.7944914</v>
      </c>
      <c r="S37" s="42">
        <f t="shared" si="113"/>
        <v>1257.8467914</v>
      </c>
      <c r="T37" s="19">
        <f t="shared" si="114"/>
        <v>1249.8240567999999</v>
      </c>
      <c r="U37" s="19">
        <f t="shared" si="115"/>
        <v>1295.8295513999999</v>
      </c>
      <c r="V37" s="19">
        <f t="shared" si="116"/>
        <v>1309.8452014</v>
      </c>
      <c r="W37" s="42">
        <f t="shared" si="87"/>
        <v>624.4083910999999</v>
      </c>
      <c r="Y37" s="42">
        <f t="shared" si="34"/>
        <v>643.44948569999997</v>
      </c>
      <c r="Z37" s="42">
        <f t="shared" si="35"/>
        <v>648.40488570000002</v>
      </c>
      <c r="AA37" s="42">
        <f t="shared" si="36"/>
        <v>664.37882569999999</v>
      </c>
      <c r="AB37" s="42">
        <f t="shared" si="37"/>
        <v>637.41391299999998</v>
      </c>
      <c r="AC37" s="42">
        <f t="shared" si="33"/>
        <v>645.40088300000002</v>
      </c>
    </row>
    <row r="38" spans="1:29" x14ac:dyDescent="0.25">
      <c r="A38" s="20" t="s">
        <v>176</v>
      </c>
      <c r="B38" s="17" t="str">
        <f>IF(ISNUMBER(SEARCH("[",A38)),IF(ISNUMBER(SEARCH("/",A38)),CONCATENATE(MID(A38,1,2)," ",(SUM(MID(A38,FIND("[",A38)+1,FIND(":",A38)-FIND("[",A38)-1),MID(A38,FIND("/",A38)+1,FIND(":",A38,FIND("/",A38))-FIND("/",A38)-1),MID(A38,FIND("[",A38,FIND("[",A38)+1)+1,(FIND(":",A38,FIND("[",A38))-FIND("[",A38)-1)),MID(A38,FIND("/",A38,FIND("/",A38)+1)+1,FIND(":",A38,FIND("/",A38,FIND("[",A38,FIND("[",A38)+1)+1))-FIND("/",A38,FIND("[",A38,FIND("[",A38)+1)+1)-1))),":",SUM(MID(A38,FIND(":",A38)+1,FIND("/",A38)-FIND(":",A38)-1),MID(A38,FIND(":",A38,FIND("/",A38))+1,FIND("]",A38)-FIND(":",A38,FIND("/",A38))-1),MID(A38,FIND(":",A38,FIND("[",A38,FIND("[",A38)+1))+1,(FIND("/",A38,FIND("[",A38,FIND("[",A38)+1)+1)-FIND(":",A38,FIND("[",A38,FIND("[",A38)+1))-1)),MID(A38,FIND(":",A38,FIND("/",A38,FIND("]",A38)+1))+1,(FIND("]",A38,FIND("[",A38,FIND("[",A38)+1)+1)-FIND(":",A38,FIND("/",A38,FIND("]",A38)+1))-1))),MID(A38,(FIND(")",A38)+1),100)),CONCATENATE(MID(A38,1,2)," ",(SUM(MID(A38,FIND("[",A38)+1,FIND(":",A38)-FIND("[",A38)-1),MID(A38,FIND("_",A38)+1,FIND(":",A38,FIND("_",A38))-FIND("_",A38)-1),MID(A38,FIND("[",A38,FIND("[",A38)+1)+1,(FIND(":",A38,FIND("[",A38))-FIND("[",A38)-1)),MID(A38,FIND("_",A38,FIND("_",A38)+1)+1,FIND(":",A38,FIND("_",A38,FIND("[",A38,FIND("[",A38)+1)+1))-FIND("_",A38,FIND("[",A38,FIND("[",A38)+1)+1)-1))),":",SUM(MID(A38,FIND(":",A38)+1,FIND("_",A38)-FIND(":",A38)-1),MID(A38,FIND(":",A38,FIND("_",A38))+1,FIND("]",A38)-FIND(":",A38,FIND("_",A38))-1),MID(A38,FIND(":",A38,FIND("[",A38,FIND("[",A38)+1))+1,(FIND("_",A38,FIND("[",A38,FIND("[",A38)+1)+1)-FIND(":",A38,FIND("[",A38,FIND("[",A38)+1))-1)),MID(A38,FIND(":",A38,FIND("_",A38,FIND("]",A38)+1))+1,(FIND("]",A38,FIND("[",A38,FIND("[",A38)+1)+1)-FIND(":",A38,FIND("_",A38,FIND("]",A38)+1))-1))),MID(A38,(FIND(")",A38)+1),100))),A38)</f>
        <v>CL 57:1</v>
      </c>
      <c r="C38" s="1" t="str">
        <f>MID(B38,4,FIND(":",B38)-FIND(" ",B38)-1)</f>
        <v>57</v>
      </c>
      <c r="D38" s="1" t="str">
        <f>IF(ISNUMBER(SEARCH("__",B38)),MID(B38,FIND(":",B38)+1,FIND("__",B38)-FIND(":",B38)-1),MID(B38,FIND(":",B38)+1,7))</f>
        <v>1</v>
      </c>
      <c r="E38" s="17">
        <f t="shared" si="103"/>
        <v>66</v>
      </c>
      <c r="F38" s="17">
        <f t="shared" si="104"/>
        <v>126</v>
      </c>
      <c r="G38" s="17">
        <v>0</v>
      </c>
      <c r="H38" s="17">
        <f t="shared" si="105"/>
        <v>17</v>
      </c>
      <c r="I38" s="17">
        <v>2</v>
      </c>
      <c r="L38" s="19" t="str">
        <f t="shared" si="106"/>
        <v>C66H126O17P2</v>
      </c>
      <c r="M38" s="19">
        <f t="shared" si="107"/>
        <v>1252.8469806000001</v>
      </c>
      <c r="N38" s="19">
        <f t="shared" si="108"/>
        <v>1253.8542552000001</v>
      </c>
      <c r="O38" s="42">
        <f t="shared" si="109"/>
        <v>1235.8431352000002</v>
      </c>
      <c r="P38" s="42">
        <f t="shared" si="110"/>
        <v>1270.8808006000002</v>
      </c>
      <c r="Q38" s="42">
        <f t="shared" si="111"/>
        <v>1275.8362006</v>
      </c>
      <c r="R38" s="42">
        <f t="shared" si="112"/>
        <v>1291.8101406000001</v>
      </c>
      <c r="S38" s="42">
        <f t="shared" si="113"/>
        <v>1259.8624406000001</v>
      </c>
      <c r="T38" s="19">
        <f t="shared" si="114"/>
        <v>1251.839706</v>
      </c>
      <c r="U38" s="19">
        <f t="shared" si="115"/>
        <v>1297.8452006</v>
      </c>
      <c r="V38" s="19">
        <f t="shared" si="116"/>
        <v>1311.8608506</v>
      </c>
      <c r="W38" s="42">
        <f t="shared" si="87"/>
        <v>625.41621569999995</v>
      </c>
      <c r="Y38" s="42">
        <f t="shared" si="34"/>
        <v>644.45731030000002</v>
      </c>
      <c r="Z38" s="42">
        <f t="shared" si="35"/>
        <v>649.41271030000007</v>
      </c>
      <c r="AA38" s="42">
        <f t="shared" si="36"/>
        <v>665.38665030000004</v>
      </c>
      <c r="AB38" s="42">
        <f t="shared" si="37"/>
        <v>638.42173760000003</v>
      </c>
      <c r="AC38" s="42">
        <f t="shared" si="33"/>
        <v>646.40870760000007</v>
      </c>
    </row>
    <row r="39" spans="1:29" x14ac:dyDescent="0.25">
      <c r="A39" s="20" t="s">
        <v>148</v>
      </c>
      <c r="B39" s="17" t="str">
        <f t="shared" si="100"/>
        <v>CL 57:0</v>
      </c>
      <c r="C39" s="1" t="str">
        <f t="shared" si="101"/>
        <v>57</v>
      </c>
      <c r="D39" s="1" t="str">
        <f t="shared" si="102"/>
        <v>0</v>
      </c>
      <c r="E39" s="17">
        <f t="shared" si="103"/>
        <v>66</v>
      </c>
      <c r="F39" s="17">
        <f t="shared" si="104"/>
        <v>128</v>
      </c>
      <c r="G39" s="17">
        <v>0</v>
      </c>
      <c r="H39" s="17">
        <f t="shared" si="105"/>
        <v>17</v>
      </c>
      <c r="I39" s="17">
        <v>2</v>
      </c>
      <c r="L39" s="19" t="str">
        <f t="shared" si="106"/>
        <v>C66H128O17P2</v>
      </c>
      <c r="M39" s="19">
        <f t="shared" si="107"/>
        <v>1254.8626297999999</v>
      </c>
      <c r="N39" s="19">
        <f t="shared" si="108"/>
        <v>1255.8699044</v>
      </c>
      <c r="O39" s="42">
        <f t="shared" si="109"/>
        <v>1237.8587844000001</v>
      </c>
      <c r="P39" s="42">
        <f t="shared" si="110"/>
        <v>1272.8964498</v>
      </c>
      <c r="Q39" s="42">
        <f t="shared" si="111"/>
        <v>1277.8518497999999</v>
      </c>
      <c r="R39" s="42">
        <f t="shared" si="112"/>
        <v>1293.8257897999999</v>
      </c>
      <c r="S39" s="42">
        <f t="shared" si="113"/>
        <v>1261.8780898</v>
      </c>
      <c r="T39" s="19">
        <f t="shared" si="114"/>
        <v>1253.8553551999998</v>
      </c>
      <c r="U39" s="19">
        <f t="shared" si="115"/>
        <v>1299.8608497999999</v>
      </c>
      <c r="V39" s="19">
        <f t="shared" si="116"/>
        <v>1313.8764997999999</v>
      </c>
      <c r="W39" s="42">
        <f t="shared" si="87"/>
        <v>626.42404029999989</v>
      </c>
      <c r="Y39" s="42">
        <f t="shared" si="34"/>
        <v>645.46513489999995</v>
      </c>
      <c r="Z39" s="42">
        <f t="shared" si="35"/>
        <v>650.42053490000001</v>
      </c>
      <c r="AA39" s="42">
        <f t="shared" si="36"/>
        <v>666.39447489999998</v>
      </c>
      <c r="AB39" s="42">
        <f t="shared" si="37"/>
        <v>639.42956219999996</v>
      </c>
      <c r="AC39" s="42">
        <f t="shared" si="33"/>
        <v>647.41653220000001</v>
      </c>
    </row>
    <row r="40" spans="1:29" x14ac:dyDescent="0.25">
      <c r="A40" s="20" t="s">
        <v>191</v>
      </c>
      <c r="B40" s="17" t="str">
        <f>IF(ISNUMBER(SEARCH("[",A40)),IF(ISNUMBER(SEARCH("/",A40)),CONCATENATE(MID(A40,1,2)," ",(SUM(MID(A40,FIND("[",A40)+1,FIND(":",A40)-FIND("[",A40)-1),MID(A40,FIND("/",A40)+1,FIND(":",A40,FIND("/",A40))-FIND("/",A40)-1),MID(A40,FIND("[",A40,FIND("[",A40)+1)+1,(FIND(":",A40,FIND("[",A40))-FIND("[",A40)-1)),MID(A40,FIND("/",A40,FIND("/",A40)+1)+1,FIND(":",A40,FIND("/",A40,FIND("[",A40,FIND("[",A40)+1)+1))-FIND("/",A40,FIND("[",A40,FIND("[",A40)+1)+1)-1))),":",SUM(MID(A40,FIND(":",A40)+1,FIND("/",A40)-FIND(":",A40)-1),MID(A40,FIND(":",A40,FIND("/",A40))+1,FIND("]",A40)-FIND(":",A40,FIND("/",A40))-1),MID(A40,FIND(":",A40,FIND("[",A40,FIND("[",A40)+1))+1,(FIND("/",A40,FIND("[",A40,FIND("[",A40)+1)+1)-FIND(":",A40,FIND("[",A40,FIND("[",A40)+1))-1)),MID(A40,FIND(":",A40,FIND("/",A40,FIND("]",A40)+1))+1,(FIND("]",A40,FIND("[",A40,FIND("[",A40)+1)+1)-FIND(":",A40,FIND("/",A40,FIND("]",A40)+1))-1))),MID(A40,(FIND(")",A40)+1),100)),CONCATENATE(MID(A40,1,2)," ",(SUM(MID(A40,FIND("[",A40)+1,FIND(":",A40)-FIND("[",A40)-1),MID(A40,FIND("_",A40)+1,FIND(":",A40,FIND("_",A40))-FIND("_",A40)-1),MID(A40,FIND("[",A40,FIND("[",A40)+1)+1,(FIND(":",A40,FIND("[",A40))-FIND("[",A40)-1)),MID(A40,FIND("_",A40,FIND("_",A40)+1)+1,FIND(":",A40,FIND("_",A40,FIND("[",A40,FIND("[",A40)+1)+1))-FIND("_",A40,FIND("[",A40,FIND("[",A40)+1)+1)-1))),":",SUM(MID(A40,FIND(":",A40)+1,FIND("_",A40)-FIND(":",A40)-1),MID(A40,FIND(":",A40,FIND("_",A40))+1,FIND("]",A40)-FIND(":",A40,FIND("_",A40))-1),MID(A40,FIND(":",A40,FIND("[",A40,FIND("[",A40)+1))+1,(FIND("_",A40,FIND("[",A40,FIND("[",A40)+1)+1)-FIND(":",A40,FIND("[",A40,FIND("[",A40)+1))-1)),MID(A40,FIND(":",A40,FIND("_",A40,FIND("]",A40)+1))+1,(FIND("]",A40,FIND("[",A40,FIND("[",A40)+1)+1)-FIND(":",A40,FIND("_",A40,FIND("]",A40)+1))-1))),MID(A40,(FIND(")",A40)+1),100))),A40)</f>
        <v>CL 58:2</v>
      </c>
      <c r="C40" s="1" t="str">
        <f>MID(B40,4,FIND(":",B40)-FIND(" ",B40)-1)</f>
        <v>58</v>
      </c>
      <c r="D40" s="1" t="str">
        <f>IF(ISNUMBER(SEARCH("__",B40)),MID(B40,FIND(":",B40)+1,FIND("__",B40)-FIND(":",B40)-1),MID(B40,FIND(":",B40)+1,7))</f>
        <v>2</v>
      </c>
      <c r="E40" s="17">
        <f t="shared" si="103"/>
        <v>67</v>
      </c>
      <c r="F40" s="17">
        <f t="shared" si="104"/>
        <v>126</v>
      </c>
      <c r="G40" s="17">
        <v>0</v>
      </c>
      <c r="H40" s="17">
        <f t="shared" si="105"/>
        <v>17</v>
      </c>
      <c r="I40" s="17">
        <v>2</v>
      </c>
      <c r="L40" s="19" t="str">
        <f t="shared" si="106"/>
        <v>C67H126O17P2</v>
      </c>
      <c r="M40" s="19">
        <f t="shared" si="107"/>
        <v>1264.8469806000001</v>
      </c>
      <c r="N40" s="19">
        <f t="shared" si="108"/>
        <v>1265.8542552000001</v>
      </c>
      <c r="O40" s="42">
        <f t="shared" si="109"/>
        <v>1247.8431352000002</v>
      </c>
      <c r="P40" s="42">
        <f t="shared" si="110"/>
        <v>1282.8808006000002</v>
      </c>
      <c r="Q40" s="42">
        <f t="shared" si="111"/>
        <v>1287.8362006</v>
      </c>
      <c r="R40" s="42">
        <f t="shared" si="112"/>
        <v>1303.8101406000001</v>
      </c>
      <c r="S40" s="42">
        <f t="shared" si="113"/>
        <v>1271.8624406000001</v>
      </c>
      <c r="T40" s="19">
        <f t="shared" si="114"/>
        <v>1263.839706</v>
      </c>
      <c r="U40" s="19">
        <f t="shared" si="115"/>
        <v>1309.8452006</v>
      </c>
      <c r="V40" s="19">
        <f t="shared" si="116"/>
        <v>1323.8608506</v>
      </c>
      <c r="W40" s="42">
        <f t="shared" si="87"/>
        <v>631.41621569999995</v>
      </c>
      <c r="Y40" s="42">
        <f t="shared" si="34"/>
        <v>650.45731030000002</v>
      </c>
      <c r="Z40" s="42">
        <f t="shared" si="35"/>
        <v>655.41271030000007</v>
      </c>
      <c r="AA40" s="42">
        <f t="shared" si="36"/>
        <v>671.38665030000004</v>
      </c>
      <c r="AB40" s="42">
        <f t="shared" si="37"/>
        <v>644.42173760000003</v>
      </c>
      <c r="AC40" s="42">
        <f t="shared" si="33"/>
        <v>652.40870760000007</v>
      </c>
    </row>
    <row r="41" spans="1:29" x14ac:dyDescent="0.25">
      <c r="A41" s="20" t="s">
        <v>175</v>
      </c>
      <c r="B41" s="17" t="str">
        <f>IF(ISNUMBER(SEARCH("[",A41)),IF(ISNUMBER(SEARCH("/",A41)),CONCATENATE(MID(A41,1,2)," ",(SUM(MID(A41,FIND("[",A41)+1,FIND(":",A41)-FIND("[",A41)-1),MID(A41,FIND("/",A41)+1,FIND(":",A41,FIND("/",A41))-FIND("/",A41)-1),MID(A41,FIND("[",A41,FIND("[",A41)+1)+1,(FIND(":",A41,FIND("[",A41))-FIND("[",A41)-1)),MID(A41,FIND("/",A41,FIND("/",A41)+1)+1,FIND(":",A41,FIND("/",A41,FIND("[",A41,FIND("[",A41)+1)+1))-FIND("/",A41,FIND("[",A41,FIND("[",A41)+1)+1)-1))),":",SUM(MID(A41,FIND(":",A41)+1,FIND("/",A41)-FIND(":",A41)-1),MID(A41,FIND(":",A41,FIND("/",A41))+1,FIND("]",A41)-FIND(":",A41,FIND("/",A41))-1),MID(A41,FIND(":",A41,FIND("[",A41,FIND("[",A41)+1))+1,(FIND("/",A41,FIND("[",A41,FIND("[",A41)+1)+1)-FIND(":",A41,FIND("[",A41,FIND("[",A41)+1))-1)),MID(A41,FIND(":",A41,FIND("/",A41,FIND("]",A41)+1))+1,(FIND("]",A41,FIND("[",A41,FIND("[",A41)+1)+1)-FIND(":",A41,FIND("/",A41,FIND("]",A41)+1))-1))),MID(A41,(FIND(")",A41)+1),100)),CONCATENATE(MID(A41,1,2)," ",(SUM(MID(A41,FIND("[",A41)+1,FIND(":",A41)-FIND("[",A41)-1),MID(A41,FIND("_",A41)+1,FIND(":",A41,FIND("_",A41))-FIND("_",A41)-1),MID(A41,FIND("[",A41,FIND("[",A41)+1)+1,(FIND(":",A41,FIND("[",A41))-FIND("[",A41)-1)),MID(A41,FIND("_",A41,FIND("_",A41)+1)+1,FIND(":",A41,FIND("_",A41,FIND("[",A41,FIND("[",A41)+1)+1))-FIND("_",A41,FIND("[",A41,FIND("[",A41)+1)+1)-1))),":",SUM(MID(A41,FIND(":",A41)+1,FIND("_",A41)-FIND(":",A41)-1),MID(A41,FIND(":",A41,FIND("_",A41))+1,FIND("]",A41)-FIND(":",A41,FIND("_",A41))-1),MID(A41,FIND(":",A41,FIND("[",A41,FIND("[",A41)+1))+1,(FIND("_",A41,FIND("[",A41,FIND("[",A41)+1)+1)-FIND(":",A41,FIND("[",A41,FIND("[",A41)+1))-1)),MID(A41,FIND(":",A41,FIND("_",A41,FIND("]",A41)+1))+1,(FIND("]",A41,FIND("[",A41,FIND("[",A41)+1)+1)-FIND(":",A41,FIND("_",A41,FIND("]",A41)+1))-1))),MID(A41,(FIND(")",A41)+1),100))),A41)</f>
        <v>CL 58:1</v>
      </c>
      <c r="C41" s="1" t="str">
        <f>MID(B41,4,FIND(":",B41)-FIND(" ",B41)-1)</f>
        <v>58</v>
      </c>
      <c r="D41" s="1" t="str">
        <f>IF(ISNUMBER(SEARCH("__",B41)),MID(B41,FIND(":",B41)+1,FIND("__",B41)-FIND(":",B41)-1),MID(B41,FIND(":",B41)+1,7))</f>
        <v>1</v>
      </c>
      <c r="E41" s="17">
        <f t="shared" si="103"/>
        <v>67</v>
      </c>
      <c r="F41" s="17">
        <f t="shared" si="104"/>
        <v>128</v>
      </c>
      <c r="G41" s="17">
        <v>0</v>
      </c>
      <c r="H41" s="17">
        <f t="shared" si="105"/>
        <v>17</v>
      </c>
      <c r="I41" s="17">
        <v>2</v>
      </c>
      <c r="L41" s="19" t="str">
        <f t="shared" si="106"/>
        <v>C67H128O17P2</v>
      </c>
      <c r="M41" s="19">
        <f t="shared" si="107"/>
        <v>1266.8626297999999</v>
      </c>
      <c r="N41" s="19">
        <f t="shared" si="108"/>
        <v>1267.8699044</v>
      </c>
      <c r="O41" s="42">
        <f t="shared" si="109"/>
        <v>1249.8587844000001</v>
      </c>
      <c r="P41" s="42">
        <f t="shared" si="110"/>
        <v>1284.8964498</v>
      </c>
      <c r="Q41" s="42">
        <f t="shared" si="111"/>
        <v>1289.8518497999999</v>
      </c>
      <c r="R41" s="42">
        <f t="shared" si="112"/>
        <v>1305.8257897999999</v>
      </c>
      <c r="S41" s="42">
        <f t="shared" si="113"/>
        <v>1273.8780898</v>
      </c>
      <c r="T41" s="19">
        <f t="shared" si="114"/>
        <v>1265.8553551999998</v>
      </c>
      <c r="U41" s="19">
        <f t="shared" si="115"/>
        <v>1311.8608497999999</v>
      </c>
      <c r="V41" s="19">
        <f t="shared" si="116"/>
        <v>1325.8764997999999</v>
      </c>
      <c r="W41" s="42">
        <f t="shared" si="87"/>
        <v>632.42404029999989</v>
      </c>
      <c r="Y41" s="42">
        <f t="shared" si="34"/>
        <v>651.46513489999995</v>
      </c>
      <c r="Z41" s="42">
        <f t="shared" si="35"/>
        <v>656.42053490000001</v>
      </c>
      <c r="AA41" s="42">
        <f t="shared" si="36"/>
        <v>672.39447489999998</v>
      </c>
      <c r="AB41" s="42">
        <f t="shared" si="37"/>
        <v>645.42956219999996</v>
      </c>
      <c r="AC41" s="42">
        <f t="shared" si="33"/>
        <v>653.41653220000001</v>
      </c>
    </row>
    <row r="42" spans="1:29" x14ac:dyDescent="0.25">
      <c r="A42" s="20" t="s">
        <v>149</v>
      </c>
      <c r="B42" s="17" t="str">
        <f t="shared" si="100"/>
        <v>CL 58:0</v>
      </c>
      <c r="C42" s="1" t="str">
        <f t="shared" si="101"/>
        <v>58</v>
      </c>
      <c r="D42" s="1" t="str">
        <f t="shared" si="102"/>
        <v>0</v>
      </c>
      <c r="E42" s="17">
        <f t="shared" si="103"/>
        <v>67</v>
      </c>
      <c r="F42" s="17">
        <f t="shared" si="104"/>
        <v>130</v>
      </c>
      <c r="G42" s="17">
        <v>0</v>
      </c>
      <c r="H42" s="17">
        <f t="shared" si="105"/>
        <v>17</v>
      </c>
      <c r="I42" s="17">
        <v>2</v>
      </c>
      <c r="L42" s="19" t="str">
        <f t="shared" si="106"/>
        <v>C67H130O17P2</v>
      </c>
      <c r="M42" s="19">
        <f t="shared" si="107"/>
        <v>1268.878279</v>
      </c>
      <c r="N42" s="19">
        <f t="shared" si="108"/>
        <v>1269.8855536000001</v>
      </c>
      <c r="O42" s="42">
        <f t="shared" si="109"/>
        <v>1251.8744336000002</v>
      </c>
      <c r="P42" s="42">
        <f t="shared" si="110"/>
        <v>1286.9120990000001</v>
      </c>
      <c r="Q42" s="42">
        <f t="shared" si="111"/>
        <v>1291.867499</v>
      </c>
      <c r="R42" s="42">
        <f t="shared" si="112"/>
        <v>1307.841439</v>
      </c>
      <c r="S42" s="42">
        <f t="shared" si="113"/>
        <v>1275.8937390000001</v>
      </c>
      <c r="T42" s="19">
        <f t="shared" si="114"/>
        <v>1267.8710043999999</v>
      </c>
      <c r="U42" s="19">
        <f t="shared" si="115"/>
        <v>1313.876499</v>
      </c>
      <c r="V42" s="19">
        <f t="shared" si="116"/>
        <v>1327.892149</v>
      </c>
      <c r="W42" s="42">
        <f t="shared" si="87"/>
        <v>633.43186489999994</v>
      </c>
      <c r="Y42" s="42">
        <f t="shared" si="34"/>
        <v>652.4729595</v>
      </c>
      <c r="Z42" s="42">
        <f t="shared" si="35"/>
        <v>657.42835950000006</v>
      </c>
      <c r="AA42" s="42">
        <f t="shared" si="36"/>
        <v>673.40229950000003</v>
      </c>
      <c r="AB42" s="42">
        <f t="shared" si="37"/>
        <v>646.43738680000001</v>
      </c>
      <c r="AC42" s="42">
        <f t="shared" si="33"/>
        <v>654.42435680000006</v>
      </c>
    </row>
    <row r="43" spans="1:29" x14ac:dyDescent="0.25">
      <c r="A43" s="20" t="s">
        <v>219</v>
      </c>
      <c r="B43" s="17" t="str">
        <f>IF(ISNUMBER(SEARCH("[",A43)),IF(ISNUMBER(SEARCH("/",A43)),CONCATENATE(MID(A43,1,2)," ",(SUM(MID(A43,FIND("[",A43)+1,FIND(":",A43)-FIND("[",A43)-1),MID(A43,FIND("/",A43)+1,FIND(":",A43,FIND("/",A43))-FIND("/",A43)-1),MID(A43,FIND("[",A43,FIND("[",A43)+1)+1,(FIND(":",A43,FIND("[",A43))-FIND("[",A43)-1)),MID(A43,FIND("/",A43,FIND("/",A43)+1)+1,FIND(":",A43,FIND("/",A43,FIND("[",A43,FIND("[",A43)+1)+1))-FIND("/",A43,FIND("[",A43,FIND("[",A43)+1)+1)-1))),":",SUM(MID(A43,FIND(":",A43)+1,FIND("/",A43)-FIND(":",A43)-1),MID(A43,FIND(":",A43,FIND("/",A43))+1,FIND("]",A43)-FIND(":",A43,FIND("/",A43))-1),MID(A43,FIND(":",A43,FIND("[",A43,FIND("[",A43)+1))+1,(FIND("/",A43,FIND("[",A43,FIND("[",A43)+1)+1)-FIND(":",A43,FIND("[",A43,FIND("[",A43)+1))-1)),MID(A43,FIND(":",A43,FIND("/",A43,FIND("]",A43)+1))+1,(FIND("]",A43,FIND("[",A43,FIND("[",A43)+1)+1)-FIND(":",A43,FIND("/",A43,FIND("]",A43)+1))-1))),MID(A43,(FIND(")",A43)+1),100)),CONCATENATE(MID(A43,1,2)," ",(SUM(MID(A43,FIND("[",A43)+1,FIND(":",A43)-FIND("[",A43)-1),MID(A43,FIND("_",A43)+1,FIND(":",A43,FIND("_",A43))-FIND("_",A43)-1),MID(A43,FIND("[",A43,FIND("[",A43)+1)+1,(FIND(":",A43,FIND("[",A43))-FIND("[",A43)-1)),MID(A43,FIND("_",A43,FIND("_",A43)+1)+1,FIND(":",A43,FIND("_",A43,FIND("[",A43,FIND("[",A43)+1)+1))-FIND("_",A43,FIND("[",A43,FIND("[",A43)+1)+1)-1))),":",SUM(MID(A43,FIND(":",A43)+1,FIND("_",A43)-FIND(":",A43)-1),MID(A43,FIND(":",A43,FIND("_",A43))+1,FIND("]",A43)-FIND(":",A43,FIND("_",A43))-1),MID(A43,FIND(":",A43,FIND("[",A43,FIND("[",A43)+1))+1,(FIND("_",A43,FIND("[",A43,FIND("[",A43)+1)+1)-FIND(":",A43,FIND("[",A43,FIND("[",A43)+1))-1)),MID(A43,FIND(":",A43,FIND("_",A43,FIND("]",A43)+1))+1,(FIND("]",A43,FIND("[",A43,FIND("[",A43)+1)+1)-FIND(":",A43,FIND("_",A43,FIND("]",A43)+1))-1))),MID(A43,(FIND(")",A43)+1),100))),A43)</f>
        <v>CL 59:3</v>
      </c>
      <c r="C43" s="1" t="str">
        <f>MID(B43,4,FIND(":",B43)-FIND(" ",B43)-1)</f>
        <v>59</v>
      </c>
      <c r="D43" s="1" t="str">
        <f>IF(ISNUMBER(SEARCH("__",B43)),MID(B43,FIND(":",B43)+1,FIND("__",B43)-FIND(":",B43)-1),MID(B43,FIND(":",B43)+1,7))</f>
        <v>3</v>
      </c>
      <c r="E43" s="17">
        <f t="shared" si="103"/>
        <v>68</v>
      </c>
      <c r="F43" s="17">
        <f t="shared" si="104"/>
        <v>126</v>
      </c>
      <c r="G43" s="17">
        <v>0</v>
      </c>
      <c r="H43" s="17">
        <f t="shared" si="105"/>
        <v>17</v>
      </c>
      <c r="I43" s="17">
        <v>2</v>
      </c>
      <c r="L43" s="19" t="str">
        <f t="shared" si="106"/>
        <v>C68H126O17P2</v>
      </c>
      <c r="M43" s="19">
        <f t="shared" si="107"/>
        <v>1276.8469806000001</v>
      </c>
      <c r="N43" s="19">
        <f t="shared" si="108"/>
        <v>1277.8542552000001</v>
      </c>
      <c r="O43" s="42">
        <f t="shared" si="109"/>
        <v>1259.8431352000002</v>
      </c>
      <c r="P43" s="42">
        <f t="shared" si="110"/>
        <v>1294.8808006000002</v>
      </c>
      <c r="Q43" s="42">
        <f t="shared" si="111"/>
        <v>1299.8362006</v>
      </c>
      <c r="R43" s="42">
        <f t="shared" si="112"/>
        <v>1315.8101406000001</v>
      </c>
      <c r="S43" s="42">
        <f t="shared" si="113"/>
        <v>1283.8624406000001</v>
      </c>
      <c r="T43" s="19">
        <f t="shared" si="114"/>
        <v>1275.839706</v>
      </c>
      <c r="U43" s="19">
        <f t="shared" si="115"/>
        <v>1321.8452006</v>
      </c>
      <c r="V43" s="19">
        <f t="shared" si="116"/>
        <v>1335.8608506</v>
      </c>
      <c r="W43" s="42">
        <f t="shared" si="87"/>
        <v>637.41621569999995</v>
      </c>
      <c r="Y43" s="42">
        <f t="shared" si="34"/>
        <v>656.45731030000002</v>
      </c>
      <c r="Z43" s="42">
        <f t="shared" si="35"/>
        <v>661.41271030000007</v>
      </c>
      <c r="AA43" s="42">
        <f t="shared" si="36"/>
        <v>677.38665030000004</v>
      </c>
      <c r="AB43" s="42">
        <f t="shared" si="37"/>
        <v>650.42173760000003</v>
      </c>
      <c r="AC43" s="42">
        <f t="shared" si="33"/>
        <v>658.40870760000007</v>
      </c>
    </row>
    <row r="44" spans="1:29" x14ac:dyDescent="0.25">
      <c r="A44" s="20" t="s">
        <v>192</v>
      </c>
      <c r="B44" s="17" t="str">
        <f>IF(ISNUMBER(SEARCH("[",A44)),IF(ISNUMBER(SEARCH("/",A44)),CONCATENATE(MID(A44,1,2)," ",(SUM(MID(A44,FIND("[",A44)+1,FIND(":",A44)-FIND("[",A44)-1),MID(A44,FIND("/",A44)+1,FIND(":",A44,FIND("/",A44))-FIND("/",A44)-1),MID(A44,FIND("[",A44,FIND("[",A44)+1)+1,(FIND(":",A44,FIND("[",A44))-FIND("[",A44)-1)),MID(A44,FIND("/",A44,FIND("/",A44)+1)+1,FIND(":",A44,FIND("/",A44,FIND("[",A44,FIND("[",A44)+1)+1))-FIND("/",A44,FIND("[",A44,FIND("[",A44)+1)+1)-1))),":",SUM(MID(A44,FIND(":",A44)+1,FIND("/",A44)-FIND(":",A44)-1),MID(A44,FIND(":",A44,FIND("/",A44))+1,FIND("]",A44)-FIND(":",A44,FIND("/",A44))-1),MID(A44,FIND(":",A44,FIND("[",A44,FIND("[",A44)+1))+1,(FIND("/",A44,FIND("[",A44,FIND("[",A44)+1)+1)-FIND(":",A44,FIND("[",A44,FIND("[",A44)+1))-1)),MID(A44,FIND(":",A44,FIND("/",A44,FIND("]",A44)+1))+1,(FIND("]",A44,FIND("[",A44,FIND("[",A44)+1)+1)-FIND(":",A44,FIND("/",A44,FIND("]",A44)+1))-1))),MID(A44,(FIND(")",A44)+1),100)),CONCATENATE(MID(A44,1,2)," ",(SUM(MID(A44,FIND("[",A44)+1,FIND(":",A44)-FIND("[",A44)-1),MID(A44,FIND("_",A44)+1,FIND(":",A44,FIND("_",A44))-FIND("_",A44)-1),MID(A44,FIND("[",A44,FIND("[",A44)+1)+1,(FIND(":",A44,FIND("[",A44))-FIND("[",A44)-1)),MID(A44,FIND("_",A44,FIND("_",A44)+1)+1,FIND(":",A44,FIND("_",A44,FIND("[",A44,FIND("[",A44)+1)+1))-FIND("_",A44,FIND("[",A44,FIND("[",A44)+1)+1)-1))),":",SUM(MID(A44,FIND(":",A44)+1,FIND("_",A44)-FIND(":",A44)-1),MID(A44,FIND(":",A44,FIND("_",A44))+1,FIND("]",A44)-FIND(":",A44,FIND("_",A44))-1),MID(A44,FIND(":",A44,FIND("[",A44,FIND("[",A44)+1))+1,(FIND("_",A44,FIND("[",A44,FIND("[",A44)+1)+1)-FIND(":",A44,FIND("[",A44,FIND("[",A44)+1))-1)),MID(A44,FIND(":",A44,FIND("_",A44,FIND("]",A44)+1))+1,(FIND("]",A44,FIND("[",A44,FIND("[",A44)+1)+1)-FIND(":",A44,FIND("_",A44,FIND("]",A44)+1))-1))),MID(A44,(FIND(")",A44)+1),100))),A44)</f>
        <v>CL 59:2</v>
      </c>
      <c r="C44" s="1" t="str">
        <f>MID(B44,4,FIND(":",B44)-FIND(" ",B44)-1)</f>
        <v>59</v>
      </c>
      <c r="D44" s="1" t="str">
        <f>IF(ISNUMBER(SEARCH("__",B44)),MID(B44,FIND(":",B44)+1,FIND("__",B44)-FIND(":",B44)-1),MID(B44,FIND(":",B44)+1,7))</f>
        <v>2</v>
      </c>
      <c r="E44" s="17">
        <f t="shared" si="103"/>
        <v>68</v>
      </c>
      <c r="F44" s="17">
        <f t="shared" si="104"/>
        <v>128</v>
      </c>
      <c r="G44" s="17">
        <v>0</v>
      </c>
      <c r="H44" s="17">
        <f t="shared" si="105"/>
        <v>17</v>
      </c>
      <c r="I44" s="17">
        <v>2</v>
      </c>
      <c r="L44" s="19" t="str">
        <f t="shared" si="106"/>
        <v>C68H128O17P2</v>
      </c>
      <c r="M44" s="19">
        <f t="shared" si="107"/>
        <v>1278.8626297999999</v>
      </c>
      <c r="N44" s="19">
        <f t="shared" si="108"/>
        <v>1279.8699044</v>
      </c>
      <c r="O44" s="42">
        <f t="shared" si="109"/>
        <v>1261.8587844000001</v>
      </c>
      <c r="P44" s="42">
        <f t="shared" si="110"/>
        <v>1296.8964498</v>
      </c>
      <c r="Q44" s="42">
        <f t="shared" si="111"/>
        <v>1301.8518497999999</v>
      </c>
      <c r="R44" s="42">
        <f t="shared" si="112"/>
        <v>1317.8257897999999</v>
      </c>
      <c r="S44" s="42">
        <f t="shared" si="113"/>
        <v>1285.8780898</v>
      </c>
      <c r="T44" s="19">
        <f t="shared" si="114"/>
        <v>1277.8553551999998</v>
      </c>
      <c r="U44" s="19">
        <f t="shared" si="115"/>
        <v>1323.8608497999999</v>
      </c>
      <c r="V44" s="19">
        <f t="shared" si="116"/>
        <v>1337.8764997999999</v>
      </c>
      <c r="W44" s="42">
        <f t="shared" si="87"/>
        <v>638.42404029999989</v>
      </c>
      <c r="Y44" s="42">
        <f t="shared" si="34"/>
        <v>657.46513489999995</v>
      </c>
      <c r="Z44" s="42">
        <f t="shared" si="35"/>
        <v>662.42053490000001</v>
      </c>
      <c r="AA44" s="42">
        <f t="shared" si="36"/>
        <v>678.39447489999998</v>
      </c>
      <c r="AB44" s="42">
        <f t="shared" si="37"/>
        <v>651.42956219999996</v>
      </c>
      <c r="AC44" s="42">
        <f t="shared" si="33"/>
        <v>659.41653220000001</v>
      </c>
    </row>
    <row r="45" spans="1:29" x14ac:dyDescent="0.25">
      <c r="A45" s="20" t="s">
        <v>166</v>
      </c>
      <c r="B45" s="17" t="str">
        <f t="shared" si="100"/>
        <v>CL 59:1</v>
      </c>
      <c r="C45" s="1" t="str">
        <f t="shared" si="101"/>
        <v>59</v>
      </c>
      <c r="D45" s="1" t="str">
        <f t="shared" si="102"/>
        <v>1</v>
      </c>
      <c r="E45" s="17">
        <f t="shared" si="103"/>
        <v>68</v>
      </c>
      <c r="F45" s="17">
        <f t="shared" si="104"/>
        <v>130</v>
      </c>
      <c r="G45" s="17">
        <v>0</v>
      </c>
      <c r="H45" s="17">
        <f t="shared" si="105"/>
        <v>17</v>
      </c>
      <c r="I45" s="17">
        <v>2</v>
      </c>
      <c r="L45" s="19" t="str">
        <f t="shared" ref="L45" si="137">CONCATENATE("C",E45,"H",F45,"O",H45,"P",I45)</f>
        <v>C68H130O17P2</v>
      </c>
      <c r="M45" s="19">
        <f t="shared" ref="M45" si="138">(E45*12)+(F45*1.0078246)+(G45*14.003074)+(H45*15.994915)+(I45*30.973763)</f>
        <v>1280.878279</v>
      </c>
      <c r="N45" s="19">
        <f t="shared" ref="N45" si="139">M45+1.0078246-0.00055</f>
        <v>1281.8855536000001</v>
      </c>
      <c r="O45" s="42">
        <f t="shared" ref="O45" si="140">N45-18.01057-0.00055</f>
        <v>1263.8744336000002</v>
      </c>
      <c r="P45" s="42">
        <f t="shared" ref="P45" si="141">M45+18.03437-0.00055</f>
        <v>1298.9120990000001</v>
      </c>
      <c r="Q45" s="42">
        <f t="shared" ref="Q45" si="142">M45+22.98977-0.00055</f>
        <v>1303.867499</v>
      </c>
      <c r="R45" s="42">
        <f t="shared" ref="R45" si="143">M45+38.96371-0.00055</f>
        <v>1319.841439</v>
      </c>
      <c r="S45" s="42">
        <f t="shared" ref="S45" si="144">M45+7.01601-0.00055</f>
        <v>1287.8937390000001</v>
      </c>
      <c r="T45" s="19">
        <f t="shared" ref="T45" si="145">M45-1.0078246+0.00055</f>
        <v>1279.8710043999999</v>
      </c>
      <c r="U45" s="19">
        <f t="shared" ref="U45" si="146">M45+44.99767+0.00055</f>
        <v>1325.876499</v>
      </c>
      <c r="V45" s="19">
        <f t="shared" ref="V45" si="147">M45+59.01332+0.00055</f>
        <v>1339.892149</v>
      </c>
      <c r="W45" s="42">
        <f t="shared" si="87"/>
        <v>639.43186489999994</v>
      </c>
      <c r="Y45" s="42">
        <f t="shared" si="34"/>
        <v>658.4729595</v>
      </c>
      <c r="Z45" s="42">
        <f t="shared" si="35"/>
        <v>663.42835950000006</v>
      </c>
      <c r="AA45" s="42">
        <f t="shared" si="36"/>
        <v>679.40229950000003</v>
      </c>
      <c r="AB45" s="42">
        <f t="shared" si="37"/>
        <v>652.43738680000001</v>
      </c>
      <c r="AC45" s="42">
        <f t="shared" si="33"/>
        <v>660.42435680000006</v>
      </c>
    </row>
    <row r="46" spans="1:29" x14ac:dyDescent="0.25">
      <c r="A46" s="20" t="s">
        <v>150</v>
      </c>
      <c r="B46" s="17" t="str">
        <f t="shared" si="100"/>
        <v>CL 59:0</v>
      </c>
      <c r="C46" s="1" t="str">
        <f t="shared" si="101"/>
        <v>59</v>
      </c>
      <c r="D46" s="1" t="str">
        <f t="shared" si="102"/>
        <v>0</v>
      </c>
      <c r="E46" s="17">
        <f t="shared" si="103"/>
        <v>68</v>
      </c>
      <c r="F46" s="17">
        <f t="shared" si="104"/>
        <v>132</v>
      </c>
      <c r="G46" s="17">
        <v>0</v>
      </c>
      <c r="H46" s="17">
        <f t="shared" si="105"/>
        <v>17</v>
      </c>
      <c r="I46" s="17">
        <v>2</v>
      </c>
      <c r="L46" s="19" t="str">
        <f t="shared" si="106"/>
        <v>C68H132O17P2</v>
      </c>
      <c r="M46" s="19">
        <f t="shared" si="107"/>
        <v>1282.8939281999999</v>
      </c>
      <c r="N46" s="19">
        <f t="shared" si="108"/>
        <v>1283.9012028</v>
      </c>
      <c r="O46" s="42">
        <f t="shared" si="109"/>
        <v>1265.8900828000001</v>
      </c>
      <c r="P46" s="42">
        <f t="shared" si="110"/>
        <v>1300.9277482</v>
      </c>
      <c r="Q46" s="42">
        <f t="shared" si="111"/>
        <v>1305.8831481999998</v>
      </c>
      <c r="R46" s="42">
        <f t="shared" si="112"/>
        <v>1321.8570881999999</v>
      </c>
      <c r="S46" s="42">
        <f t="shared" si="113"/>
        <v>1289.9093882</v>
      </c>
      <c r="T46" s="19">
        <f t="shared" si="114"/>
        <v>1281.8866535999998</v>
      </c>
      <c r="U46" s="19">
        <f t="shared" si="115"/>
        <v>1327.8921481999998</v>
      </c>
      <c r="V46" s="19">
        <f t="shared" si="116"/>
        <v>1341.9077981999999</v>
      </c>
      <c r="W46" s="42">
        <f t="shared" si="87"/>
        <v>640.43968949999987</v>
      </c>
      <c r="Y46" s="42">
        <f t="shared" si="34"/>
        <v>659.48078409999994</v>
      </c>
      <c r="Z46" s="42">
        <f t="shared" si="35"/>
        <v>664.43618409999999</v>
      </c>
      <c r="AA46" s="42">
        <f t="shared" si="36"/>
        <v>680.41012409999996</v>
      </c>
      <c r="AB46" s="42">
        <f t="shared" si="37"/>
        <v>653.44521139999995</v>
      </c>
      <c r="AC46" s="42">
        <f t="shared" si="33"/>
        <v>661.43218139999999</v>
      </c>
    </row>
    <row r="47" spans="1:29" x14ac:dyDescent="0.25">
      <c r="A47" s="20" t="s">
        <v>193</v>
      </c>
      <c r="B47" s="17" t="str">
        <f>IF(ISNUMBER(SEARCH("[",A47)),IF(ISNUMBER(SEARCH("/",A47)),CONCATENATE(MID(A47,1,2)," ",(SUM(MID(A47,FIND("[",A47)+1,FIND(":",A47)-FIND("[",A47)-1),MID(A47,FIND("/",A47)+1,FIND(":",A47,FIND("/",A47))-FIND("/",A47)-1),MID(A47,FIND("[",A47,FIND("[",A47)+1)+1,(FIND(":",A47,FIND("[",A47))-FIND("[",A47)-1)),MID(A47,FIND("/",A47,FIND("/",A47)+1)+1,FIND(":",A47,FIND("/",A47,FIND("[",A47,FIND("[",A47)+1)+1))-FIND("/",A47,FIND("[",A47,FIND("[",A47)+1)+1)-1))),":",SUM(MID(A47,FIND(":",A47)+1,FIND("/",A47)-FIND(":",A47)-1),MID(A47,FIND(":",A47,FIND("/",A47))+1,FIND("]",A47)-FIND(":",A47,FIND("/",A47))-1),MID(A47,FIND(":",A47,FIND("[",A47,FIND("[",A47)+1))+1,(FIND("/",A47,FIND("[",A47,FIND("[",A47)+1)+1)-FIND(":",A47,FIND("[",A47,FIND("[",A47)+1))-1)),MID(A47,FIND(":",A47,FIND("/",A47,FIND("]",A47)+1))+1,(FIND("]",A47,FIND("[",A47,FIND("[",A47)+1)+1)-FIND(":",A47,FIND("/",A47,FIND("]",A47)+1))-1))),MID(A47,(FIND(")",A47)+1),100)),CONCATENATE(MID(A47,1,2)," ",(SUM(MID(A47,FIND("[",A47)+1,FIND(":",A47)-FIND("[",A47)-1),MID(A47,FIND("_",A47)+1,FIND(":",A47,FIND("_",A47))-FIND("_",A47)-1),MID(A47,FIND("[",A47,FIND("[",A47)+1)+1,(FIND(":",A47,FIND("[",A47))-FIND("[",A47)-1)),MID(A47,FIND("_",A47,FIND("_",A47)+1)+1,FIND(":",A47,FIND("_",A47,FIND("[",A47,FIND("[",A47)+1)+1))-FIND("_",A47,FIND("[",A47,FIND("[",A47)+1)+1)-1))),":",SUM(MID(A47,FIND(":",A47)+1,FIND("_",A47)-FIND(":",A47)-1),MID(A47,FIND(":",A47,FIND("_",A47))+1,FIND("]",A47)-FIND(":",A47,FIND("_",A47))-1),MID(A47,FIND(":",A47,FIND("[",A47,FIND("[",A47)+1))+1,(FIND("_",A47,FIND("[",A47,FIND("[",A47)+1)+1)-FIND(":",A47,FIND("[",A47,FIND("[",A47)+1))-1)),MID(A47,FIND(":",A47,FIND("_",A47,FIND("]",A47)+1))+1,(FIND("]",A47,FIND("[",A47,FIND("[",A47)+1)+1)-FIND(":",A47,FIND("_",A47,FIND("]",A47)+1))-1))),MID(A47,(FIND(")",A47)+1),100))),A47)</f>
        <v>CL 60:2</v>
      </c>
      <c r="C47" s="1" t="str">
        <f>MID(B47,4,FIND(":",B47)-FIND(" ",B47)-1)</f>
        <v>60</v>
      </c>
      <c r="D47" s="1" t="str">
        <f>IF(ISNUMBER(SEARCH("__",B47)),MID(B47,FIND(":",B47)+1,FIND("__",B47)-FIND(":",B47)-1),MID(B47,FIND(":",B47)+1,7))</f>
        <v>2</v>
      </c>
      <c r="E47" s="17">
        <f t="shared" si="103"/>
        <v>69</v>
      </c>
      <c r="F47" s="17">
        <f t="shared" si="104"/>
        <v>130</v>
      </c>
      <c r="G47" s="17">
        <v>0</v>
      </c>
      <c r="H47" s="17">
        <f t="shared" si="105"/>
        <v>17</v>
      </c>
      <c r="I47" s="17">
        <v>2</v>
      </c>
      <c r="L47" s="19" t="str">
        <f t="shared" si="106"/>
        <v>C69H130O17P2</v>
      </c>
      <c r="M47" s="19">
        <f t="shared" si="107"/>
        <v>1292.878279</v>
      </c>
      <c r="N47" s="19">
        <f t="shared" si="108"/>
        <v>1293.8855536000001</v>
      </c>
      <c r="O47" s="42">
        <f t="shared" si="109"/>
        <v>1275.8744336000002</v>
      </c>
      <c r="P47" s="42">
        <f t="shared" si="110"/>
        <v>1310.9120990000001</v>
      </c>
      <c r="Q47" s="42">
        <f t="shared" si="111"/>
        <v>1315.867499</v>
      </c>
      <c r="R47" s="42">
        <f t="shared" si="112"/>
        <v>1331.841439</v>
      </c>
      <c r="S47" s="42">
        <f t="shared" si="113"/>
        <v>1299.8937390000001</v>
      </c>
      <c r="T47" s="19">
        <f t="shared" si="114"/>
        <v>1291.8710043999999</v>
      </c>
      <c r="U47" s="19">
        <f t="shared" si="115"/>
        <v>1337.876499</v>
      </c>
      <c r="V47" s="19">
        <f t="shared" si="116"/>
        <v>1351.892149</v>
      </c>
      <c r="W47" s="42">
        <f t="shared" si="87"/>
        <v>645.43186489999994</v>
      </c>
      <c r="Y47" s="42">
        <f t="shared" si="34"/>
        <v>664.4729595</v>
      </c>
      <c r="Z47" s="42">
        <f t="shared" si="35"/>
        <v>669.42835950000006</v>
      </c>
      <c r="AA47" s="42">
        <f t="shared" si="36"/>
        <v>685.40229950000003</v>
      </c>
      <c r="AB47" s="42">
        <f t="shared" si="37"/>
        <v>658.43738680000001</v>
      </c>
      <c r="AC47" s="42">
        <f t="shared" si="33"/>
        <v>666.42435680000006</v>
      </c>
    </row>
    <row r="48" spans="1:29" x14ac:dyDescent="0.25">
      <c r="A48" s="20" t="s">
        <v>174</v>
      </c>
      <c r="B48" s="17" t="str">
        <f>IF(ISNUMBER(SEARCH("[",A48)),IF(ISNUMBER(SEARCH("/",A48)),CONCATENATE(MID(A48,1,2)," ",(SUM(MID(A48,FIND("[",A48)+1,FIND(":",A48)-FIND("[",A48)-1),MID(A48,FIND("/",A48)+1,FIND(":",A48,FIND("/",A48))-FIND("/",A48)-1),MID(A48,FIND("[",A48,FIND("[",A48)+1)+1,(FIND(":",A48,FIND("[",A48))-FIND("[",A48)-1)),MID(A48,FIND("/",A48,FIND("/",A48)+1)+1,FIND(":",A48,FIND("/",A48,FIND("[",A48,FIND("[",A48)+1)+1))-FIND("/",A48,FIND("[",A48,FIND("[",A48)+1)+1)-1))),":",SUM(MID(A48,FIND(":",A48)+1,FIND("/",A48)-FIND(":",A48)-1),MID(A48,FIND(":",A48,FIND("/",A48))+1,FIND("]",A48)-FIND(":",A48,FIND("/",A48))-1),MID(A48,FIND(":",A48,FIND("[",A48,FIND("[",A48)+1))+1,(FIND("/",A48,FIND("[",A48,FIND("[",A48)+1)+1)-FIND(":",A48,FIND("[",A48,FIND("[",A48)+1))-1)),MID(A48,FIND(":",A48,FIND("/",A48,FIND("]",A48)+1))+1,(FIND("]",A48,FIND("[",A48,FIND("[",A48)+1)+1)-FIND(":",A48,FIND("/",A48,FIND("]",A48)+1))-1))),MID(A48,(FIND(")",A48)+1),100)),CONCATENATE(MID(A48,1,2)," ",(SUM(MID(A48,FIND("[",A48)+1,FIND(":",A48)-FIND("[",A48)-1),MID(A48,FIND("_",A48)+1,FIND(":",A48,FIND("_",A48))-FIND("_",A48)-1),MID(A48,FIND("[",A48,FIND("[",A48)+1)+1,(FIND(":",A48,FIND("[",A48))-FIND("[",A48)-1)),MID(A48,FIND("_",A48,FIND("_",A48)+1)+1,FIND(":",A48,FIND("_",A48,FIND("[",A48,FIND("[",A48)+1)+1))-FIND("_",A48,FIND("[",A48,FIND("[",A48)+1)+1)-1))),":",SUM(MID(A48,FIND(":",A48)+1,FIND("_",A48)-FIND(":",A48)-1),MID(A48,FIND(":",A48,FIND("_",A48))+1,FIND("]",A48)-FIND(":",A48,FIND("_",A48))-1),MID(A48,FIND(":",A48,FIND("[",A48,FIND("[",A48)+1))+1,(FIND("_",A48,FIND("[",A48,FIND("[",A48)+1)+1)-FIND(":",A48,FIND("[",A48,FIND("[",A48)+1))-1)),MID(A48,FIND(":",A48,FIND("_",A48,FIND("]",A48)+1))+1,(FIND("]",A48,FIND("[",A48,FIND("[",A48)+1)+1)-FIND(":",A48,FIND("_",A48,FIND("]",A48)+1))-1))),MID(A48,(FIND(")",A48)+1),100))),A48)</f>
        <v>CL 60:1</v>
      </c>
      <c r="C48" s="1" t="str">
        <f>MID(B48,4,FIND(":",B48)-FIND(" ",B48)-1)</f>
        <v>60</v>
      </c>
      <c r="D48" s="1" t="str">
        <f>IF(ISNUMBER(SEARCH("__",B48)),MID(B48,FIND(":",B48)+1,FIND("__",B48)-FIND(":",B48)-1),MID(B48,FIND(":",B48)+1,7))</f>
        <v>1</v>
      </c>
      <c r="E48" s="17">
        <f t="shared" si="103"/>
        <v>69</v>
      </c>
      <c r="F48" s="17">
        <f t="shared" si="104"/>
        <v>132</v>
      </c>
      <c r="G48" s="17">
        <v>0</v>
      </c>
      <c r="H48" s="17">
        <f t="shared" si="105"/>
        <v>17</v>
      </c>
      <c r="I48" s="17">
        <v>2</v>
      </c>
      <c r="L48" s="19" t="str">
        <f t="shared" si="106"/>
        <v>C69H132O17P2</v>
      </c>
      <c r="M48" s="19">
        <f t="shared" si="107"/>
        <v>1294.8939281999999</v>
      </c>
      <c r="N48" s="19">
        <f t="shared" si="108"/>
        <v>1295.9012028</v>
      </c>
      <c r="O48" s="42">
        <f t="shared" si="109"/>
        <v>1277.8900828000001</v>
      </c>
      <c r="P48" s="42">
        <f t="shared" si="110"/>
        <v>1312.9277482</v>
      </c>
      <c r="Q48" s="42">
        <f t="shared" si="111"/>
        <v>1317.8831481999998</v>
      </c>
      <c r="R48" s="42">
        <f t="shared" si="112"/>
        <v>1333.8570881999999</v>
      </c>
      <c r="S48" s="42">
        <f t="shared" si="113"/>
        <v>1301.9093882</v>
      </c>
      <c r="T48" s="19">
        <f t="shared" si="114"/>
        <v>1293.8866535999998</v>
      </c>
      <c r="U48" s="19">
        <f t="shared" si="115"/>
        <v>1339.8921481999998</v>
      </c>
      <c r="V48" s="19">
        <f t="shared" si="116"/>
        <v>1353.9077981999999</v>
      </c>
      <c r="W48" s="42">
        <f t="shared" si="87"/>
        <v>646.43968949999987</v>
      </c>
      <c r="Y48" s="42">
        <f t="shared" si="34"/>
        <v>665.48078409999994</v>
      </c>
      <c r="Z48" s="42">
        <f t="shared" si="35"/>
        <v>670.43618409999999</v>
      </c>
      <c r="AA48" s="42">
        <f t="shared" si="36"/>
        <v>686.41012409999996</v>
      </c>
      <c r="AB48" s="42">
        <f t="shared" si="37"/>
        <v>659.44521139999995</v>
      </c>
      <c r="AC48" s="42">
        <f t="shared" si="33"/>
        <v>667.43218139999999</v>
      </c>
    </row>
    <row r="49" spans="1:29" x14ac:dyDescent="0.25">
      <c r="A49" s="20" t="s">
        <v>139</v>
      </c>
      <c r="B49" s="17" t="str">
        <f t="shared" si="100"/>
        <v>CL 60:0</v>
      </c>
      <c r="C49" s="1" t="str">
        <f t="shared" si="101"/>
        <v>60</v>
      </c>
      <c r="D49" s="1" t="str">
        <f t="shared" si="102"/>
        <v>0</v>
      </c>
      <c r="E49" s="17">
        <f t="shared" si="103"/>
        <v>69</v>
      </c>
      <c r="F49" s="17">
        <f t="shared" si="104"/>
        <v>134</v>
      </c>
      <c r="G49" s="17">
        <v>0</v>
      </c>
      <c r="H49" s="17">
        <f t="shared" si="105"/>
        <v>17</v>
      </c>
      <c r="I49" s="17">
        <v>2</v>
      </c>
      <c r="L49" s="19" t="str">
        <f t="shared" si="106"/>
        <v>C69H134O17P2</v>
      </c>
      <c r="M49" s="19">
        <f t="shared" si="107"/>
        <v>1296.9095774</v>
      </c>
      <c r="N49" s="19">
        <f t="shared" si="108"/>
        <v>1297.9168520000001</v>
      </c>
      <c r="O49" s="42">
        <f t="shared" si="109"/>
        <v>1279.9057320000002</v>
      </c>
      <c r="P49" s="42">
        <f t="shared" si="110"/>
        <v>1314.9433974000001</v>
      </c>
      <c r="Q49" s="42">
        <f t="shared" si="111"/>
        <v>1319.8987973999999</v>
      </c>
      <c r="R49" s="42">
        <f t="shared" si="112"/>
        <v>1335.8727374</v>
      </c>
      <c r="S49" s="42">
        <f t="shared" si="113"/>
        <v>1303.9250374000001</v>
      </c>
      <c r="T49" s="19">
        <f t="shared" si="114"/>
        <v>1295.9023027999999</v>
      </c>
      <c r="U49" s="19">
        <f t="shared" si="115"/>
        <v>1341.9077973999999</v>
      </c>
      <c r="V49" s="19">
        <f t="shared" si="116"/>
        <v>1355.9234474</v>
      </c>
      <c r="W49" s="42">
        <f t="shared" si="87"/>
        <v>647.44751409999992</v>
      </c>
      <c r="Y49" s="42">
        <f t="shared" si="34"/>
        <v>666.48860869999999</v>
      </c>
      <c r="Z49" s="42">
        <f t="shared" si="35"/>
        <v>671.44400870000004</v>
      </c>
      <c r="AA49" s="42">
        <f t="shared" si="36"/>
        <v>687.41794870000001</v>
      </c>
      <c r="AB49" s="42">
        <f t="shared" si="37"/>
        <v>660.453036</v>
      </c>
      <c r="AC49" s="42">
        <f t="shared" si="33"/>
        <v>668.44000600000004</v>
      </c>
    </row>
    <row r="50" spans="1:29" x14ac:dyDescent="0.25">
      <c r="A50" s="20" t="s">
        <v>235</v>
      </c>
      <c r="B50" s="17" t="str">
        <f t="shared" si="100"/>
        <v>CL 61:3</v>
      </c>
      <c r="C50" s="1" t="str">
        <f t="shared" si="101"/>
        <v>61</v>
      </c>
      <c r="D50" s="1" t="str">
        <f t="shared" si="102"/>
        <v>3</v>
      </c>
      <c r="E50" s="17">
        <f t="shared" si="103"/>
        <v>70</v>
      </c>
      <c r="F50" s="17">
        <f t="shared" si="104"/>
        <v>130</v>
      </c>
      <c r="G50" s="17">
        <v>0</v>
      </c>
      <c r="H50" s="17">
        <f t="shared" si="105"/>
        <v>17</v>
      </c>
      <c r="I50" s="17">
        <v>2</v>
      </c>
      <c r="L50" s="19" t="str">
        <f t="shared" si="106"/>
        <v>C70H130O17P2</v>
      </c>
      <c r="M50" s="19">
        <f t="shared" si="107"/>
        <v>1304.878279</v>
      </c>
      <c r="N50" s="19">
        <f t="shared" si="108"/>
        <v>1305.8855536000001</v>
      </c>
      <c r="O50" s="42">
        <f t="shared" si="109"/>
        <v>1287.8744336000002</v>
      </c>
      <c r="P50" s="42">
        <f t="shared" si="110"/>
        <v>1322.9120990000001</v>
      </c>
      <c r="Q50" s="42">
        <f t="shared" si="111"/>
        <v>1327.867499</v>
      </c>
      <c r="R50" s="42">
        <f t="shared" si="112"/>
        <v>1343.841439</v>
      </c>
      <c r="S50" s="42">
        <f t="shared" si="113"/>
        <v>1311.8937390000001</v>
      </c>
      <c r="T50" s="19">
        <f t="shared" si="114"/>
        <v>1303.8710043999999</v>
      </c>
      <c r="U50" s="19">
        <f t="shared" si="115"/>
        <v>1349.876499</v>
      </c>
      <c r="V50" s="19">
        <f t="shared" si="116"/>
        <v>1363.892149</v>
      </c>
      <c r="W50" s="42">
        <f t="shared" si="87"/>
        <v>651.43186489999994</v>
      </c>
      <c r="Y50" s="42">
        <f t="shared" si="34"/>
        <v>670.4729595</v>
      </c>
      <c r="Z50" s="42">
        <f t="shared" si="35"/>
        <v>675.42835950000006</v>
      </c>
      <c r="AA50" s="42">
        <f t="shared" si="36"/>
        <v>691.40229950000003</v>
      </c>
      <c r="AB50" s="42">
        <f t="shared" si="37"/>
        <v>664.43738680000001</v>
      </c>
      <c r="AC50" s="42">
        <f t="shared" si="33"/>
        <v>672.42435680000006</v>
      </c>
    </row>
    <row r="51" spans="1:29" x14ac:dyDescent="0.25">
      <c r="A51" s="20" t="s">
        <v>194</v>
      </c>
      <c r="B51" s="17" t="str">
        <f>IF(ISNUMBER(SEARCH("[",A51)),IF(ISNUMBER(SEARCH("/",A51)),CONCATENATE(MID(A51,1,2)," ",(SUM(MID(A51,FIND("[",A51)+1,FIND(":",A51)-FIND("[",A51)-1),MID(A51,FIND("/",A51)+1,FIND(":",A51,FIND("/",A51))-FIND("/",A51)-1),MID(A51,FIND("[",A51,FIND("[",A51)+1)+1,(FIND(":",A51,FIND("[",A51))-FIND("[",A51)-1)),MID(A51,FIND("/",A51,FIND("/",A51)+1)+1,FIND(":",A51,FIND("/",A51,FIND("[",A51,FIND("[",A51)+1)+1))-FIND("/",A51,FIND("[",A51,FIND("[",A51)+1)+1)-1))),":",SUM(MID(A51,FIND(":",A51)+1,FIND("/",A51)-FIND(":",A51)-1),MID(A51,FIND(":",A51,FIND("/",A51))+1,FIND("]",A51)-FIND(":",A51,FIND("/",A51))-1),MID(A51,FIND(":",A51,FIND("[",A51,FIND("[",A51)+1))+1,(FIND("/",A51,FIND("[",A51,FIND("[",A51)+1)+1)-FIND(":",A51,FIND("[",A51,FIND("[",A51)+1))-1)),MID(A51,FIND(":",A51,FIND("/",A51,FIND("]",A51)+1))+1,(FIND("]",A51,FIND("[",A51,FIND("[",A51)+1)+1)-FIND(":",A51,FIND("/",A51,FIND("]",A51)+1))-1))),MID(A51,(FIND(")",A51)+1),100)),CONCATENATE(MID(A51,1,2)," ",(SUM(MID(A51,FIND("[",A51)+1,FIND(":",A51)-FIND("[",A51)-1),MID(A51,FIND("_",A51)+1,FIND(":",A51,FIND("_",A51))-FIND("_",A51)-1),MID(A51,FIND("[",A51,FIND("[",A51)+1)+1,(FIND(":",A51,FIND("[",A51))-FIND("[",A51)-1)),MID(A51,FIND("_",A51,FIND("_",A51)+1)+1,FIND(":",A51,FIND("_",A51,FIND("[",A51,FIND("[",A51)+1)+1))-FIND("_",A51,FIND("[",A51,FIND("[",A51)+1)+1)-1))),":",SUM(MID(A51,FIND(":",A51)+1,FIND("_",A51)-FIND(":",A51)-1),MID(A51,FIND(":",A51,FIND("_",A51))+1,FIND("]",A51)-FIND(":",A51,FIND("_",A51))-1),MID(A51,FIND(":",A51,FIND("[",A51,FIND("[",A51)+1))+1,(FIND("_",A51,FIND("[",A51,FIND("[",A51)+1)+1)-FIND(":",A51,FIND("[",A51,FIND("[",A51)+1))-1)),MID(A51,FIND(":",A51,FIND("_",A51,FIND("]",A51)+1))+1,(FIND("]",A51,FIND("[",A51,FIND("[",A51)+1)+1)-FIND(":",A51,FIND("_",A51,FIND("]",A51)+1))-1))),MID(A51,(FIND(")",A51)+1),100))),A51)</f>
        <v>CL 61:2</v>
      </c>
      <c r="C51" s="1" t="str">
        <f>MID(B51,4,FIND(":",B51)-FIND(" ",B51)-1)</f>
        <v>61</v>
      </c>
      <c r="D51" s="1" t="str">
        <f>IF(ISNUMBER(SEARCH("__",B51)),MID(B51,FIND(":",B51)+1,FIND("__",B51)-FIND(":",B51)-1),MID(B51,FIND(":",B51)+1,7))</f>
        <v>2</v>
      </c>
      <c r="E51" s="17">
        <f t="shared" si="103"/>
        <v>70</v>
      </c>
      <c r="F51" s="17">
        <f t="shared" si="104"/>
        <v>132</v>
      </c>
      <c r="G51" s="17">
        <v>0</v>
      </c>
      <c r="H51" s="17">
        <f t="shared" si="105"/>
        <v>17</v>
      </c>
      <c r="I51" s="17">
        <v>2</v>
      </c>
      <c r="L51" s="19" t="str">
        <f t="shared" si="106"/>
        <v>C70H132O17P2</v>
      </c>
      <c r="M51" s="19">
        <f t="shared" si="107"/>
        <v>1306.8939281999999</v>
      </c>
      <c r="N51" s="19">
        <f t="shared" si="108"/>
        <v>1307.9012028</v>
      </c>
      <c r="O51" s="42">
        <f t="shared" si="109"/>
        <v>1289.8900828000001</v>
      </c>
      <c r="P51" s="42">
        <f t="shared" si="110"/>
        <v>1324.9277482</v>
      </c>
      <c r="Q51" s="42">
        <f t="shared" si="111"/>
        <v>1329.8831481999998</v>
      </c>
      <c r="R51" s="42">
        <f t="shared" si="112"/>
        <v>1345.8570881999999</v>
      </c>
      <c r="S51" s="42">
        <f t="shared" si="113"/>
        <v>1313.9093882</v>
      </c>
      <c r="T51" s="19">
        <f t="shared" si="114"/>
        <v>1305.8866535999998</v>
      </c>
      <c r="U51" s="19">
        <f t="shared" si="115"/>
        <v>1351.8921481999998</v>
      </c>
      <c r="V51" s="19">
        <f t="shared" si="116"/>
        <v>1365.9077981999999</v>
      </c>
      <c r="W51" s="42">
        <f t="shared" si="87"/>
        <v>652.43968949999987</v>
      </c>
      <c r="Y51" s="42">
        <f t="shared" si="34"/>
        <v>671.48078409999994</v>
      </c>
      <c r="Z51" s="42">
        <f t="shared" si="35"/>
        <v>676.43618409999999</v>
      </c>
      <c r="AA51" s="42">
        <f t="shared" si="36"/>
        <v>692.41012409999996</v>
      </c>
      <c r="AB51" s="42">
        <f t="shared" si="37"/>
        <v>665.44521139999995</v>
      </c>
      <c r="AC51" s="42">
        <f t="shared" si="33"/>
        <v>673.43218139999999</v>
      </c>
    </row>
    <row r="52" spans="1:29" x14ac:dyDescent="0.25">
      <c r="A52" s="20" t="s">
        <v>173</v>
      </c>
      <c r="B52" s="17" t="str">
        <f>IF(ISNUMBER(SEARCH("[",A52)),IF(ISNUMBER(SEARCH("/",A52)),CONCATENATE(MID(A52,1,2)," ",(SUM(MID(A52,FIND("[",A52)+1,FIND(":",A52)-FIND("[",A52)-1),MID(A52,FIND("/",A52)+1,FIND(":",A52,FIND("/",A52))-FIND("/",A52)-1),MID(A52,FIND("[",A52,FIND("[",A52)+1)+1,(FIND(":",A52,FIND("[",A52))-FIND("[",A52)-1)),MID(A52,FIND("/",A52,FIND("/",A52)+1)+1,FIND(":",A52,FIND("/",A52,FIND("[",A52,FIND("[",A52)+1)+1))-FIND("/",A52,FIND("[",A52,FIND("[",A52)+1)+1)-1))),":",SUM(MID(A52,FIND(":",A52)+1,FIND("/",A52)-FIND(":",A52)-1),MID(A52,FIND(":",A52,FIND("/",A52))+1,FIND("]",A52)-FIND(":",A52,FIND("/",A52))-1),MID(A52,FIND(":",A52,FIND("[",A52,FIND("[",A52)+1))+1,(FIND("/",A52,FIND("[",A52,FIND("[",A52)+1)+1)-FIND(":",A52,FIND("[",A52,FIND("[",A52)+1))-1)),MID(A52,FIND(":",A52,FIND("/",A52,FIND("]",A52)+1))+1,(FIND("]",A52,FIND("[",A52,FIND("[",A52)+1)+1)-FIND(":",A52,FIND("/",A52,FIND("]",A52)+1))-1))),MID(A52,(FIND(")",A52)+1),100)),CONCATENATE(MID(A52,1,2)," ",(SUM(MID(A52,FIND("[",A52)+1,FIND(":",A52)-FIND("[",A52)-1),MID(A52,FIND("_",A52)+1,FIND(":",A52,FIND("_",A52))-FIND("_",A52)-1),MID(A52,FIND("[",A52,FIND("[",A52)+1)+1,(FIND(":",A52,FIND("[",A52))-FIND("[",A52)-1)),MID(A52,FIND("_",A52,FIND("_",A52)+1)+1,FIND(":",A52,FIND("_",A52,FIND("[",A52,FIND("[",A52)+1)+1))-FIND("_",A52,FIND("[",A52,FIND("[",A52)+1)+1)-1))),":",SUM(MID(A52,FIND(":",A52)+1,FIND("_",A52)-FIND(":",A52)-1),MID(A52,FIND(":",A52,FIND("_",A52))+1,FIND("]",A52)-FIND(":",A52,FIND("_",A52))-1),MID(A52,FIND(":",A52,FIND("[",A52,FIND("[",A52)+1))+1,(FIND("_",A52,FIND("[",A52,FIND("[",A52)+1)+1)-FIND(":",A52,FIND("[",A52,FIND("[",A52)+1))-1)),MID(A52,FIND(":",A52,FIND("_",A52,FIND("]",A52)+1))+1,(FIND("]",A52,FIND("[",A52,FIND("[",A52)+1)+1)-FIND(":",A52,FIND("_",A52,FIND("]",A52)+1))-1))),MID(A52,(FIND(")",A52)+1),100))),A52)</f>
        <v>CL 61:1</v>
      </c>
      <c r="C52" s="1" t="str">
        <f>MID(B52,4,FIND(":",B52)-FIND(" ",B52)-1)</f>
        <v>61</v>
      </c>
      <c r="D52" s="1" t="str">
        <f>IF(ISNUMBER(SEARCH("__",B52)),MID(B52,FIND(":",B52)+1,FIND("__",B52)-FIND(":",B52)-1),MID(B52,FIND(":",B52)+1,7))</f>
        <v>1</v>
      </c>
      <c r="E52" s="17">
        <f t="shared" si="103"/>
        <v>70</v>
      </c>
      <c r="F52" s="17">
        <f t="shared" si="104"/>
        <v>134</v>
      </c>
      <c r="G52" s="17">
        <v>0</v>
      </c>
      <c r="H52" s="17">
        <f t="shared" si="105"/>
        <v>17</v>
      </c>
      <c r="I52" s="17">
        <v>2</v>
      </c>
      <c r="L52" s="19" t="str">
        <f t="shared" si="106"/>
        <v>C70H134O17P2</v>
      </c>
      <c r="M52" s="19">
        <f t="shared" si="107"/>
        <v>1308.9095774</v>
      </c>
      <c r="N52" s="19">
        <f t="shared" si="108"/>
        <v>1309.9168520000001</v>
      </c>
      <c r="O52" s="42">
        <f t="shared" si="109"/>
        <v>1291.9057320000002</v>
      </c>
      <c r="P52" s="42">
        <f t="shared" si="110"/>
        <v>1326.9433974000001</v>
      </c>
      <c r="Q52" s="42">
        <f t="shared" si="111"/>
        <v>1331.8987973999999</v>
      </c>
      <c r="R52" s="42">
        <f t="shared" si="112"/>
        <v>1347.8727374</v>
      </c>
      <c r="S52" s="42">
        <f t="shared" si="113"/>
        <v>1315.9250374000001</v>
      </c>
      <c r="T52" s="19">
        <f t="shared" si="114"/>
        <v>1307.9023027999999</v>
      </c>
      <c r="U52" s="19">
        <f t="shared" si="115"/>
        <v>1353.9077973999999</v>
      </c>
      <c r="V52" s="19">
        <f t="shared" si="116"/>
        <v>1367.9234474</v>
      </c>
      <c r="W52" s="42">
        <f t="shared" si="87"/>
        <v>653.44751409999992</v>
      </c>
      <c r="Y52" s="42">
        <f t="shared" si="34"/>
        <v>672.48860869999999</v>
      </c>
      <c r="Z52" s="42">
        <f t="shared" si="35"/>
        <v>677.44400870000004</v>
      </c>
      <c r="AA52" s="42">
        <f t="shared" si="36"/>
        <v>693.41794870000001</v>
      </c>
      <c r="AB52" s="42">
        <f t="shared" si="37"/>
        <v>666.453036</v>
      </c>
      <c r="AC52" s="42">
        <f t="shared" si="33"/>
        <v>674.44000600000004</v>
      </c>
    </row>
    <row r="53" spans="1:29" x14ac:dyDescent="0.25">
      <c r="A53" s="20" t="s">
        <v>151</v>
      </c>
      <c r="B53" s="17" t="str">
        <f t="shared" si="100"/>
        <v>CL 61:0</v>
      </c>
      <c r="C53" s="1" t="str">
        <f t="shared" si="101"/>
        <v>61</v>
      </c>
      <c r="D53" s="1" t="str">
        <f t="shared" si="102"/>
        <v>0</v>
      </c>
      <c r="E53" s="17">
        <f t="shared" si="103"/>
        <v>70</v>
      </c>
      <c r="F53" s="17">
        <f t="shared" si="104"/>
        <v>136</v>
      </c>
      <c r="G53" s="17">
        <v>0</v>
      </c>
      <c r="H53" s="17">
        <f t="shared" si="105"/>
        <v>17</v>
      </c>
      <c r="I53" s="17">
        <v>2</v>
      </c>
      <c r="L53" s="19" t="str">
        <f t="shared" si="106"/>
        <v>C70H136O17P2</v>
      </c>
      <c r="M53" s="19">
        <f t="shared" si="107"/>
        <v>1310.9252265999999</v>
      </c>
      <c r="N53" s="19">
        <f t="shared" si="108"/>
        <v>1311.9325011999999</v>
      </c>
      <c r="O53" s="42">
        <f t="shared" si="109"/>
        <v>1293.9213812</v>
      </c>
      <c r="P53" s="42">
        <f t="shared" si="110"/>
        <v>1328.9590466</v>
      </c>
      <c r="Q53" s="42">
        <f t="shared" si="111"/>
        <v>1333.9144465999998</v>
      </c>
      <c r="R53" s="42">
        <f t="shared" si="112"/>
        <v>1349.8883865999999</v>
      </c>
      <c r="S53" s="42">
        <f t="shared" si="113"/>
        <v>1317.9406865999999</v>
      </c>
      <c r="T53" s="19">
        <f t="shared" si="114"/>
        <v>1309.9179519999998</v>
      </c>
      <c r="U53" s="19">
        <f t="shared" si="115"/>
        <v>1355.9234465999998</v>
      </c>
      <c r="V53" s="19">
        <f t="shared" si="116"/>
        <v>1369.9390965999999</v>
      </c>
      <c r="W53" s="42">
        <f t="shared" si="87"/>
        <v>654.45533869999986</v>
      </c>
      <c r="Y53" s="42">
        <f t="shared" si="34"/>
        <v>673.49643329999992</v>
      </c>
      <c r="Z53" s="42">
        <f t="shared" si="35"/>
        <v>678.45183329999998</v>
      </c>
      <c r="AA53" s="42">
        <f t="shared" si="36"/>
        <v>694.42577329999995</v>
      </c>
      <c r="AB53" s="42">
        <f t="shared" si="37"/>
        <v>667.46086059999993</v>
      </c>
      <c r="AC53" s="42">
        <f t="shared" si="33"/>
        <v>675.44783059999997</v>
      </c>
    </row>
    <row r="54" spans="1:29" x14ac:dyDescent="0.25">
      <c r="A54" s="20" t="s">
        <v>237</v>
      </c>
      <c r="B54" s="17" t="str">
        <f t="shared" si="100"/>
        <v>CL 62:3</v>
      </c>
      <c r="C54" s="1" t="str">
        <f t="shared" si="101"/>
        <v>62</v>
      </c>
      <c r="D54" s="1" t="str">
        <f t="shared" si="102"/>
        <v>3</v>
      </c>
      <c r="E54" s="17">
        <f t="shared" si="103"/>
        <v>71</v>
      </c>
      <c r="F54" s="17">
        <f t="shared" si="104"/>
        <v>132</v>
      </c>
      <c r="G54" s="17">
        <v>0</v>
      </c>
      <c r="H54" s="17">
        <f t="shared" si="105"/>
        <v>17</v>
      </c>
      <c r="I54" s="17">
        <v>2</v>
      </c>
      <c r="L54" s="19" t="str">
        <f t="shared" si="106"/>
        <v>C71H132O17P2</v>
      </c>
      <c r="M54" s="19">
        <f t="shared" si="107"/>
        <v>1318.8939281999999</v>
      </c>
      <c r="N54" s="19">
        <f t="shared" si="108"/>
        <v>1319.9012028</v>
      </c>
      <c r="O54" s="42">
        <f t="shared" si="109"/>
        <v>1301.8900828000001</v>
      </c>
      <c r="P54" s="42">
        <f t="shared" si="110"/>
        <v>1336.9277482</v>
      </c>
      <c r="Q54" s="42">
        <f t="shared" si="111"/>
        <v>1341.8831481999998</v>
      </c>
      <c r="R54" s="42">
        <f t="shared" si="112"/>
        <v>1357.8570881999999</v>
      </c>
      <c r="S54" s="42">
        <f t="shared" si="113"/>
        <v>1325.9093882</v>
      </c>
      <c r="T54" s="19">
        <f t="shared" si="114"/>
        <v>1317.8866535999998</v>
      </c>
      <c r="U54" s="19">
        <f t="shared" si="115"/>
        <v>1363.8921481999998</v>
      </c>
      <c r="V54" s="19">
        <f t="shared" si="116"/>
        <v>1377.9077981999999</v>
      </c>
      <c r="W54" s="42">
        <f t="shared" si="87"/>
        <v>658.43968949999987</v>
      </c>
      <c r="Y54" s="42">
        <f t="shared" si="34"/>
        <v>677.48078409999994</v>
      </c>
      <c r="Z54" s="42">
        <f t="shared" si="35"/>
        <v>682.43618409999999</v>
      </c>
      <c r="AA54" s="42">
        <f t="shared" si="36"/>
        <v>698.41012409999996</v>
      </c>
      <c r="AB54" s="42">
        <f t="shared" si="37"/>
        <v>671.44521139999995</v>
      </c>
      <c r="AC54" s="42">
        <f t="shared" si="33"/>
        <v>679.43218139999999</v>
      </c>
    </row>
    <row r="55" spans="1:29" x14ac:dyDescent="0.25">
      <c r="A55" s="20" t="s">
        <v>195</v>
      </c>
      <c r="B55" s="17" t="str">
        <f>IF(ISNUMBER(SEARCH("[",A55)),IF(ISNUMBER(SEARCH("/",A55)),CONCATENATE(MID(A55,1,2)," ",(SUM(MID(A55,FIND("[",A55)+1,FIND(":",A55)-FIND("[",A55)-1),MID(A55,FIND("/",A55)+1,FIND(":",A55,FIND("/",A55))-FIND("/",A55)-1),MID(A55,FIND("[",A55,FIND("[",A55)+1)+1,(FIND(":",A55,FIND("[",A55))-FIND("[",A55)-1)),MID(A55,FIND("/",A55,FIND("/",A55)+1)+1,FIND(":",A55,FIND("/",A55,FIND("[",A55,FIND("[",A55)+1)+1))-FIND("/",A55,FIND("[",A55,FIND("[",A55)+1)+1)-1))),":",SUM(MID(A55,FIND(":",A55)+1,FIND("/",A55)-FIND(":",A55)-1),MID(A55,FIND(":",A55,FIND("/",A55))+1,FIND("]",A55)-FIND(":",A55,FIND("/",A55))-1),MID(A55,FIND(":",A55,FIND("[",A55,FIND("[",A55)+1))+1,(FIND("/",A55,FIND("[",A55,FIND("[",A55)+1)+1)-FIND(":",A55,FIND("[",A55,FIND("[",A55)+1))-1)),MID(A55,FIND(":",A55,FIND("/",A55,FIND("]",A55)+1))+1,(FIND("]",A55,FIND("[",A55,FIND("[",A55)+1)+1)-FIND(":",A55,FIND("/",A55,FIND("]",A55)+1))-1))),MID(A55,(FIND(")",A55)+1),100)),CONCATENATE(MID(A55,1,2)," ",(SUM(MID(A55,FIND("[",A55)+1,FIND(":",A55)-FIND("[",A55)-1),MID(A55,FIND("_",A55)+1,FIND(":",A55,FIND("_",A55))-FIND("_",A55)-1),MID(A55,FIND("[",A55,FIND("[",A55)+1)+1,(FIND(":",A55,FIND("[",A55))-FIND("[",A55)-1)),MID(A55,FIND("_",A55,FIND("_",A55)+1)+1,FIND(":",A55,FIND("_",A55,FIND("[",A55,FIND("[",A55)+1)+1))-FIND("_",A55,FIND("[",A55,FIND("[",A55)+1)+1)-1))),":",SUM(MID(A55,FIND(":",A55)+1,FIND("_",A55)-FIND(":",A55)-1),MID(A55,FIND(":",A55,FIND("_",A55))+1,FIND("]",A55)-FIND(":",A55,FIND("_",A55))-1),MID(A55,FIND(":",A55,FIND("[",A55,FIND("[",A55)+1))+1,(FIND("_",A55,FIND("[",A55,FIND("[",A55)+1)+1)-FIND(":",A55,FIND("[",A55,FIND("[",A55)+1))-1)),MID(A55,FIND(":",A55,FIND("_",A55,FIND("]",A55)+1))+1,(FIND("]",A55,FIND("[",A55,FIND("[",A55)+1)+1)-FIND(":",A55,FIND("_",A55,FIND("]",A55)+1))-1))),MID(A55,(FIND(")",A55)+1),100))),A55)</f>
        <v>CL 62:2</v>
      </c>
      <c r="C55" s="1" t="str">
        <f>MID(B55,4,FIND(":",B55)-FIND(" ",B55)-1)</f>
        <v>62</v>
      </c>
      <c r="D55" s="1" t="str">
        <f>IF(ISNUMBER(SEARCH("__",B55)),MID(B55,FIND(":",B55)+1,FIND("__",B55)-FIND(":",B55)-1),MID(B55,FIND(":",B55)+1,7))</f>
        <v>2</v>
      </c>
      <c r="E55" s="17">
        <f t="shared" si="103"/>
        <v>71</v>
      </c>
      <c r="F55" s="17">
        <f t="shared" si="104"/>
        <v>134</v>
      </c>
      <c r="G55" s="17">
        <v>0</v>
      </c>
      <c r="H55" s="17">
        <f t="shared" si="105"/>
        <v>17</v>
      </c>
      <c r="I55" s="17">
        <v>2</v>
      </c>
      <c r="L55" s="19" t="str">
        <f t="shared" si="106"/>
        <v>C71H134O17P2</v>
      </c>
      <c r="M55" s="19">
        <f t="shared" si="107"/>
        <v>1320.9095774</v>
      </c>
      <c r="N55" s="19">
        <f t="shared" si="108"/>
        <v>1321.9168520000001</v>
      </c>
      <c r="O55" s="42">
        <f t="shared" si="109"/>
        <v>1303.9057320000002</v>
      </c>
      <c r="P55" s="42">
        <f t="shared" si="110"/>
        <v>1338.9433974000001</v>
      </c>
      <c r="Q55" s="42">
        <f t="shared" si="111"/>
        <v>1343.8987973999999</v>
      </c>
      <c r="R55" s="42">
        <f t="shared" si="112"/>
        <v>1359.8727374</v>
      </c>
      <c r="S55" s="42">
        <f t="shared" si="113"/>
        <v>1327.9250374000001</v>
      </c>
      <c r="T55" s="19">
        <f t="shared" si="114"/>
        <v>1319.9023027999999</v>
      </c>
      <c r="U55" s="19">
        <f t="shared" si="115"/>
        <v>1365.9077973999999</v>
      </c>
      <c r="V55" s="19">
        <f t="shared" si="116"/>
        <v>1379.9234474</v>
      </c>
      <c r="W55" s="42">
        <f t="shared" si="87"/>
        <v>659.44751409999992</v>
      </c>
      <c r="Y55" s="42">
        <f t="shared" si="34"/>
        <v>678.48860869999999</v>
      </c>
      <c r="Z55" s="42">
        <f t="shared" si="35"/>
        <v>683.44400870000004</v>
      </c>
      <c r="AA55" s="42">
        <f t="shared" si="36"/>
        <v>699.41794870000001</v>
      </c>
      <c r="AB55" s="42">
        <f t="shared" si="37"/>
        <v>672.453036</v>
      </c>
      <c r="AC55" s="42">
        <f t="shared" si="33"/>
        <v>680.44000600000004</v>
      </c>
    </row>
    <row r="56" spans="1:29" x14ac:dyDescent="0.25">
      <c r="A56" s="20" t="s">
        <v>172</v>
      </c>
      <c r="B56" s="17" t="str">
        <f>IF(ISNUMBER(SEARCH("[",A56)),IF(ISNUMBER(SEARCH("/",A56)),CONCATENATE(MID(A56,1,2)," ",(SUM(MID(A56,FIND("[",A56)+1,FIND(":",A56)-FIND("[",A56)-1),MID(A56,FIND("/",A56)+1,FIND(":",A56,FIND("/",A56))-FIND("/",A56)-1),MID(A56,FIND("[",A56,FIND("[",A56)+1)+1,(FIND(":",A56,FIND("[",A56))-FIND("[",A56)-1)),MID(A56,FIND("/",A56,FIND("/",A56)+1)+1,FIND(":",A56,FIND("/",A56,FIND("[",A56,FIND("[",A56)+1)+1))-FIND("/",A56,FIND("[",A56,FIND("[",A56)+1)+1)-1))),":",SUM(MID(A56,FIND(":",A56)+1,FIND("/",A56)-FIND(":",A56)-1),MID(A56,FIND(":",A56,FIND("/",A56))+1,FIND("]",A56)-FIND(":",A56,FIND("/",A56))-1),MID(A56,FIND(":",A56,FIND("[",A56,FIND("[",A56)+1))+1,(FIND("/",A56,FIND("[",A56,FIND("[",A56)+1)+1)-FIND(":",A56,FIND("[",A56,FIND("[",A56)+1))-1)),MID(A56,FIND(":",A56,FIND("/",A56,FIND("]",A56)+1))+1,(FIND("]",A56,FIND("[",A56,FIND("[",A56)+1)+1)-FIND(":",A56,FIND("/",A56,FIND("]",A56)+1))-1))),MID(A56,(FIND(")",A56)+1),100)),CONCATENATE(MID(A56,1,2)," ",(SUM(MID(A56,FIND("[",A56)+1,FIND(":",A56)-FIND("[",A56)-1),MID(A56,FIND("_",A56)+1,FIND(":",A56,FIND("_",A56))-FIND("_",A56)-1),MID(A56,FIND("[",A56,FIND("[",A56)+1)+1,(FIND(":",A56,FIND("[",A56))-FIND("[",A56)-1)),MID(A56,FIND("_",A56,FIND("_",A56)+1)+1,FIND(":",A56,FIND("_",A56,FIND("[",A56,FIND("[",A56)+1)+1))-FIND("_",A56,FIND("[",A56,FIND("[",A56)+1)+1)-1))),":",SUM(MID(A56,FIND(":",A56)+1,FIND("_",A56)-FIND(":",A56)-1),MID(A56,FIND(":",A56,FIND("_",A56))+1,FIND("]",A56)-FIND(":",A56,FIND("_",A56))-1),MID(A56,FIND(":",A56,FIND("[",A56,FIND("[",A56)+1))+1,(FIND("_",A56,FIND("[",A56,FIND("[",A56)+1)+1)-FIND(":",A56,FIND("[",A56,FIND("[",A56)+1))-1)),MID(A56,FIND(":",A56,FIND("_",A56,FIND("]",A56)+1))+1,(FIND("]",A56,FIND("[",A56,FIND("[",A56)+1)+1)-FIND(":",A56,FIND("_",A56,FIND("]",A56)+1))-1))),MID(A56,(FIND(")",A56)+1),100))),A56)</f>
        <v>CL 62:1</v>
      </c>
      <c r="C56" s="1" t="str">
        <f>MID(B56,4,FIND(":",B56)-FIND(" ",B56)-1)</f>
        <v>62</v>
      </c>
      <c r="D56" s="1" t="str">
        <f>IF(ISNUMBER(SEARCH("__",B56)),MID(B56,FIND(":",B56)+1,FIND("__",B56)-FIND(":",B56)-1),MID(B56,FIND(":",B56)+1,7))</f>
        <v>1</v>
      </c>
      <c r="E56" s="17">
        <f t="shared" si="103"/>
        <v>71</v>
      </c>
      <c r="F56" s="17">
        <f t="shared" si="104"/>
        <v>136</v>
      </c>
      <c r="G56" s="17">
        <v>0</v>
      </c>
      <c r="H56" s="17">
        <f t="shared" si="105"/>
        <v>17</v>
      </c>
      <c r="I56" s="17">
        <v>2</v>
      </c>
      <c r="L56" s="19" t="str">
        <f t="shared" si="106"/>
        <v>C71H136O17P2</v>
      </c>
      <c r="M56" s="19">
        <f t="shared" si="107"/>
        <v>1322.9252265999999</v>
      </c>
      <c r="N56" s="19">
        <f t="shared" si="108"/>
        <v>1323.9325011999999</v>
      </c>
      <c r="O56" s="42">
        <f t="shared" si="109"/>
        <v>1305.9213812</v>
      </c>
      <c r="P56" s="42">
        <f t="shared" si="110"/>
        <v>1340.9590466</v>
      </c>
      <c r="Q56" s="42">
        <f t="shared" si="111"/>
        <v>1345.9144465999998</v>
      </c>
      <c r="R56" s="42">
        <f t="shared" si="112"/>
        <v>1361.8883865999999</v>
      </c>
      <c r="S56" s="42">
        <f t="shared" si="113"/>
        <v>1329.9406865999999</v>
      </c>
      <c r="T56" s="19">
        <f t="shared" si="114"/>
        <v>1321.9179519999998</v>
      </c>
      <c r="U56" s="19">
        <f t="shared" si="115"/>
        <v>1367.9234465999998</v>
      </c>
      <c r="V56" s="19">
        <f t="shared" si="116"/>
        <v>1381.9390965999999</v>
      </c>
      <c r="W56" s="42">
        <f t="shared" si="87"/>
        <v>660.45533869999986</v>
      </c>
      <c r="Y56" s="42">
        <f t="shared" si="34"/>
        <v>679.49643329999992</v>
      </c>
      <c r="Z56" s="42">
        <f t="shared" si="35"/>
        <v>684.45183329999998</v>
      </c>
      <c r="AA56" s="42">
        <f t="shared" si="36"/>
        <v>700.42577329999995</v>
      </c>
      <c r="AB56" s="42">
        <f t="shared" si="37"/>
        <v>673.46086059999993</v>
      </c>
      <c r="AC56" s="42">
        <f t="shared" si="33"/>
        <v>681.44783059999997</v>
      </c>
    </row>
    <row r="57" spans="1:29" x14ac:dyDescent="0.25">
      <c r="A57" s="20" t="s">
        <v>152</v>
      </c>
      <c r="B57" s="17" t="str">
        <f t="shared" si="100"/>
        <v>CL 62:0</v>
      </c>
      <c r="C57" s="1" t="str">
        <f t="shared" si="101"/>
        <v>62</v>
      </c>
      <c r="D57" s="1" t="str">
        <f t="shared" si="102"/>
        <v>0</v>
      </c>
      <c r="E57" s="17">
        <f t="shared" si="103"/>
        <v>71</v>
      </c>
      <c r="F57" s="17">
        <f t="shared" si="104"/>
        <v>138</v>
      </c>
      <c r="G57" s="17">
        <v>0</v>
      </c>
      <c r="H57" s="17">
        <f t="shared" si="105"/>
        <v>17</v>
      </c>
      <c r="I57" s="17">
        <v>2</v>
      </c>
      <c r="L57" s="19" t="str">
        <f t="shared" si="106"/>
        <v>C71H138O17P2</v>
      </c>
      <c r="M57" s="19">
        <f t="shared" si="107"/>
        <v>1324.9408758</v>
      </c>
      <c r="N57" s="19">
        <f t="shared" si="108"/>
        <v>1325.9481504</v>
      </c>
      <c r="O57" s="42">
        <f t="shared" si="109"/>
        <v>1307.9370304000001</v>
      </c>
      <c r="P57" s="42">
        <f t="shared" si="110"/>
        <v>1342.9746958000001</v>
      </c>
      <c r="Q57" s="42">
        <f t="shared" si="111"/>
        <v>1347.9300957999999</v>
      </c>
      <c r="R57" s="42">
        <f t="shared" si="112"/>
        <v>1363.9040358</v>
      </c>
      <c r="S57" s="42">
        <f t="shared" si="113"/>
        <v>1331.9563358</v>
      </c>
      <c r="T57" s="19">
        <f t="shared" si="114"/>
        <v>1323.9336011999999</v>
      </c>
      <c r="U57" s="19">
        <f t="shared" si="115"/>
        <v>1369.9390957999999</v>
      </c>
      <c r="V57" s="19">
        <f t="shared" si="116"/>
        <v>1383.9547458</v>
      </c>
      <c r="W57" s="42">
        <f t="shared" si="87"/>
        <v>661.46316329999991</v>
      </c>
      <c r="Y57" s="42">
        <f t="shared" si="34"/>
        <v>680.50425789999997</v>
      </c>
      <c r="Z57" s="42">
        <f t="shared" si="35"/>
        <v>685.45965790000002</v>
      </c>
      <c r="AA57" s="42">
        <f t="shared" si="36"/>
        <v>701.4335979</v>
      </c>
      <c r="AB57" s="42">
        <f t="shared" si="37"/>
        <v>674.46868519999998</v>
      </c>
      <c r="AC57" s="42">
        <f t="shared" si="33"/>
        <v>682.45565520000002</v>
      </c>
    </row>
    <row r="58" spans="1:29" x14ac:dyDescent="0.25">
      <c r="A58" s="20" t="s">
        <v>242</v>
      </c>
      <c r="B58" s="17" t="str">
        <f t="shared" si="100"/>
        <v>CL 63:4</v>
      </c>
      <c r="C58" s="1" t="str">
        <f t="shared" si="101"/>
        <v>63</v>
      </c>
      <c r="D58" s="1" t="str">
        <f t="shared" si="102"/>
        <v>4</v>
      </c>
      <c r="E58" s="17">
        <f t="shared" si="103"/>
        <v>72</v>
      </c>
      <c r="F58" s="17">
        <f t="shared" si="104"/>
        <v>132</v>
      </c>
      <c r="G58" s="17">
        <v>0</v>
      </c>
      <c r="H58" s="17">
        <f t="shared" si="105"/>
        <v>17</v>
      </c>
      <c r="I58" s="17">
        <v>2</v>
      </c>
      <c r="L58" s="19" t="str">
        <f t="shared" si="106"/>
        <v>C72H132O17P2</v>
      </c>
      <c r="M58" s="19">
        <f t="shared" si="107"/>
        <v>1330.8939281999999</v>
      </c>
      <c r="N58" s="19">
        <f t="shared" si="108"/>
        <v>1331.9012028</v>
      </c>
      <c r="O58" s="42">
        <f t="shared" si="109"/>
        <v>1313.8900828000001</v>
      </c>
      <c r="P58" s="42">
        <f t="shared" si="110"/>
        <v>1348.9277482</v>
      </c>
      <c r="Q58" s="42">
        <f t="shared" si="111"/>
        <v>1353.8831481999998</v>
      </c>
      <c r="R58" s="42">
        <f t="shared" si="112"/>
        <v>1369.8570881999999</v>
      </c>
      <c r="S58" s="42">
        <f t="shared" si="113"/>
        <v>1337.9093882</v>
      </c>
      <c r="T58" s="19">
        <f t="shared" si="114"/>
        <v>1329.8866535999998</v>
      </c>
      <c r="U58" s="19">
        <f t="shared" si="115"/>
        <v>1375.8921481999998</v>
      </c>
      <c r="V58" s="19">
        <f t="shared" si="116"/>
        <v>1389.9077981999999</v>
      </c>
      <c r="W58" s="42">
        <f t="shared" si="87"/>
        <v>664.43968949999987</v>
      </c>
      <c r="Y58" s="42">
        <f t="shared" si="34"/>
        <v>683.48078409999994</v>
      </c>
      <c r="Z58" s="42">
        <f t="shared" si="35"/>
        <v>688.43618409999999</v>
      </c>
      <c r="AA58" s="42">
        <f t="shared" si="36"/>
        <v>704.41012409999996</v>
      </c>
      <c r="AB58" s="42">
        <f t="shared" si="37"/>
        <v>677.44521139999995</v>
      </c>
      <c r="AC58" s="42">
        <f t="shared" si="33"/>
        <v>685.43218139999999</v>
      </c>
    </row>
    <row r="59" spans="1:29" x14ac:dyDescent="0.25">
      <c r="A59" s="20" t="s">
        <v>231</v>
      </c>
      <c r="B59" s="17" t="str">
        <f t="shared" si="100"/>
        <v>CL 63:3</v>
      </c>
      <c r="C59" s="1" t="str">
        <f t="shared" si="101"/>
        <v>63</v>
      </c>
      <c r="D59" s="1" t="str">
        <f t="shared" si="102"/>
        <v>3</v>
      </c>
      <c r="E59" s="17">
        <f t="shared" si="103"/>
        <v>72</v>
      </c>
      <c r="F59" s="17">
        <f t="shared" si="104"/>
        <v>134</v>
      </c>
      <c r="G59" s="17">
        <v>0</v>
      </c>
      <c r="H59" s="17">
        <f t="shared" si="105"/>
        <v>17</v>
      </c>
      <c r="I59" s="17">
        <v>2</v>
      </c>
      <c r="L59" s="19" t="str">
        <f t="shared" si="106"/>
        <v>C72H134O17P2</v>
      </c>
      <c r="M59" s="19">
        <f t="shared" si="107"/>
        <v>1332.9095774</v>
      </c>
      <c r="N59" s="19">
        <f t="shared" si="108"/>
        <v>1333.9168520000001</v>
      </c>
      <c r="O59" s="42">
        <f t="shared" si="109"/>
        <v>1315.9057320000002</v>
      </c>
      <c r="P59" s="42">
        <f t="shared" si="110"/>
        <v>1350.9433974000001</v>
      </c>
      <c r="Q59" s="42">
        <f t="shared" si="111"/>
        <v>1355.8987973999999</v>
      </c>
      <c r="R59" s="42">
        <f t="shared" si="112"/>
        <v>1371.8727374</v>
      </c>
      <c r="S59" s="42">
        <f t="shared" si="113"/>
        <v>1339.9250374000001</v>
      </c>
      <c r="T59" s="19">
        <f t="shared" si="114"/>
        <v>1331.9023027999999</v>
      </c>
      <c r="U59" s="19">
        <f t="shared" si="115"/>
        <v>1377.9077973999999</v>
      </c>
      <c r="V59" s="19">
        <f t="shared" si="116"/>
        <v>1391.9234474</v>
      </c>
      <c r="W59" s="42">
        <f t="shared" si="87"/>
        <v>665.44751409999992</v>
      </c>
      <c r="Y59" s="42">
        <f t="shared" si="34"/>
        <v>684.48860869999999</v>
      </c>
      <c r="Z59" s="42">
        <f t="shared" si="35"/>
        <v>689.44400870000004</v>
      </c>
      <c r="AA59" s="42">
        <f t="shared" si="36"/>
        <v>705.41794870000001</v>
      </c>
      <c r="AB59" s="42">
        <f t="shared" si="37"/>
        <v>678.453036</v>
      </c>
      <c r="AC59" s="42">
        <f t="shared" si="33"/>
        <v>686.44000600000004</v>
      </c>
    </row>
    <row r="60" spans="1:29" x14ac:dyDescent="0.25">
      <c r="A60" s="20" t="s">
        <v>196</v>
      </c>
      <c r="B60" s="17" t="str">
        <f>IF(ISNUMBER(SEARCH("[",A60)),IF(ISNUMBER(SEARCH("/",A60)),CONCATENATE(MID(A60,1,2)," ",(SUM(MID(A60,FIND("[",A60)+1,FIND(":",A60)-FIND("[",A60)-1),MID(A60,FIND("/",A60)+1,FIND(":",A60,FIND("/",A60))-FIND("/",A60)-1),MID(A60,FIND("[",A60,FIND("[",A60)+1)+1,(FIND(":",A60,FIND("[",A60))-FIND("[",A60)-1)),MID(A60,FIND("/",A60,FIND("/",A60)+1)+1,FIND(":",A60,FIND("/",A60,FIND("[",A60,FIND("[",A60)+1)+1))-FIND("/",A60,FIND("[",A60,FIND("[",A60)+1)+1)-1))),":",SUM(MID(A60,FIND(":",A60)+1,FIND("/",A60)-FIND(":",A60)-1),MID(A60,FIND(":",A60,FIND("/",A60))+1,FIND("]",A60)-FIND(":",A60,FIND("/",A60))-1),MID(A60,FIND(":",A60,FIND("[",A60,FIND("[",A60)+1))+1,(FIND("/",A60,FIND("[",A60,FIND("[",A60)+1)+1)-FIND(":",A60,FIND("[",A60,FIND("[",A60)+1))-1)),MID(A60,FIND(":",A60,FIND("/",A60,FIND("]",A60)+1))+1,(FIND("]",A60,FIND("[",A60,FIND("[",A60)+1)+1)-FIND(":",A60,FIND("/",A60,FIND("]",A60)+1))-1))),MID(A60,(FIND(")",A60)+1),100)),CONCATENATE(MID(A60,1,2)," ",(SUM(MID(A60,FIND("[",A60)+1,FIND(":",A60)-FIND("[",A60)-1),MID(A60,FIND("_",A60)+1,FIND(":",A60,FIND("_",A60))-FIND("_",A60)-1),MID(A60,FIND("[",A60,FIND("[",A60)+1)+1,(FIND(":",A60,FIND("[",A60))-FIND("[",A60)-1)),MID(A60,FIND("_",A60,FIND("_",A60)+1)+1,FIND(":",A60,FIND("_",A60,FIND("[",A60,FIND("[",A60)+1)+1))-FIND("_",A60,FIND("[",A60,FIND("[",A60)+1)+1)-1))),":",SUM(MID(A60,FIND(":",A60)+1,FIND("_",A60)-FIND(":",A60)-1),MID(A60,FIND(":",A60,FIND("_",A60))+1,FIND("]",A60)-FIND(":",A60,FIND("_",A60))-1),MID(A60,FIND(":",A60,FIND("[",A60,FIND("[",A60)+1))+1,(FIND("_",A60,FIND("[",A60,FIND("[",A60)+1)+1)-FIND(":",A60,FIND("[",A60,FIND("[",A60)+1))-1)),MID(A60,FIND(":",A60,FIND("_",A60,FIND("]",A60)+1))+1,(FIND("]",A60,FIND("[",A60,FIND("[",A60)+1)+1)-FIND(":",A60,FIND("_",A60,FIND("]",A60)+1))-1))),MID(A60,(FIND(")",A60)+1),100))),A60)</f>
        <v>CL 63:2</v>
      </c>
      <c r="C60" s="1" t="str">
        <f>MID(B60,4,FIND(":",B60)-FIND(" ",B60)-1)</f>
        <v>63</v>
      </c>
      <c r="D60" s="1" t="str">
        <f>IF(ISNUMBER(SEARCH("__",B60)),MID(B60,FIND(":",B60)+1,FIND("__",B60)-FIND(":",B60)-1),MID(B60,FIND(":",B60)+1,7))</f>
        <v>2</v>
      </c>
      <c r="E60" s="17">
        <f t="shared" si="103"/>
        <v>72</v>
      </c>
      <c r="F60" s="17">
        <f t="shared" si="104"/>
        <v>136</v>
      </c>
      <c r="G60" s="17">
        <v>0</v>
      </c>
      <c r="H60" s="17">
        <f t="shared" si="105"/>
        <v>17</v>
      </c>
      <c r="I60" s="17">
        <v>2</v>
      </c>
      <c r="L60" s="19" t="str">
        <f t="shared" si="106"/>
        <v>C72H136O17P2</v>
      </c>
      <c r="M60" s="19">
        <f t="shared" si="107"/>
        <v>1334.9252265999999</v>
      </c>
      <c r="N60" s="19">
        <f t="shared" si="108"/>
        <v>1335.9325011999999</v>
      </c>
      <c r="O60" s="42">
        <f t="shared" si="109"/>
        <v>1317.9213812</v>
      </c>
      <c r="P60" s="42">
        <f t="shared" si="110"/>
        <v>1352.9590466</v>
      </c>
      <c r="Q60" s="42">
        <f t="shared" si="111"/>
        <v>1357.9144465999998</v>
      </c>
      <c r="R60" s="42">
        <f t="shared" si="112"/>
        <v>1373.8883865999999</v>
      </c>
      <c r="S60" s="42">
        <f t="shared" si="113"/>
        <v>1341.9406865999999</v>
      </c>
      <c r="T60" s="19">
        <f t="shared" si="114"/>
        <v>1333.9179519999998</v>
      </c>
      <c r="U60" s="19">
        <f t="shared" si="115"/>
        <v>1379.9234465999998</v>
      </c>
      <c r="V60" s="19">
        <f t="shared" si="116"/>
        <v>1393.9390965999999</v>
      </c>
      <c r="W60" s="42">
        <f t="shared" si="87"/>
        <v>666.45533869999986</v>
      </c>
      <c r="Y60" s="42">
        <f t="shared" si="34"/>
        <v>685.49643329999992</v>
      </c>
      <c r="Z60" s="42">
        <f t="shared" si="35"/>
        <v>690.45183329999998</v>
      </c>
      <c r="AA60" s="42">
        <f t="shared" si="36"/>
        <v>706.42577329999995</v>
      </c>
      <c r="AB60" s="42">
        <f t="shared" si="37"/>
        <v>679.46086059999993</v>
      </c>
      <c r="AC60" s="42">
        <f t="shared" si="33"/>
        <v>687.44783059999997</v>
      </c>
    </row>
    <row r="61" spans="1:29" x14ac:dyDescent="0.25">
      <c r="A61" s="20" t="s">
        <v>171</v>
      </c>
      <c r="B61" s="17" t="str">
        <f>IF(ISNUMBER(SEARCH("[",A61)),IF(ISNUMBER(SEARCH("/",A61)),CONCATENATE(MID(A61,1,2)," ",(SUM(MID(A61,FIND("[",A61)+1,FIND(":",A61)-FIND("[",A61)-1),MID(A61,FIND("/",A61)+1,FIND(":",A61,FIND("/",A61))-FIND("/",A61)-1),MID(A61,FIND("[",A61,FIND("[",A61)+1)+1,(FIND(":",A61,FIND("[",A61))-FIND("[",A61)-1)),MID(A61,FIND("/",A61,FIND("/",A61)+1)+1,FIND(":",A61,FIND("/",A61,FIND("[",A61,FIND("[",A61)+1)+1))-FIND("/",A61,FIND("[",A61,FIND("[",A61)+1)+1)-1))),":",SUM(MID(A61,FIND(":",A61)+1,FIND("/",A61)-FIND(":",A61)-1),MID(A61,FIND(":",A61,FIND("/",A61))+1,FIND("]",A61)-FIND(":",A61,FIND("/",A61))-1),MID(A61,FIND(":",A61,FIND("[",A61,FIND("[",A61)+1))+1,(FIND("/",A61,FIND("[",A61,FIND("[",A61)+1)+1)-FIND(":",A61,FIND("[",A61,FIND("[",A61)+1))-1)),MID(A61,FIND(":",A61,FIND("/",A61,FIND("]",A61)+1))+1,(FIND("]",A61,FIND("[",A61,FIND("[",A61)+1)+1)-FIND(":",A61,FIND("/",A61,FIND("]",A61)+1))-1))),MID(A61,(FIND(")",A61)+1),100)),CONCATENATE(MID(A61,1,2)," ",(SUM(MID(A61,FIND("[",A61)+1,FIND(":",A61)-FIND("[",A61)-1),MID(A61,FIND("_",A61)+1,FIND(":",A61,FIND("_",A61))-FIND("_",A61)-1),MID(A61,FIND("[",A61,FIND("[",A61)+1)+1,(FIND(":",A61,FIND("[",A61))-FIND("[",A61)-1)),MID(A61,FIND("_",A61,FIND("_",A61)+1)+1,FIND(":",A61,FIND("_",A61,FIND("[",A61,FIND("[",A61)+1)+1))-FIND("_",A61,FIND("[",A61,FIND("[",A61)+1)+1)-1))),":",SUM(MID(A61,FIND(":",A61)+1,FIND("_",A61)-FIND(":",A61)-1),MID(A61,FIND(":",A61,FIND("_",A61))+1,FIND("]",A61)-FIND(":",A61,FIND("_",A61))-1),MID(A61,FIND(":",A61,FIND("[",A61,FIND("[",A61)+1))+1,(FIND("_",A61,FIND("[",A61,FIND("[",A61)+1)+1)-FIND(":",A61,FIND("[",A61,FIND("[",A61)+1))-1)),MID(A61,FIND(":",A61,FIND("_",A61,FIND("]",A61)+1))+1,(FIND("]",A61,FIND("[",A61,FIND("[",A61)+1)+1)-FIND(":",A61,FIND("_",A61,FIND("]",A61)+1))-1))),MID(A61,(FIND(")",A61)+1),100))),A61)</f>
        <v>CL 63:1</v>
      </c>
      <c r="C61" s="1" t="str">
        <f>MID(B61,4,FIND(":",B61)-FIND(" ",B61)-1)</f>
        <v>63</v>
      </c>
      <c r="D61" s="1" t="str">
        <f>IF(ISNUMBER(SEARCH("__",B61)),MID(B61,FIND(":",B61)+1,FIND("__",B61)-FIND(":",B61)-1),MID(B61,FIND(":",B61)+1,7))</f>
        <v>1</v>
      </c>
      <c r="E61" s="17">
        <f t="shared" si="103"/>
        <v>72</v>
      </c>
      <c r="F61" s="17">
        <f t="shared" si="104"/>
        <v>138</v>
      </c>
      <c r="G61" s="17">
        <v>0</v>
      </c>
      <c r="H61" s="17">
        <f t="shared" si="105"/>
        <v>17</v>
      </c>
      <c r="I61" s="17">
        <v>2</v>
      </c>
      <c r="L61" s="19" t="str">
        <f t="shared" si="106"/>
        <v>C72H138O17P2</v>
      </c>
      <c r="M61" s="19">
        <f t="shared" si="107"/>
        <v>1336.9408758</v>
      </c>
      <c r="N61" s="19">
        <f t="shared" si="108"/>
        <v>1337.9481504</v>
      </c>
      <c r="O61" s="42">
        <f t="shared" si="109"/>
        <v>1319.9370304000001</v>
      </c>
      <c r="P61" s="42">
        <f t="shared" si="110"/>
        <v>1354.9746958000001</v>
      </c>
      <c r="Q61" s="42">
        <f t="shared" si="111"/>
        <v>1359.9300957999999</v>
      </c>
      <c r="R61" s="42">
        <f t="shared" si="112"/>
        <v>1375.9040358</v>
      </c>
      <c r="S61" s="42">
        <f t="shared" si="113"/>
        <v>1343.9563358</v>
      </c>
      <c r="T61" s="19">
        <f t="shared" si="114"/>
        <v>1335.9336011999999</v>
      </c>
      <c r="U61" s="19">
        <f t="shared" si="115"/>
        <v>1381.9390957999999</v>
      </c>
      <c r="V61" s="19">
        <f t="shared" si="116"/>
        <v>1395.9547458</v>
      </c>
      <c r="W61" s="42">
        <f t="shared" si="87"/>
        <v>667.46316329999991</v>
      </c>
      <c r="Y61" s="42">
        <f t="shared" si="34"/>
        <v>686.50425789999997</v>
      </c>
      <c r="Z61" s="42">
        <f t="shared" si="35"/>
        <v>691.45965790000002</v>
      </c>
      <c r="AA61" s="42">
        <f t="shared" si="36"/>
        <v>707.4335979</v>
      </c>
      <c r="AB61" s="42">
        <f t="shared" si="37"/>
        <v>680.46868519999998</v>
      </c>
      <c r="AC61" s="42">
        <f t="shared" si="33"/>
        <v>688.45565520000002</v>
      </c>
    </row>
    <row r="62" spans="1:29" x14ac:dyDescent="0.25">
      <c r="A62" s="20" t="s">
        <v>153</v>
      </c>
      <c r="B62" s="17" t="str">
        <f t="shared" si="100"/>
        <v>CL 63:0</v>
      </c>
      <c r="C62" s="1" t="str">
        <f t="shared" si="101"/>
        <v>63</v>
      </c>
      <c r="D62" s="1" t="str">
        <f t="shared" si="102"/>
        <v>0</v>
      </c>
      <c r="E62" s="17">
        <f t="shared" si="103"/>
        <v>72</v>
      </c>
      <c r="F62" s="17">
        <f t="shared" si="104"/>
        <v>140</v>
      </c>
      <c r="G62" s="17">
        <v>0</v>
      </c>
      <c r="H62" s="17">
        <f t="shared" si="105"/>
        <v>17</v>
      </c>
      <c r="I62" s="17">
        <v>2</v>
      </c>
      <c r="L62" s="19" t="str">
        <f t="shared" si="106"/>
        <v>C72H140O17P2</v>
      </c>
      <c r="M62" s="19">
        <f t="shared" si="107"/>
        <v>1338.9565250000001</v>
      </c>
      <c r="N62" s="19">
        <f t="shared" si="108"/>
        <v>1339.9637996000001</v>
      </c>
      <c r="O62" s="42">
        <f t="shared" si="109"/>
        <v>1321.9526796000002</v>
      </c>
      <c r="P62" s="42">
        <f t="shared" si="110"/>
        <v>1356.9903450000002</v>
      </c>
      <c r="Q62" s="42">
        <f t="shared" si="111"/>
        <v>1361.945745</v>
      </c>
      <c r="R62" s="42">
        <f t="shared" si="112"/>
        <v>1377.9196850000001</v>
      </c>
      <c r="S62" s="42">
        <f t="shared" si="113"/>
        <v>1345.9719850000001</v>
      </c>
      <c r="T62" s="19">
        <f t="shared" si="114"/>
        <v>1337.9492504</v>
      </c>
      <c r="U62" s="19">
        <f t="shared" si="115"/>
        <v>1383.954745</v>
      </c>
      <c r="V62" s="19">
        <f t="shared" si="116"/>
        <v>1397.9703950000001</v>
      </c>
      <c r="W62" s="42">
        <f t="shared" si="87"/>
        <v>668.47098789999995</v>
      </c>
      <c r="Y62" s="42">
        <f t="shared" si="34"/>
        <v>687.51208250000002</v>
      </c>
      <c r="Z62" s="42">
        <f t="shared" si="35"/>
        <v>692.46748250000007</v>
      </c>
      <c r="AA62" s="42">
        <f t="shared" si="36"/>
        <v>708.44142250000004</v>
      </c>
      <c r="AB62" s="42">
        <f t="shared" si="37"/>
        <v>681.47650980000003</v>
      </c>
      <c r="AC62" s="42">
        <f t="shared" si="33"/>
        <v>689.46347980000007</v>
      </c>
    </row>
    <row r="63" spans="1:29" x14ac:dyDescent="0.25">
      <c r="A63" s="20" t="s">
        <v>238</v>
      </c>
      <c r="B63" s="17" t="str">
        <f t="shared" si="100"/>
        <v>CL 64:4</v>
      </c>
      <c r="C63" s="1" t="str">
        <f t="shared" si="101"/>
        <v>64</v>
      </c>
      <c r="D63" s="1" t="str">
        <f t="shared" si="102"/>
        <v>4</v>
      </c>
      <c r="E63" s="17">
        <f t="shared" si="103"/>
        <v>73</v>
      </c>
      <c r="F63" s="17">
        <f t="shared" si="104"/>
        <v>134</v>
      </c>
      <c r="G63" s="17">
        <v>0</v>
      </c>
      <c r="H63" s="17">
        <f t="shared" si="105"/>
        <v>17</v>
      </c>
      <c r="I63" s="17">
        <v>2</v>
      </c>
      <c r="L63" s="19" t="str">
        <f t="shared" si="106"/>
        <v>C73H134O17P2</v>
      </c>
      <c r="M63" s="19">
        <f t="shared" si="107"/>
        <v>1344.9095774</v>
      </c>
      <c r="N63" s="19">
        <f t="shared" si="108"/>
        <v>1345.9168520000001</v>
      </c>
      <c r="O63" s="42">
        <f t="shared" si="109"/>
        <v>1327.9057320000002</v>
      </c>
      <c r="P63" s="42">
        <f t="shared" si="110"/>
        <v>1362.9433974000001</v>
      </c>
      <c r="Q63" s="42">
        <f t="shared" si="111"/>
        <v>1367.8987973999999</v>
      </c>
      <c r="R63" s="42">
        <f t="shared" si="112"/>
        <v>1383.8727374</v>
      </c>
      <c r="S63" s="42">
        <f t="shared" si="113"/>
        <v>1351.9250374000001</v>
      </c>
      <c r="T63" s="19">
        <f t="shared" si="114"/>
        <v>1343.9023027999999</v>
      </c>
      <c r="U63" s="19">
        <f t="shared" si="115"/>
        <v>1389.9077973999999</v>
      </c>
      <c r="V63" s="19">
        <f t="shared" si="116"/>
        <v>1403.9234474</v>
      </c>
      <c r="W63" s="42">
        <f t="shared" si="87"/>
        <v>671.44751409999992</v>
      </c>
      <c r="Y63" s="42">
        <f t="shared" si="34"/>
        <v>690.48860869999999</v>
      </c>
      <c r="Z63" s="42">
        <f t="shared" si="35"/>
        <v>695.44400870000004</v>
      </c>
      <c r="AA63" s="42">
        <f t="shared" si="36"/>
        <v>711.41794870000001</v>
      </c>
      <c r="AB63" s="42">
        <f t="shared" si="37"/>
        <v>684.453036</v>
      </c>
      <c r="AC63" s="42">
        <f t="shared" si="33"/>
        <v>692.44000600000004</v>
      </c>
    </row>
    <row r="64" spans="1:29" x14ac:dyDescent="0.25">
      <c r="A64" s="20" t="s">
        <v>230</v>
      </c>
      <c r="B64" s="17" t="str">
        <f t="shared" si="100"/>
        <v>CL 64:3</v>
      </c>
      <c r="C64" s="1" t="str">
        <f t="shared" si="101"/>
        <v>64</v>
      </c>
      <c r="D64" s="1" t="str">
        <f t="shared" si="102"/>
        <v>3</v>
      </c>
      <c r="E64" s="17">
        <f t="shared" si="103"/>
        <v>73</v>
      </c>
      <c r="F64" s="17">
        <f t="shared" si="104"/>
        <v>136</v>
      </c>
      <c r="G64" s="17">
        <v>0</v>
      </c>
      <c r="H64" s="17">
        <f t="shared" si="105"/>
        <v>17</v>
      </c>
      <c r="I64" s="17">
        <v>2</v>
      </c>
      <c r="L64" s="19" t="str">
        <f t="shared" si="106"/>
        <v>C73H136O17P2</v>
      </c>
      <c r="M64" s="19">
        <f t="shared" si="107"/>
        <v>1346.9252265999999</v>
      </c>
      <c r="N64" s="19">
        <f t="shared" si="108"/>
        <v>1347.9325011999999</v>
      </c>
      <c r="O64" s="42">
        <f t="shared" si="109"/>
        <v>1329.9213812</v>
      </c>
      <c r="P64" s="42">
        <f t="shared" si="110"/>
        <v>1364.9590466</v>
      </c>
      <c r="Q64" s="42">
        <f t="shared" si="111"/>
        <v>1369.9144465999998</v>
      </c>
      <c r="R64" s="42">
        <f t="shared" si="112"/>
        <v>1385.8883865999999</v>
      </c>
      <c r="S64" s="42">
        <f t="shared" si="113"/>
        <v>1353.9406865999999</v>
      </c>
      <c r="T64" s="19">
        <f t="shared" si="114"/>
        <v>1345.9179519999998</v>
      </c>
      <c r="U64" s="19">
        <f t="shared" si="115"/>
        <v>1391.9234465999998</v>
      </c>
      <c r="V64" s="19">
        <f t="shared" si="116"/>
        <v>1405.9390965999999</v>
      </c>
      <c r="W64" s="42">
        <f t="shared" si="87"/>
        <v>672.45533869999986</v>
      </c>
      <c r="Y64" s="42">
        <f t="shared" si="34"/>
        <v>691.49643329999992</v>
      </c>
      <c r="Z64" s="42">
        <f t="shared" si="35"/>
        <v>696.45183329999998</v>
      </c>
      <c r="AA64" s="42">
        <f t="shared" si="36"/>
        <v>712.42577329999995</v>
      </c>
      <c r="AB64" s="42">
        <f t="shared" si="37"/>
        <v>685.46086059999993</v>
      </c>
      <c r="AC64" s="42">
        <f t="shared" si="33"/>
        <v>693.44783059999997</v>
      </c>
    </row>
    <row r="65" spans="1:29" x14ac:dyDescent="0.25">
      <c r="A65" s="20" t="s">
        <v>163</v>
      </c>
      <c r="B65" s="17" t="str">
        <f>IF(ISNUMBER(SEARCH("[",A65)),IF(ISNUMBER(SEARCH("/",A65)),CONCATENATE(MID(A65,1,2)," ",(SUM(MID(A65,FIND("[",A65)+1,FIND(":",A65)-FIND("[",A65)-1),MID(A65,FIND("/",A65)+1,FIND(":",A65,FIND("/",A65))-FIND("/",A65)-1),MID(A65,FIND("[",A65,FIND("[",A65)+1)+1,(FIND(":",A65,FIND("[",A65))-FIND("[",A65)-1)),MID(A65,FIND("/",A65,FIND("/",A65)+1)+1,FIND(":",A65,FIND("/",A65,FIND("[",A65,FIND("[",A65)+1)+1))-FIND("/",A65,FIND("[",A65,FIND("[",A65)+1)+1)-1))),":",SUM(MID(A65,FIND(":",A65)+1,FIND("/",A65)-FIND(":",A65)-1),MID(A65,FIND(":",A65,FIND("/",A65))+1,FIND("]",A65)-FIND(":",A65,FIND("/",A65))-1),MID(A65,FIND(":",A65,FIND("[",A65,FIND("[",A65)+1))+1,(FIND("/",A65,FIND("[",A65,FIND("[",A65)+1)+1)-FIND(":",A65,FIND("[",A65,FIND("[",A65)+1))-1)),MID(A65,FIND(":",A65,FIND("/",A65,FIND("]",A65)+1))+1,(FIND("]",A65,FIND("[",A65,FIND("[",A65)+1)+1)-FIND(":",A65,FIND("/",A65,FIND("]",A65)+1))-1))),MID(A65,(FIND(")",A65)+1),100)),CONCATENATE(MID(A65,1,2)," ",(SUM(MID(A65,FIND("[",A65)+1,FIND(":",A65)-FIND("[",A65)-1),MID(A65,FIND("_",A65)+1,FIND(":",A65,FIND("_",A65))-FIND("_",A65)-1),MID(A65,FIND("[",A65,FIND("[",A65)+1)+1,(FIND(":",A65,FIND("[",A65))-FIND("[",A65)-1)),MID(A65,FIND("_",A65,FIND("_",A65)+1)+1,FIND(":",A65,FIND("_",A65,FIND("[",A65,FIND("[",A65)+1)+1))-FIND("_",A65,FIND("[",A65,FIND("[",A65)+1)+1)-1))),":",SUM(MID(A65,FIND(":",A65)+1,FIND("_",A65)-FIND(":",A65)-1),MID(A65,FIND(":",A65,FIND("_",A65))+1,FIND("]",A65)-FIND(":",A65,FIND("_",A65))-1),MID(A65,FIND(":",A65,FIND("[",A65,FIND("[",A65)+1))+1,(FIND("_",A65,FIND("[",A65,FIND("[",A65)+1)+1)-FIND(":",A65,FIND("[",A65,FIND("[",A65)+1))-1)),MID(A65,FIND(":",A65,FIND("_",A65,FIND("]",A65)+1))+1,(FIND("]",A65,FIND("[",A65,FIND("[",A65)+1)+1)-FIND(":",A65,FIND("_",A65,FIND("]",A65)+1))-1))),MID(A65,(FIND(")",A65)+1),100))),A65)</f>
        <v>CL 64:2</v>
      </c>
      <c r="C65" s="1" t="str">
        <f>MID(B65,4,FIND(":",B65)-FIND(" ",B65)-1)</f>
        <v>64</v>
      </c>
      <c r="D65" s="1" t="str">
        <f>IF(ISNUMBER(SEARCH("__",B65)),MID(B65,FIND(":",B65)+1,FIND("__",B65)-FIND(":",B65)-1),MID(B65,FIND(":",B65)+1,7))</f>
        <v>2</v>
      </c>
      <c r="E65" s="17">
        <f t="shared" si="103"/>
        <v>73</v>
      </c>
      <c r="F65" s="17">
        <f t="shared" si="104"/>
        <v>138</v>
      </c>
      <c r="G65" s="17">
        <v>0</v>
      </c>
      <c r="H65" s="17">
        <f t="shared" si="105"/>
        <v>17</v>
      </c>
      <c r="I65" s="17">
        <v>2</v>
      </c>
      <c r="L65" s="19" t="str">
        <f t="shared" si="106"/>
        <v>C73H138O17P2</v>
      </c>
      <c r="M65" s="19">
        <f t="shared" si="107"/>
        <v>1348.9408758</v>
      </c>
      <c r="N65" s="19">
        <f t="shared" si="108"/>
        <v>1349.9481504</v>
      </c>
      <c r="O65" s="42">
        <f t="shared" si="109"/>
        <v>1331.9370304000001</v>
      </c>
      <c r="P65" s="42">
        <f t="shared" si="110"/>
        <v>1366.9746958000001</v>
      </c>
      <c r="Q65" s="42">
        <f t="shared" si="111"/>
        <v>1371.9300957999999</v>
      </c>
      <c r="R65" s="42">
        <f t="shared" si="112"/>
        <v>1387.9040358</v>
      </c>
      <c r="S65" s="42">
        <f t="shared" si="113"/>
        <v>1355.9563358</v>
      </c>
      <c r="T65" s="19">
        <f t="shared" si="114"/>
        <v>1347.9336011999999</v>
      </c>
      <c r="U65" s="19">
        <f t="shared" si="115"/>
        <v>1393.9390957999999</v>
      </c>
      <c r="V65" s="19">
        <f t="shared" si="116"/>
        <v>1407.9547458</v>
      </c>
      <c r="W65" s="42">
        <f t="shared" si="87"/>
        <v>673.46316329999991</v>
      </c>
      <c r="Y65" s="42">
        <f t="shared" si="34"/>
        <v>692.50425789999997</v>
      </c>
      <c r="Z65" s="42">
        <f t="shared" si="35"/>
        <v>697.45965790000002</v>
      </c>
      <c r="AA65" s="42">
        <f t="shared" si="36"/>
        <v>713.4335979</v>
      </c>
      <c r="AB65" s="42">
        <f t="shared" si="37"/>
        <v>686.46868519999998</v>
      </c>
      <c r="AC65" s="42">
        <f t="shared" si="33"/>
        <v>694.45565520000002</v>
      </c>
    </row>
    <row r="66" spans="1:29" x14ac:dyDescent="0.25">
      <c r="A66" s="20" t="s">
        <v>170</v>
      </c>
      <c r="B66" s="17" t="str">
        <f>IF(ISNUMBER(SEARCH("[",A66)),IF(ISNUMBER(SEARCH("/",A66)),CONCATENATE(MID(A66,1,2)," ",(SUM(MID(A66,FIND("[",A66)+1,FIND(":",A66)-FIND("[",A66)-1),MID(A66,FIND("/",A66)+1,FIND(":",A66,FIND("/",A66))-FIND("/",A66)-1),MID(A66,FIND("[",A66,FIND("[",A66)+1)+1,(FIND(":",A66,FIND("[",A66))-FIND("[",A66)-1)),MID(A66,FIND("/",A66,FIND("/",A66)+1)+1,FIND(":",A66,FIND("/",A66,FIND("[",A66,FIND("[",A66)+1)+1))-FIND("/",A66,FIND("[",A66,FIND("[",A66)+1)+1)-1))),":",SUM(MID(A66,FIND(":",A66)+1,FIND("/",A66)-FIND(":",A66)-1),MID(A66,FIND(":",A66,FIND("/",A66))+1,FIND("]",A66)-FIND(":",A66,FIND("/",A66))-1),MID(A66,FIND(":",A66,FIND("[",A66,FIND("[",A66)+1))+1,(FIND("/",A66,FIND("[",A66,FIND("[",A66)+1)+1)-FIND(":",A66,FIND("[",A66,FIND("[",A66)+1))-1)),MID(A66,FIND(":",A66,FIND("/",A66,FIND("]",A66)+1))+1,(FIND("]",A66,FIND("[",A66,FIND("[",A66)+1)+1)-FIND(":",A66,FIND("/",A66,FIND("]",A66)+1))-1))),MID(A66,(FIND(")",A66)+1),100)),CONCATENATE(MID(A66,1,2)," ",(SUM(MID(A66,FIND("[",A66)+1,FIND(":",A66)-FIND("[",A66)-1),MID(A66,FIND("_",A66)+1,FIND(":",A66,FIND("_",A66))-FIND("_",A66)-1),MID(A66,FIND("[",A66,FIND("[",A66)+1)+1,(FIND(":",A66,FIND("[",A66))-FIND("[",A66)-1)),MID(A66,FIND("_",A66,FIND("_",A66)+1)+1,FIND(":",A66,FIND("_",A66,FIND("[",A66,FIND("[",A66)+1)+1))-FIND("_",A66,FIND("[",A66,FIND("[",A66)+1)+1)-1))),":",SUM(MID(A66,FIND(":",A66)+1,FIND("_",A66)-FIND(":",A66)-1),MID(A66,FIND(":",A66,FIND("_",A66))+1,FIND("]",A66)-FIND(":",A66,FIND("_",A66))-1),MID(A66,FIND(":",A66,FIND("[",A66,FIND("[",A66)+1))+1,(FIND("_",A66,FIND("[",A66,FIND("[",A66)+1)+1)-FIND(":",A66,FIND("[",A66,FIND("[",A66)+1))-1)),MID(A66,FIND(":",A66,FIND("_",A66,FIND("]",A66)+1))+1,(FIND("]",A66,FIND("[",A66,FIND("[",A66)+1)+1)-FIND(":",A66,FIND("_",A66,FIND("]",A66)+1))-1))),MID(A66,(FIND(")",A66)+1),100))),A66)</f>
        <v>CL 64:1</v>
      </c>
      <c r="C66" s="1" t="str">
        <f>MID(B66,4,FIND(":",B66)-FIND(" ",B66)-1)</f>
        <v>64</v>
      </c>
      <c r="D66" s="1" t="str">
        <f>IF(ISNUMBER(SEARCH("__",B66)),MID(B66,FIND(":",B66)+1,FIND("__",B66)-FIND(":",B66)-1),MID(B66,FIND(":",B66)+1,7))</f>
        <v>1</v>
      </c>
      <c r="E66" s="17">
        <f t="shared" si="103"/>
        <v>73</v>
      </c>
      <c r="F66" s="17">
        <f t="shared" si="104"/>
        <v>140</v>
      </c>
      <c r="G66" s="17">
        <v>0</v>
      </c>
      <c r="H66" s="17">
        <f t="shared" si="105"/>
        <v>17</v>
      </c>
      <c r="I66" s="17">
        <v>2</v>
      </c>
      <c r="L66" s="19" t="str">
        <f t="shared" si="106"/>
        <v>C73H140O17P2</v>
      </c>
      <c r="M66" s="19">
        <f t="shared" si="107"/>
        <v>1350.9565250000001</v>
      </c>
      <c r="N66" s="19">
        <f t="shared" si="108"/>
        <v>1351.9637996000001</v>
      </c>
      <c r="O66" s="42">
        <f t="shared" si="109"/>
        <v>1333.9526796000002</v>
      </c>
      <c r="P66" s="42">
        <f t="shared" si="110"/>
        <v>1368.9903450000002</v>
      </c>
      <c r="Q66" s="42">
        <f t="shared" si="111"/>
        <v>1373.945745</v>
      </c>
      <c r="R66" s="42">
        <f t="shared" si="112"/>
        <v>1389.9196850000001</v>
      </c>
      <c r="S66" s="42">
        <f t="shared" si="113"/>
        <v>1357.9719850000001</v>
      </c>
      <c r="T66" s="19">
        <f t="shared" si="114"/>
        <v>1349.9492504</v>
      </c>
      <c r="U66" s="19">
        <f t="shared" si="115"/>
        <v>1395.954745</v>
      </c>
      <c r="V66" s="19">
        <f t="shared" si="116"/>
        <v>1409.9703950000001</v>
      </c>
      <c r="W66" s="42">
        <f t="shared" si="87"/>
        <v>674.47098789999995</v>
      </c>
      <c r="Y66" s="42">
        <f t="shared" si="34"/>
        <v>693.51208250000002</v>
      </c>
      <c r="Z66" s="42">
        <f t="shared" si="35"/>
        <v>698.46748250000007</v>
      </c>
      <c r="AA66" s="42">
        <f t="shared" si="36"/>
        <v>714.44142250000004</v>
      </c>
      <c r="AB66" s="42">
        <f t="shared" si="37"/>
        <v>687.47650980000003</v>
      </c>
      <c r="AC66" s="42">
        <f t="shared" si="33"/>
        <v>695.46347980000007</v>
      </c>
    </row>
    <row r="67" spans="1:29" x14ac:dyDescent="0.25">
      <c r="A67" s="20" t="s">
        <v>154</v>
      </c>
      <c r="B67" s="17" t="str">
        <f t="shared" si="100"/>
        <v>CL 64:0</v>
      </c>
      <c r="C67" s="1" t="str">
        <f t="shared" si="101"/>
        <v>64</v>
      </c>
      <c r="D67" s="1" t="str">
        <f t="shared" si="102"/>
        <v>0</v>
      </c>
      <c r="E67" s="17">
        <f t="shared" si="103"/>
        <v>73</v>
      </c>
      <c r="F67" s="17">
        <f t="shared" si="104"/>
        <v>142</v>
      </c>
      <c r="G67" s="17">
        <v>0</v>
      </c>
      <c r="H67" s="17">
        <f t="shared" si="105"/>
        <v>17</v>
      </c>
      <c r="I67" s="17">
        <v>2</v>
      </c>
      <c r="L67" s="19" t="str">
        <f t="shared" si="106"/>
        <v>C73H142O17P2</v>
      </c>
      <c r="M67" s="19">
        <f t="shared" si="107"/>
        <v>1352.9721741999999</v>
      </c>
      <c r="N67" s="19">
        <f t="shared" si="108"/>
        <v>1353.9794488</v>
      </c>
      <c r="O67" s="42">
        <f t="shared" si="109"/>
        <v>1335.9683288000001</v>
      </c>
      <c r="P67" s="42">
        <f t="shared" si="110"/>
        <v>1371.0059942</v>
      </c>
      <c r="Q67" s="42">
        <f t="shared" si="111"/>
        <v>1375.9613941999999</v>
      </c>
      <c r="R67" s="42">
        <f t="shared" si="112"/>
        <v>1391.9353341999999</v>
      </c>
      <c r="S67" s="42">
        <f t="shared" si="113"/>
        <v>1359.9876342</v>
      </c>
      <c r="T67" s="19">
        <f t="shared" si="114"/>
        <v>1351.9648995999999</v>
      </c>
      <c r="U67" s="19">
        <f t="shared" si="115"/>
        <v>1397.9703941999999</v>
      </c>
      <c r="V67" s="19">
        <f t="shared" si="116"/>
        <v>1411.9860441999999</v>
      </c>
      <c r="W67" s="42">
        <f t="shared" si="87"/>
        <v>675.47881249999989</v>
      </c>
      <c r="Y67" s="42">
        <f t="shared" si="34"/>
        <v>694.51990709999995</v>
      </c>
      <c r="Z67" s="42">
        <f t="shared" si="35"/>
        <v>699.47530710000001</v>
      </c>
      <c r="AA67" s="42">
        <f t="shared" si="36"/>
        <v>715.44924709999998</v>
      </c>
      <c r="AB67" s="42">
        <f t="shared" si="37"/>
        <v>688.48433439999997</v>
      </c>
      <c r="AC67" s="42">
        <f t="shared" ref="AC67:AC89" si="148">($M67+1.0078246+38.96371-(2*0.00055))/2</f>
        <v>696.47130440000001</v>
      </c>
    </row>
    <row r="68" spans="1:29" x14ac:dyDescent="0.25">
      <c r="A68" s="20" t="s">
        <v>246</v>
      </c>
      <c r="B68" s="17" t="str">
        <f t="shared" si="100"/>
        <v>CL 65:5</v>
      </c>
      <c r="C68" s="1" t="str">
        <f t="shared" si="101"/>
        <v>65</v>
      </c>
      <c r="D68" s="1" t="str">
        <f t="shared" si="102"/>
        <v>5</v>
      </c>
      <c r="E68" s="17">
        <f t="shared" si="103"/>
        <v>74</v>
      </c>
      <c r="F68" s="17">
        <f t="shared" si="104"/>
        <v>134</v>
      </c>
      <c r="G68" s="17">
        <v>0</v>
      </c>
      <c r="H68" s="17">
        <f t="shared" si="105"/>
        <v>17</v>
      </c>
      <c r="I68" s="17">
        <v>2</v>
      </c>
      <c r="L68" s="19" t="str">
        <f t="shared" si="106"/>
        <v>C74H134O17P2</v>
      </c>
      <c r="M68" s="19">
        <f t="shared" si="107"/>
        <v>1356.9095774</v>
      </c>
      <c r="N68" s="19">
        <f t="shared" si="108"/>
        <v>1357.9168520000001</v>
      </c>
      <c r="O68" s="42">
        <f t="shared" si="109"/>
        <v>1339.9057320000002</v>
      </c>
      <c r="P68" s="42">
        <f t="shared" si="110"/>
        <v>1374.9433974000001</v>
      </c>
      <c r="Q68" s="42">
        <f t="shared" si="111"/>
        <v>1379.8987973999999</v>
      </c>
      <c r="R68" s="42">
        <f t="shared" si="112"/>
        <v>1395.8727374</v>
      </c>
      <c r="S68" s="42">
        <f t="shared" si="113"/>
        <v>1363.9250374000001</v>
      </c>
      <c r="T68" s="19">
        <f t="shared" si="114"/>
        <v>1355.9023027999999</v>
      </c>
      <c r="U68" s="19">
        <f t="shared" si="115"/>
        <v>1401.9077973999999</v>
      </c>
      <c r="V68" s="19">
        <f t="shared" si="116"/>
        <v>1415.9234474</v>
      </c>
      <c r="W68" s="42">
        <f t="shared" si="87"/>
        <v>677.44751409999992</v>
      </c>
      <c r="Y68" s="42">
        <f t="shared" ref="Y68:Y121" si="149">($M68+2*(18.03437-0.00055))/2</f>
        <v>696.48860869999999</v>
      </c>
      <c r="Z68" s="42">
        <f t="shared" ref="Z68:Z121" si="150">($M68+2*(22.98977-0.00055))/2</f>
        <v>701.44400870000004</v>
      </c>
      <c r="AA68" s="42">
        <f t="shared" ref="AA68:AA121" si="151">($M68+2*(38.96371-0.00055))/2</f>
        <v>717.41794870000001</v>
      </c>
      <c r="AB68" s="42">
        <f t="shared" ref="AB68:AB121" si="152">($M68+1.0078246+22.98977-(2*0.00055))/2</f>
        <v>690.453036</v>
      </c>
      <c r="AC68" s="42">
        <f t="shared" si="148"/>
        <v>698.44000600000004</v>
      </c>
    </row>
    <row r="69" spans="1:29" x14ac:dyDescent="0.25">
      <c r="A69" s="20" t="s">
        <v>234</v>
      </c>
      <c r="B69" s="17" t="str">
        <f t="shared" si="100"/>
        <v>CL 65:4</v>
      </c>
      <c r="C69" s="1" t="str">
        <f t="shared" si="101"/>
        <v>65</v>
      </c>
      <c r="D69" s="1" t="str">
        <f t="shared" si="102"/>
        <v>4</v>
      </c>
      <c r="E69" s="17">
        <f t="shared" si="103"/>
        <v>74</v>
      </c>
      <c r="F69" s="17">
        <f t="shared" si="104"/>
        <v>136</v>
      </c>
      <c r="G69" s="17">
        <v>0</v>
      </c>
      <c r="H69" s="17">
        <f t="shared" si="105"/>
        <v>17</v>
      </c>
      <c r="I69" s="17">
        <v>2</v>
      </c>
      <c r="L69" s="19" t="str">
        <f t="shared" si="106"/>
        <v>C74H136O17P2</v>
      </c>
      <c r="M69" s="19">
        <f t="shared" si="107"/>
        <v>1358.9252266000001</v>
      </c>
      <c r="N69" s="19">
        <f t="shared" si="108"/>
        <v>1359.9325012000002</v>
      </c>
      <c r="O69" s="42">
        <f t="shared" si="109"/>
        <v>1341.9213812000003</v>
      </c>
      <c r="P69" s="42">
        <f t="shared" si="110"/>
        <v>1376.9590466000002</v>
      </c>
      <c r="Q69" s="42">
        <f t="shared" si="111"/>
        <v>1381.9144466</v>
      </c>
      <c r="R69" s="42">
        <f t="shared" si="112"/>
        <v>1397.8883866000001</v>
      </c>
      <c r="S69" s="42">
        <f t="shared" si="113"/>
        <v>1365.9406866000002</v>
      </c>
      <c r="T69" s="19">
        <f t="shared" si="114"/>
        <v>1357.917952</v>
      </c>
      <c r="U69" s="19">
        <f t="shared" si="115"/>
        <v>1403.9234466</v>
      </c>
      <c r="V69" s="19">
        <f t="shared" si="116"/>
        <v>1417.9390966000001</v>
      </c>
      <c r="W69" s="42">
        <f t="shared" si="87"/>
        <v>678.45533869999997</v>
      </c>
      <c r="Y69" s="42">
        <f t="shared" si="149"/>
        <v>697.49643330000004</v>
      </c>
      <c r="Z69" s="42">
        <f t="shared" si="150"/>
        <v>702.45183330000009</v>
      </c>
      <c r="AA69" s="42">
        <f t="shared" si="151"/>
        <v>718.42577330000006</v>
      </c>
      <c r="AB69" s="42">
        <f t="shared" si="152"/>
        <v>691.46086060000005</v>
      </c>
      <c r="AC69" s="42">
        <f t="shared" si="148"/>
        <v>699.44783060000009</v>
      </c>
    </row>
    <row r="70" spans="1:29" x14ac:dyDescent="0.25">
      <c r="A70" s="20" t="s">
        <v>224</v>
      </c>
      <c r="B70" s="17" t="str">
        <f t="shared" si="100"/>
        <v>CL 65:3</v>
      </c>
      <c r="C70" s="1" t="str">
        <f t="shared" si="101"/>
        <v>65</v>
      </c>
      <c r="D70" s="1" t="str">
        <f t="shared" si="102"/>
        <v>3</v>
      </c>
      <c r="E70" s="17">
        <f t="shared" si="103"/>
        <v>74</v>
      </c>
      <c r="F70" s="17">
        <f t="shared" si="104"/>
        <v>138</v>
      </c>
      <c r="G70" s="17">
        <v>0</v>
      </c>
      <c r="H70" s="17">
        <f t="shared" si="105"/>
        <v>17</v>
      </c>
      <c r="I70" s="17">
        <v>2</v>
      </c>
      <c r="L70" s="19" t="str">
        <f t="shared" si="106"/>
        <v>C74H138O17P2</v>
      </c>
      <c r="M70" s="19">
        <f t="shared" si="107"/>
        <v>1360.9408758</v>
      </c>
      <c r="N70" s="19">
        <f t="shared" si="108"/>
        <v>1361.9481504</v>
      </c>
      <c r="O70" s="42">
        <f t="shared" si="109"/>
        <v>1343.9370304000001</v>
      </c>
      <c r="P70" s="42">
        <f t="shared" si="110"/>
        <v>1378.9746958000001</v>
      </c>
      <c r="Q70" s="42">
        <f t="shared" si="111"/>
        <v>1383.9300957999999</v>
      </c>
      <c r="R70" s="42">
        <f t="shared" si="112"/>
        <v>1399.9040358</v>
      </c>
      <c r="S70" s="42">
        <f t="shared" si="113"/>
        <v>1367.9563358</v>
      </c>
      <c r="T70" s="19">
        <f t="shared" si="114"/>
        <v>1359.9336011999999</v>
      </c>
      <c r="U70" s="19">
        <f t="shared" si="115"/>
        <v>1405.9390957999999</v>
      </c>
      <c r="V70" s="19">
        <f t="shared" si="116"/>
        <v>1419.9547458</v>
      </c>
      <c r="W70" s="42">
        <f t="shared" si="87"/>
        <v>679.46316329999991</v>
      </c>
      <c r="Y70" s="42">
        <f t="shared" si="149"/>
        <v>698.50425789999997</v>
      </c>
      <c r="Z70" s="42">
        <f t="shared" si="150"/>
        <v>703.45965790000002</v>
      </c>
      <c r="AA70" s="42">
        <f t="shared" si="151"/>
        <v>719.4335979</v>
      </c>
      <c r="AB70" s="42">
        <f t="shared" si="152"/>
        <v>692.46868519999998</v>
      </c>
      <c r="AC70" s="42">
        <f t="shared" si="148"/>
        <v>700.45565520000002</v>
      </c>
    </row>
    <row r="71" spans="1:29" x14ac:dyDescent="0.25">
      <c r="A71" s="20" t="s">
        <v>197</v>
      </c>
      <c r="B71" s="17" t="str">
        <f>IF(ISNUMBER(SEARCH("[",A71)),IF(ISNUMBER(SEARCH("/",A71)),CONCATENATE(MID(A71,1,2)," ",(SUM(MID(A71,FIND("[",A71)+1,FIND(":",A71)-FIND("[",A71)-1),MID(A71,FIND("/",A71)+1,FIND(":",A71,FIND("/",A71))-FIND("/",A71)-1),MID(A71,FIND("[",A71,FIND("[",A71)+1)+1,(FIND(":",A71,FIND("[",A71))-FIND("[",A71)-1)),MID(A71,FIND("/",A71,FIND("/",A71)+1)+1,FIND(":",A71,FIND("/",A71,FIND("[",A71,FIND("[",A71)+1)+1))-FIND("/",A71,FIND("[",A71,FIND("[",A71)+1)+1)-1))),":",SUM(MID(A71,FIND(":",A71)+1,FIND("/",A71)-FIND(":",A71)-1),MID(A71,FIND(":",A71,FIND("/",A71))+1,FIND("]",A71)-FIND(":",A71,FIND("/",A71))-1),MID(A71,FIND(":",A71,FIND("[",A71,FIND("[",A71)+1))+1,(FIND("/",A71,FIND("[",A71,FIND("[",A71)+1)+1)-FIND(":",A71,FIND("[",A71,FIND("[",A71)+1))-1)),MID(A71,FIND(":",A71,FIND("/",A71,FIND("]",A71)+1))+1,(FIND("]",A71,FIND("[",A71,FIND("[",A71)+1)+1)-FIND(":",A71,FIND("/",A71,FIND("]",A71)+1))-1))),MID(A71,(FIND(")",A71)+1),100)),CONCATENATE(MID(A71,1,2)," ",(SUM(MID(A71,FIND("[",A71)+1,FIND(":",A71)-FIND("[",A71)-1),MID(A71,FIND("_",A71)+1,FIND(":",A71,FIND("_",A71))-FIND("_",A71)-1),MID(A71,FIND("[",A71,FIND("[",A71)+1)+1,(FIND(":",A71,FIND("[",A71))-FIND("[",A71)-1)),MID(A71,FIND("_",A71,FIND("_",A71)+1)+1,FIND(":",A71,FIND("_",A71,FIND("[",A71,FIND("[",A71)+1)+1))-FIND("_",A71,FIND("[",A71,FIND("[",A71)+1)+1)-1))),":",SUM(MID(A71,FIND(":",A71)+1,FIND("_",A71)-FIND(":",A71)-1),MID(A71,FIND(":",A71,FIND("_",A71))+1,FIND("]",A71)-FIND(":",A71,FIND("_",A71))-1),MID(A71,FIND(":",A71,FIND("[",A71,FIND("[",A71)+1))+1,(FIND("_",A71,FIND("[",A71,FIND("[",A71)+1)+1)-FIND(":",A71,FIND("[",A71,FIND("[",A71)+1))-1)),MID(A71,FIND(":",A71,FIND("_",A71,FIND("]",A71)+1))+1,(FIND("]",A71,FIND("[",A71,FIND("[",A71)+1)+1)-FIND(":",A71,FIND("_",A71,FIND("]",A71)+1))-1))),MID(A71,(FIND(")",A71)+1),100))),A71)</f>
        <v>CL 65:2</v>
      </c>
      <c r="C71" s="1" t="str">
        <f>MID(B71,4,FIND(":",B71)-FIND(" ",B71)-1)</f>
        <v>65</v>
      </c>
      <c r="D71" s="1" t="str">
        <f>IF(ISNUMBER(SEARCH("__",B71)),MID(B71,FIND(":",B71)+1,FIND("__",B71)-FIND(":",B71)-1),MID(B71,FIND(":",B71)+1,7))</f>
        <v>2</v>
      </c>
      <c r="E71" s="17">
        <f t="shared" si="103"/>
        <v>74</v>
      </c>
      <c r="F71" s="17">
        <f t="shared" si="104"/>
        <v>140</v>
      </c>
      <c r="G71" s="17">
        <v>0</v>
      </c>
      <c r="H71" s="17">
        <f t="shared" si="105"/>
        <v>17</v>
      </c>
      <c r="I71" s="17">
        <v>2</v>
      </c>
      <c r="L71" s="19" t="str">
        <f t="shared" si="106"/>
        <v>C74H140O17P2</v>
      </c>
      <c r="M71" s="19">
        <f t="shared" si="107"/>
        <v>1362.9565250000001</v>
      </c>
      <c r="N71" s="19">
        <f t="shared" si="108"/>
        <v>1363.9637996000001</v>
      </c>
      <c r="O71" s="42">
        <f t="shared" si="109"/>
        <v>1345.9526796000002</v>
      </c>
      <c r="P71" s="42">
        <f t="shared" si="110"/>
        <v>1380.9903450000002</v>
      </c>
      <c r="Q71" s="42">
        <f t="shared" si="111"/>
        <v>1385.945745</v>
      </c>
      <c r="R71" s="42">
        <f t="shared" si="112"/>
        <v>1401.9196850000001</v>
      </c>
      <c r="S71" s="42">
        <f t="shared" si="113"/>
        <v>1369.9719850000001</v>
      </c>
      <c r="T71" s="19">
        <f t="shared" si="114"/>
        <v>1361.9492504</v>
      </c>
      <c r="U71" s="19">
        <f t="shared" si="115"/>
        <v>1407.954745</v>
      </c>
      <c r="V71" s="19">
        <f t="shared" si="116"/>
        <v>1421.9703950000001</v>
      </c>
      <c r="W71" s="42">
        <f t="shared" si="87"/>
        <v>680.47098789999995</v>
      </c>
      <c r="Y71" s="42">
        <f t="shared" si="149"/>
        <v>699.51208250000002</v>
      </c>
      <c r="Z71" s="42">
        <f t="shared" si="150"/>
        <v>704.46748250000007</v>
      </c>
      <c r="AA71" s="42">
        <f t="shared" si="151"/>
        <v>720.44142250000004</v>
      </c>
      <c r="AB71" s="42">
        <f t="shared" si="152"/>
        <v>693.47650980000003</v>
      </c>
      <c r="AC71" s="42">
        <f t="shared" si="148"/>
        <v>701.46347980000007</v>
      </c>
    </row>
    <row r="72" spans="1:29" x14ac:dyDescent="0.25">
      <c r="A72" s="20" t="s">
        <v>169</v>
      </c>
      <c r="B72" s="17" t="str">
        <f>IF(ISNUMBER(SEARCH("[",A72)),IF(ISNUMBER(SEARCH("/",A72)),CONCATENATE(MID(A72,1,2)," ",(SUM(MID(A72,FIND("[",A72)+1,FIND(":",A72)-FIND("[",A72)-1),MID(A72,FIND("/",A72)+1,FIND(":",A72,FIND("/",A72))-FIND("/",A72)-1),MID(A72,FIND("[",A72,FIND("[",A72)+1)+1,(FIND(":",A72,FIND("[",A72))-FIND("[",A72)-1)),MID(A72,FIND("/",A72,FIND("/",A72)+1)+1,FIND(":",A72,FIND("/",A72,FIND("[",A72,FIND("[",A72)+1)+1))-FIND("/",A72,FIND("[",A72,FIND("[",A72)+1)+1)-1))),":",SUM(MID(A72,FIND(":",A72)+1,FIND("/",A72)-FIND(":",A72)-1),MID(A72,FIND(":",A72,FIND("/",A72))+1,FIND("]",A72)-FIND(":",A72,FIND("/",A72))-1),MID(A72,FIND(":",A72,FIND("[",A72,FIND("[",A72)+1))+1,(FIND("/",A72,FIND("[",A72,FIND("[",A72)+1)+1)-FIND(":",A72,FIND("[",A72,FIND("[",A72)+1))-1)),MID(A72,FIND(":",A72,FIND("/",A72,FIND("]",A72)+1))+1,(FIND("]",A72,FIND("[",A72,FIND("[",A72)+1)+1)-FIND(":",A72,FIND("/",A72,FIND("]",A72)+1))-1))),MID(A72,(FIND(")",A72)+1),100)),CONCATENATE(MID(A72,1,2)," ",(SUM(MID(A72,FIND("[",A72)+1,FIND(":",A72)-FIND("[",A72)-1),MID(A72,FIND("_",A72)+1,FIND(":",A72,FIND("_",A72))-FIND("_",A72)-1),MID(A72,FIND("[",A72,FIND("[",A72)+1)+1,(FIND(":",A72,FIND("[",A72))-FIND("[",A72)-1)),MID(A72,FIND("_",A72,FIND("_",A72)+1)+1,FIND(":",A72,FIND("_",A72,FIND("[",A72,FIND("[",A72)+1)+1))-FIND("_",A72,FIND("[",A72,FIND("[",A72)+1)+1)-1))),":",SUM(MID(A72,FIND(":",A72)+1,FIND("_",A72)-FIND(":",A72)-1),MID(A72,FIND(":",A72,FIND("_",A72))+1,FIND("]",A72)-FIND(":",A72,FIND("_",A72))-1),MID(A72,FIND(":",A72,FIND("[",A72,FIND("[",A72)+1))+1,(FIND("_",A72,FIND("[",A72,FIND("[",A72)+1)+1)-FIND(":",A72,FIND("[",A72,FIND("[",A72)+1))-1)),MID(A72,FIND(":",A72,FIND("_",A72,FIND("]",A72)+1))+1,(FIND("]",A72,FIND("[",A72,FIND("[",A72)+1)+1)-FIND(":",A72,FIND("_",A72,FIND("]",A72)+1))-1))),MID(A72,(FIND(")",A72)+1),100))),A72)</f>
        <v>CL 65:1</v>
      </c>
      <c r="C72" s="1" t="str">
        <f>MID(B72,4,FIND(":",B72)-FIND(" ",B72)-1)</f>
        <v>65</v>
      </c>
      <c r="D72" s="1" t="str">
        <f>IF(ISNUMBER(SEARCH("__",B72)),MID(B72,FIND(":",B72)+1,FIND("__",B72)-FIND(":",B72)-1),MID(B72,FIND(":",B72)+1,7))</f>
        <v>1</v>
      </c>
      <c r="E72" s="17">
        <f t="shared" si="103"/>
        <v>74</v>
      </c>
      <c r="F72" s="17">
        <f t="shared" si="104"/>
        <v>142</v>
      </c>
      <c r="G72" s="17">
        <v>0</v>
      </c>
      <c r="H72" s="17">
        <f t="shared" si="105"/>
        <v>17</v>
      </c>
      <c r="I72" s="17">
        <v>2</v>
      </c>
      <c r="L72" s="19" t="str">
        <f t="shared" si="106"/>
        <v>C74H142O17P2</v>
      </c>
      <c r="M72" s="19">
        <f t="shared" si="107"/>
        <v>1364.9721741999999</v>
      </c>
      <c r="N72" s="19">
        <f t="shared" si="108"/>
        <v>1365.9794488</v>
      </c>
      <c r="O72" s="42">
        <f t="shared" si="109"/>
        <v>1347.9683288000001</v>
      </c>
      <c r="P72" s="42">
        <f t="shared" si="110"/>
        <v>1383.0059942</v>
      </c>
      <c r="Q72" s="42">
        <f t="shared" si="111"/>
        <v>1387.9613941999999</v>
      </c>
      <c r="R72" s="42">
        <f t="shared" si="112"/>
        <v>1403.9353341999999</v>
      </c>
      <c r="S72" s="42">
        <f t="shared" si="113"/>
        <v>1371.9876342</v>
      </c>
      <c r="T72" s="19">
        <f t="shared" si="114"/>
        <v>1363.9648995999999</v>
      </c>
      <c r="U72" s="19">
        <f t="shared" si="115"/>
        <v>1409.9703941999999</v>
      </c>
      <c r="V72" s="19">
        <f t="shared" si="116"/>
        <v>1423.9860441999999</v>
      </c>
      <c r="W72" s="42">
        <f t="shared" si="87"/>
        <v>681.47881249999989</v>
      </c>
      <c r="Y72" s="42">
        <f t="shared" si="149"/>
        <v>700.51990709999995</v>
      </c>
      <c r="Z72" s="42">
        <f t="shared" si="150"/>
        <v>705.47530710000001</v>
      </c>
      <c r="AA72" s="42">
        <f t="shared" si="151"/>
        <v>721.44924709999998</v>
      </c>
      <c r="AB72" s="42">
        <f t="shared" si="152"/>
        <v>694.48433439999997</v>
      </c>
      <c r="AC72" s="42">
        <f t="shared" si="148"/>
        <v>702.47130440000001</v>
      </c>
    </row>
    <row r="73" spans="1:29" x14ac:dyDescent="0.25">
      <c r="A73" s="20" t="s">
        <v>155</v>
      </c>
      <c r="B73" s="17" t="str">
        <f t="shared" si="100"/>
        <v>CL 65:0</v>
      </c>
      <c r="C73" s="1" t="str">
        <f t="shared" si="101"/>
        <v>65</v>
      </c>
      <c r="D73" s="1" t="str">
        <f t="shared" si="102"/>
        <v>0</v>
      </c>
      <c r="E73" s="17">
        <f t="shared" si="103"/>
        <v>74</v>
      </c>
      <c r="F73" s="17">
        <f t="shared" si="104"/>
        <v>144</v>
      </c>
      <c r="G73" s="17">
        <v>0</v>
      </c>
      <c r="H73" s="17">
        <f t="shared" si="105"/>
        <v>17</v>
      </c>
      <c r="I73" s="17">
        <v>2</v>
      </c>
      <c r="L73" s="19" t="str">
        <f t="shared" si="106"/>
        <v>C74H144O17P2</v>
      </c>
      <c r="M73" s="19">
        <f t="shared" si="107"/>
        <v>1366.9878234</v>
      </c>
      <c r="N73" s="19">
        <f t="shared" si="108"/>
        <v>1367.9950980000001</v>
      </c>
      <c r="O73" s="42">
        <f t="shared" si="109"/>
        <v>1349.9839780000002</v>
      </c>
      <c r="P73" s="42">
        <f t="shared" si="110"/>
        <v>1385.0216434000001</v>
      </c>
      <c r="Q73" s="42">
        <f t="shared" si="111"/>
        <v>1389.9770434</v>
      </c>
      <c r="R73" s="42">
        <f t="shared" si="112"/>
        <v>1405.9509834</v>
      </c>
      <c r="S73" s="42">
        <f t="shared" si="113"/>
        <v>1374.0032834000001</v>
      </c>
      <c r="T73" s="19">
        <f t="shared" si="114"/>
        <v>1365.9805488</v>
      </c>
      <c r="U73" s="19">
        <f t="shared" si="115"/>
        <v>1411.9860434</v>
      </c>
      <c r="V73" s="19">
        <f t="shared" si="116"/>
        <v>1426.0016934</v>
      </c>
      <c r="W73" s="42">
        <f t="shared" si="87"/>
        <v>682.48663709999994</v>
      </c>
      <c r="Y73" s="42">
        <f t="shared" si="149"/>
        <v>701.5277317</v>
      </c>
      <c r="Z73" s="42">
        <f t="shared" si="150"/>
        <v>706.48313170000006</v>
      </c>
      <c r="AA73" s="42">
        <f t="shared" si="151"/>
        <v>722.45707170000003</v>
      </c>
      <c r="AB73" s="42">
        <f t="shared" si="152"/>
        <v>695.49215900000002</v>
      </c>
      <c r="AC73" s="42">
        <f t="shared" si="148"/>
        <v>703.47912900000006</v>
      </c>
    </row>
    <row r="74" spans="1:29" x14ac:dyDescent="0.25">
      <c r="A74" s="20" t="s">
        <v>245</v>
      </c>
      <c r="B74" s="17" t="str">
        <f t="shared" si="100"/>
        <v>CL 66:5</v>
      </c>
      <c r="C74" s="1" t="str">
        <f t="shared" si="101"/>
        <v>66</v>
      </c>
      <c r="D74" s="1" t="str">
        <f t="shared" si="102"/>
        <v>5</v>
      </c>
      <c r="E74" s="17">
        <f t="shared" si="103"/>
        <v>75</v>
      </c>
      <c r="F74" s="17">
        <f t="shared" si="104"/>
        <v>136</v>
      </c>
      <c r="G74" s="17">
        <v>0</v>
      </c>
      <c r="H74" s="17">
        <f t="shared" si="105"/>
        <v>17</v>
      </c>
      <c r="I74" s="17">
        <v>2</v>
      </c>
      <c r="L74" s="19" t="str">
        <f t="shared" si="106"/>
        <v>C75H136O17P2</v>
      </c>
      <c r="M74" s="19">
        <f t="shared" si="107"/>
        <v>1370.9252266000001</v>
      </c>
      <c r="N74" s="19">
        <f t="shared" si="108"/>
        <v>1371.9325012000002</v>
      </c>
      <c r="O74" s="42">
        <f t="shared" si="109"/>
        <v>1353.9213812000003</v>
      </c>
      <c r="P74" s="42">
        <f t="shared" si="110"/>
        <v>1388.9590466000002</v>
      </c>
      <c r="Q74" s="42">
        <f t="shared" si="111"/>
        <v>1393.9144466</v>
      </c>
      <c r="R74" s="42">
        <f t="shared" si="112"/>
        <v>1409.8883866000001</v>
      </c>
      <c r="S74" s="42">
        <f t="shared" si="113"/>
        <v>1377.9406866000002</v>
      </c>
      <c r="T74" s="19">
        <f t="shared" si="114"/>
        <v>1369.917952</v>
      </c>
      <c r="U74" s="19">
        <f t="shared" si="115"/>
        <v>1415.9234466</v>
      </c>
      <c r="V74" s="19">
        <f t="shared" si="116"/>
        <v>1429.9390966000001</v>
      </c>
      <c r="W74" s="42">
        <f t="shared" si="87"/>
        <v>684.45533869999997</v>
      </c>
      <c r="Y74" s="42">
        <f t="shared" si="149"/>
        <v>703.49643330000004</v>
      </c>
      <c r="Z74" s="42">
        <f t="shared" si="150"/>
        <v>708.45183330000009</v>
      </c>
      <c r="AA74" s="42">
        <f t="shared" si="151"/>
        <v>724.42577330000006</v>
      </c>
      <c r="AB74" s="42">
        <f t="shared" si="152"/>
        <v>697.46086060000005</v>
      </c>
      <c r="AC74" s="42">
        <f t="shared" si="148"/>
        <v>705.44783060000009</v>
      </c>
    </row>
    <row r="75" spans="1:29" x14ac:dyDescent="0.25">
      <c r="A75" s="20" t="s">
        <v>233</v>
      </c>
      <c r="B75" s="17" t="str">
        <f t="shared" si="100"/>
        <v>CL 66:4</v>
      </c>
      <c r="C75" s="1" t="str">
        <f t="shared" si="101"/>
        <v>66</v>
      </c>
      <c r="D75" s="1" t="str">
        <f t="shared" si="102"/>
        <v>4</v>
      </c>
      <c r="E75" s="17">
        <f t="shared" si="103"/>
        <v>75</v>
      </c>
      <c r="F75" s="17">
        <f t="shared" si="104"/>
        <v>138</v>
      </c>
      <c r="G75" s="17">
        <v>0</v>
      </c>
      <c r="H75" s="17">
        <f t="shared" si="105"/>
        <v>17</v>
      </c>
      <c r="I75" s="17">
        <v>2</v>
      </c>
      <c r="L75" s="19" t="str">
        <f t="shared" si="106"/>
        <v>C75H138O17P2</v>
      </c>
      <c r="M75" s="19">
        <f t="shared" si="107"/>
        <v>1372.9408758</v>
      </c>
      <c r="N75" s="19">
        <f t="shared" si="108"/>
        <v>1373.9481504</v>
      </c>
      <c r="O75" s="42">
        <f t="shared" si="109"/>
        <v>1355.9370304000001</v>
      </c>
      <c r="P75" s="42">
        <f t="shared" si="110"/>
        <v>1390.9746958000001</v>
      </c>
      <c r="Q75" s="42">
        <f t="shared" si="111"/>
        <v>1395.9300957999999</v>
      </c>
      <c r="R75" s="42">
        <f t="shared" si="112"/>
        <v>1411.9040358</v>
      </c>
      <c r="S75" s="42">
        <f t="shared" si="113"/>
        <v>1379.9563358</v>
      </c>
      <c r="T75" s="19">
        <f t="shared" si="114"/>
        <v>1371.9336011999999</v>
      </c>
      <c r="U75" s="19">
        <f t="shared" si="115"/>
        <v>1417.9390957999999</v>
      </c>
      <c r="V75" s="19">
        <f t="shared" si="116"/>
        <v>1431.9547458</v>
      </c>
      <c r="W75" s="42">
        <f t="shared" si="87"/>
        <v>685.46316329999991</v>
      </c>
      <c r="Y75" s="42">
        <f t="shared" si="149"/>
        <v>704.50425789999997</v>
      </c>
      <c r="Z75" s="42">
        <f t="shared" si="150"/>
        <v>709.45965790000002</v>
      </c>
      <c r="AA75" s="42">
        <f t="shared" si="151"/>
        <v>725.4335979</v>
      </c>
      <c r="AB75" s="42">
        <f t="shared" si="152"/>
        <v>698.46868519999998</v>
      </c>
      <c r="AC75" s="42">
        <f t="shared" si="148"/>
        <v>706.45565520000002</v>
      </c>
    </row>
    <row r="76" spans="1:29" x14ac:dyDescent="0.25">
      <c r="A76" s="20" t="s">
        <v>232</v>
      </c>
      <c r="B76" s="17" t="str">
        <f t="shared" si="100"/>
        <v>CL 66:3</v>
      </c>
      <c r="C76" s="1" t="str">
        <f t="shared" si="101"/>
        <v>66</v>
      </c>
      <c r="D76" s="1" t="str">
        <f t="shared" si="102"/>
        <v>3</v>
      </c>
      <c r="E76" s="17">
        <f t="shared" si="103"/>
        <v>75</v>
      </c>
      <c r="F76" s="17">
        <f t="shared" si="104"/>
        <v>140</v>
      </c>
      <c r="G76" s="17">
        <v>0</v>
      </c>
      <c r="H76" s="17">
        <f t="shared" si="105"/>
        <v>17</v>
      </c>
      <c r="I76" s="17">
        <v>2</v>
      </c>
      <c r="L76" s="19" t="str">
        <f t="shared" si="106"/>
        <v>C75H140O17P2</v>
      </c>
      <c r="M76" s="19">
        <f t="shared" si="107"/>
        <v>1374.9565250000001</v>
      </c>
      <c r="N76" s="19">
        <f t="shared" si="108"/>
        <v>1375.9637996000001</v>
      </c>
      <c r="O76" s="42">
        <f t="shared" si="109"/>
        <v>1357.9526796000002</v>
      </c>
      <c r="P76" s="42">
        <f t="shared" si="110"/>
        <v>1392.9903450000002</v>
      </c>
      <c r="Q76" s="42">
        <f t="shared" si="111"/>
        <v>1397.945745</v>
      </c>
      <c r="R76" s="42">
        <f t="shared" si="112"/>
        <v>1413.9196850000001</v>
      </c>
      <c r="S76" s="42">
        <f t="shared" si="113"/>
        <v>1381.9719850000001</v>
      </c>
      <c r="T76" s="19">
        <f t="shared" si="114"/>
        <v>1373.9492504</v>
      </c>
      <c r="U76" s="19">
        <f t="shared" si="115"/>
        <v>1419.954745</v>
      </c>
      <c r="V76" s="19">
        <f t="shared" si="116"/>
        <v>1433.9703950000001</v>
      </c>
      <c r="W76" s="42">
        <f t="shared" si="87"/>
        <v>686.47098789999995</v>
      </c>
      <c r="Y76" s="42">
        <f t="shared" si="149"/>
        <v>705.51208250000002</v>
      </c>
      <c r="Z76" s="42">
        <f t="shared" si="150"/>
        <v>710.46748250000007</v>
      </c>
      <c r="AA76" s="42">
        <f t="shared" si="151"/>
        <v>726.44142250000004</v>
      </c>
      <c r="AB76" s="42">
        <f t="shared" si="152"/>
        <v>699.47650980000003</v>
      </c>
      <c r="AC76" s="42">
        <f t="shared" si="148"/>
        <v>707.46347980000007</v>
      </c>
    </row>
    <row r="77" spans="1:29" x14ac:dyDescent="0.25">
      <c r="A77" s="20" t="s">
        <v>198</v>
      </c>
      <c r="B77" s="17" t="str">
        <f>IF(ISNUMBER(SEARCH("[",A77)),IF(ISNUMBER(SEARCH("/",A77)),CONCATENATE(MID(A77,1,2)," ",(SUM(MID(A77,FIND("[",A77)+1,FIND(":",A77)-FIND("[",A77)-1),MID(A77,FIND("/",A77)+1,FIND(":",A77,FIND("/",A77))-FIND("/",A77)-1),MID(A77,FIND("[",A77,FIND("[",A77)+1)+1,(FIND(":",A77,FIND("[",A77))-FIND("[",A77)-1)),MID(A77,FIND("/",A77,FIND("/",A77)+1)+1,FIND(":",A77,FIND("/",A77,FIND("[",A77,FIND("[",A77)+1)+1))-FIND("/",A77,FIND("[",A77,FIND("[",A77)+1)+1)-1))),":",SUM(MID(A77,FIND(":",A77)+1,FIND("/",A77)-FIND(":",A77)-1),MID(A77,FIND(":",A77,FIND("/",A77))+1,FIND("]",A77)-FIND(":",A77,FIND("/",A77))-1),MID(A77,FIND(":",A77,FIND("[",A77,FIND("[",A77)+1))+1,(FIND("/",A77,FIND("[",A77,FIND("[",A77)+1)+1)-FIND(":",A77,FIND("[",A77,FIND("[",A77)+1))-1)),MID(A77,FIND(":",A77,FIND("/",A77,FIND("]",A77)+1))+1,(FIND("]",A77,FIND("[",A77,FIND("[",A77)+1)+1)-FIND(":",A77,FIND("/",A77,FIND("]",A77)+1))-1))),MID(A77,(FIND(")",A77)+1),100)),CONCATENATE(MID(A77,1,2)," ",(SUM(MID(A77,FIND("[",A77)+1,FIND(":",A77)-FIND("[",A77)-1),MID(A77,FIND("_",A77)+1,FIND(":",A77,FIND("_",A77))-FIND("_",A77)-1),MID(A77,FIND("[",A77,FIND("[",A77)+1)+1,(FIND(":",A77,FIND("[",A77))-FIND("[",A77)-1)),MID(A77,FIND("_",A77,FIND("_",A77)+1)+1,FIND(":",A77,FIND("_",A77,FIND("[",A77,FIND("[",A77)+1)+1))-FIND("_",A77,FIND("[",A77,FIND("[",A77)+1)+1)-1))),":",SUM(MID(A77,FIND(":",A77)+1,FIND("_",A77)-FIND(":",A77)-1),MID(A77,FIND(":",A77,FIND("_",A77))+1,FIND("]",A77)-FIND(":",A77,FIND("_",A77))-1),MID(A77,FIND(":",A77,FIND("[",A77,FIND("[",A77)+1))+1,(FIND("_",A77,FIND("[",A77,FIND("[",A77)+1)+1)-FIND(":",A77,FIND("[",A77,FIND("[",A77)+1))-1)),MID(A77,FIND(":",A77,FIND("_",A77,FIND("]",A77)+1))+1,(FIND("]",A77,FIND("[",A77,FIND("[",A77)+1)+1)-FIND(":",A77,FIND("_",A77,FIND("]",A77)+1))-1))),MID(A77,(FIND(")",A77)+1),100))),A77)</f>
        <v>CL 66:2</v>
      </c>
      <c r="C77" s="1" t="str">
        <f>MID(B77,4,FIND(":",B77)-FIND(" ",B77)-1)</f>
        <v>66</v>
      </c>
      <c r="D77" s="1" t="str">
        <f>IF(ISNUMBER(SEARCH("__",B77)),MID(B77,FIND(":",B77)+1,FIND("__",B77)-FIND(":",B77)-1),MID(B77,FIND(":",B77)+1,7))</f>
        <v>2</v>
      </c>
      <c r="E77" s="17">
        <f t="shared" si="103"/>
        <v>75</v>
      </c>
      <c r="F77" s="17">
        <f t="shared" si="104"/>
        <v>142</v>
      </c>
      <c r="G77" s="17">
        <v>0</v>
      </c>
      <c r="H77" s="17">
        <f t="shared" si="105"/>
        <v>17</v>
      </c>
      <c r="I77" s="17">
        <v>2</v>
      </c>
      <c r="L77" s="19" t="str">
        <f t="shared" si="106"/>
        <v>C75H142O17P2</v>
      </c>
      <c r="M77" s="19">
        <f t="shared" si="107"/>
        <v>1376.9721741999999</v>
      </c>
      <c r="N77" s="19">
        <f t="shared" si="108"/>
        <v>1377.9794488</v>
      </c>
      <c r="O77" s="42">
        <f t="shared" si="109"/>
        <v>1359.9683288000001</v>
      </c>
      <c r="P77" s="42">
        <f t="shared" si="110"/>
        <v>1395.0059942</v>
      </c>
      <c r="Q77" s="42">
        <f t="shared" si="111"/>
        <v>1399.9613941999999</v>
      </c>
      <c r="R77" s="42">
        <f t="shared" si="112"/>
        <v>1415.9353341999999</v>
      </c>
      <c r="S77" s="42">
        <f t="shared" si="113"/>
        <v>1383.9876342</v>
      </c>
      <c r="T77" s="19">
        <f t="shared" si="114"/>
        <v>1375.9648995999999</v>
      </c>
      <c r="U77" s="19">
        <f t="shared" si="115"/>
        <v>1421.9703941999999</v>
      </c>
      <c r="V77" s="19">
        <f t="shared" si="116"/>
        <v>1435.9860441999999</v>
      </c>
      <c r="W77" s="42">
        <f t="shared" si="87"/>
        <v>687.47881249999989</v>
      </c>
      <c r="Y77" s="42">
        <f t="shared" si="149"/>
        <v>706.51990709999995</v>
      </c>
      <c r="Z77" s="42">
        <f t="shared" si="150"/>
        <v>711.47530710000001</v>
      </c>
      <c r="AA77" s="42">
        <f t="shared" si="151"/>
        <v>727.44924709999998</v>
      </c>
      <c r="AB77" s="42">
        <f t="shared" si="152"/>
        <v>700.48433439999997</v>
      </c>
      <c r="AC77" s="42">
        <f t="shared" si="148"/>
        <v>708.47130440000001</v>
      </c>
    </row>
    <row r="78" spans="1:29" x14ac:dyDescent="0.25">
      <c r="A78" s="20" t="s">
        <v>168</v>
      </c>
      <c r="B78" s="17" t="str">
        <f>IF(ISNUMBER(SEARCH("[",A78)),IF(ISNUMBER(SEARCH("/",A78)),CONCATENATE(MID(A78,1,2)," ",(SUM(MID(A78,FIND("[",A78)+1,FIND(":",A78)-FIND("[",A78)-1),MID(A78,FIND("/",A78)+1,FIND(":",A78,FIND("/",A78))-FIND("/",A78)-1),MID(A78,FIND("[",A78,FIND("[",A78)+1)+1,(FIND(":",A78,FIND("[",A78))-FIND("[",A78)-1)),MID(A78,FIND("/",A78,FIND("/",A78)+1)+1,FIND(":",A78,FIND("/",A78,FIND("[",A78,FIND("[",A78)+1)+1))-FIND("/",A78,FIND("[",A78,FIND("[",A78)+1)+1)-1))),":",SUM(MID(A78,FIND(":",A78)+1,FIND("/",A78)-FIND(":",A78)-1),MID(A78,FIND(":",A78,FIND("/",A78))+1,FIND("]",A78)-FIND(":",A78,FIND("/",A78))-1),MID(A78,FIND(":",A78,FIND("[",A78,FIND("[",A78)+1))+1,(FIND("/",A78,FIND("[",A78,FIND("[",A78)+1)+1)-FIND(":",A78,FIND("[",A78,FIND("[",A78)+1))-1)),MID(A78,FIND(":",A78,FIND("/",A78,FIND("]",A78)+1))+1,(FIND("]",A78,FIND("[",A78,FIND("[",A78)+1)+1)-FIND(":",A78,FIND("/",A78,FIND("]",A78)+1))-1))),MID(A78,(FIND(")",A78)+1),100)),CONCATENATE(MID(A78,1,2)," ",(SUM(MID(A78,FIND("[",A78)+1,FIND(":",A78)-FIND("[",A78)-1),MID(A78,FIND("_",A78)+1,FIND(":",A78,FIND("_",A78))-FIND("_",A78)-1),MID(A78,FIND("[",A78,FIND("[",A78)+1)+1,(FIND(":",A78,FIND("[",A78))-FIND("[",A78)-1)),MID(A78,FIND("_",A78,FIND("_",A78)+1)+1,FIND(":",A78,FIND("_",A78,FIND("[",A78,FIND("[",A78)+1)+1))-FIND("_",A78,FIND("[",A78,FIND("[",A78)+1)+1)-1))),":",SUM(MID(A78,FIND(":",A78)+1,FIND("_",A78)-FIND(":",A78)-1),MID(A78,FIND(":",A78,FIND("_",A78))+1,FIND("]",A78)-FIND(":",A78,FIND("_",A78))-1),MID(A78,FIND(":",A78,FIND("[",A78,FIND("[",A78)+1))+1,(FIND("_",A78,FIND("[",A78,FIND("[",A78)+1)+1)-FIND(":",A78,FIND("[",A78,FIND("[",A78)+1))-1)),MID(A78,FIND(":",A78,FIND("_",A78,FIND("]",A78)+1))+1,(FIND("]",A78,FIND("[",A78,FIND("[",A78)+1)+1)-FIND(":",A78,FIND("_",A78,FIND("]",A78)+1))-1))),MID(A78,(FIND(")",A78)+1),100))),A78)</f>
        <v>CL 66:1</v>
      </c>
      <c r="C78" s="1" t="str">
        <f>MID(B78,4,FIND(":",B78)-FIND(" ",B78)-1)</f>
        <v>66</v>
      </c>
      <c r="D78" s="1" t="str">
        <f>IF(ISNUMBER(SEARCH("__",B78)),MID(B78,FIND(":",B78)+1,FIND("__",B78)-FIND(":",B78)-1),MID(B78,FIND(":",B78)+1,7))</f>
        <v>1</v>
      </c>
      <c r="E78" s="17">
        <f t="shared" si="103"/>
        <v>75</v>
      </c>
      <c r="F78" s="17">
        <f t="shared" si="104"/>
        <v>144</v>
      </c>
      <c r="G78" s="17">
        <v>0</v>
      </c>
      <c r="H78" s="17">
        <f t="shared" si="105"/>
        <v>17</v>
      </c>
      <c r="I78" s="17">
        <v>2</v>
      </c>
      <c r="L78" s="19" t="str">
        <f t="shared" si="106"/>
        <v>C75H144O17P2</v>
      </c>
      <c r="M78" s="19">
        <f t="shared" si="107"/>
        <v>1378.9878234</v>
      </c>
      <c r="N78" s="19">
        <f t="shared" si="108"/>
        <v>1379.9950980000001</v>
      </c>
      <c r="O78" s="42">
        <f t="shared" si="109"/>
        <v>1361.9839780000002</v>
      </c>
      <c r="P78" s="42">
        <f t="shared" si="110"/>
        <v>1397.0216434000001</v>
      </c>
      <c r="Q78" s="42">
        <f t="shared" si="111"/>
        <v>1401.9770434</v>
      </c>
      <c r="R78" s="42">
        <f t="shared" si="112"/>
        <v>1417.9509834</v>
      </c>
      <c r="S78" s="42">
        <f t="shared" si="113"/>
        <v>1386.0032834000001</v>
      </c>
      <c r="T78" s="19">
        <f t="shared" si="114"/>
        <v>1377.9805488</v>
      </c>
      <c r="U78" s="19">
        <f t="shared" si="115"/>
        <v>1423.9860434</v>
      </c>
      <c r="V78" s="19">
        <f t="shared" si="116"/>
        <v>1438.0016934</v>
      </c>
      <c r="W78" s="42">
        <f t="shared" si="87"/>
        <v>688.48663709999994</v>
      </c>
      <c r="Y78" s="42">
        <f t="shared" si="149"/>
        <v>707.5277317</v>
      </c>
      <c r="Z78" s="42">
        <f t="shared" si="150"/>
        <v>712.48313170000006</v>
      </c>
      <c r="AA78" s="42">
        <f t="shared" si="151"/>
        <v>728.45707170000003</v>
      </c>
      <c r="AB78" s="42">
        <f t="shared" si="152"/>
        <v>701.49215900000002</v>
      </c>
      <c r="AC78" s="42">
        <f t="shared" si="148"/>
        <v>709.47912900000006</v>
      </c>
    </row>
    <row r="79" spans="1:29" x14ac:dyDescent="0.25">
      <c r="A79" s="20" t="s">
        <v>156</v>
      </c>
      <c r="B79" s="17" t="str">
        <f t="shared" si="100"/>
        <v>CL 66:0</v>
      </c>
      <c r="C79" s="1" t="str">
        <f t="shared" si="101"/>
        <v>66</v>
      </c>
      <c r="D79" s="1" t="str">
        <f t="shared" si="102"/>
        <v>0</v>
      </c>
      <c r="E79" s="17">
        <f t="shared" si="103"/>
        <v>75</v>
      </c>
      <c r="F79" s="17">
        <f t="shared" si="104"/>
        <v>146</v>
      </c>
      <c r="G79" s="17">
        <v>0</v>
      </c>
      <c r="H79" s="17">
        <f t="shared" si="105"/>
        <v>17</v>
      </c>
      <c r="I79" s="17">
        <v>2</v>
      </c>
      <c r="L79" s="19" t="str">
        <f t="shared" si="106"/>
        <v>C75H146O17P2</v>
      </c>
      <c r="M79" s="19">
        <f t="shared" si="107"/>
        <v>1381.0034725999999</v>
      </c>
      <c r="N79" s="19">
        <f t="shared" si="108"/>
        <v>1382.0107472</v>
      </c>
      <c r="O79" s="42">
        <f t="shared" si="109"/>
        <v>1363.9996272000001</v>
      </c>
      <c r="P79" s="42">
        <f t="shared" si="110"/>
        <v>1399.0372926</v>
      </c>
      <c r="Q79" s="42">
        <f t="shared" si="111"/>
        <v>1403.9926925999998</v>
      </c>
      <c r="R79" s="42">
        <f t="shared" si="112"/>
        <v>1419.9666325999999</v>
      </c>
      <c r="S79" s="42">
        <f t="shared" si="113"/>
        <v>1388.0189326</v>
      </c>
      <c r="T79" s="19">
        <f t="shared" si="114"/>
        <v>1379.9961979999998</v>
      </c>
      <c r="U79" s="19">
        <f t="shared" si="115"/>
        <v>1426.0016925999998</v>
      </c>
      <c r="V79" s="19">
        <f t="shared" si="116"/>
        <v>1440.0173425999999</v>
      </c>
      <c r="W79" s="42">
        <f t="shared" si="87"/>
        <v>689.49446169999987</v>
      </c>
      <c r="Y79" s="42">
        <f t="shared" si="149"/>
        <v>708.53555629999994</v>
      </c>
      <c r="Z79" s="42">
        <f t="shared" si="150"/>
        <v>713.49095629999999</v>
      </c>
      <c r="AA79" s="42">
        <f t="shared" si="151"/>
        <v>729.46489629999996</v>
      </c>
      <c r="AB79" s="42">
        <f t="shared" si="152"/>
        <v>702.49998359999995</v>
      </c>
      <c r="AC79" s="42">
        <f t="shared" si="148"/>
        <v>710.48695359999999</v>
      </c>
    </row>
    <row r="80" spans="1:29" x14ac:dyDescent="0.25">
      <c r="A80" s="20" t="s">
        <v>236</v>
      </c>
      <c r="B80" s="17" t="str">
        <f t="shared" si="100"/>
        <v>CL 67:5</v>
      </c>
      <c r="C80" s="1" t="str">
        <f t="shared" si="101"/>
        <v>67</v>
      </c>
      <c r="D80" s="1" t="str">
        <f t="shared" si="102"/>
        <v>5</v>
      </c>
      <c r="E80" s="17">
        <f t="shared" si="103"/>
        <v>76</v>
      </c>
      <c r="F80" s="17">
        <f t="shared" si="104"/>
        <v>138</v>
      </c>
      <c r="G80" s="17">
        <v>0</v>
      </c>
      <c r="H80" s="17">
        <f t="shared" si="105"/>
        <v>17</v>
      </c>
      <c r="I80" s="17">
        <v>2</v>
      </c>
      <c r="L80" s="19" t="str">
        <f t="shared" si="106"/>
        <v>C76H138O17P2</v>
      </c>
      <c r="M80" s="19">
        <f t="shared" si="107"/>
        <v>1384.9408758</v>
      </c>
      <c r="N80" s="19">
        <f t="shared" si="108"/>
        <v>1385.9481504</v>
      </c>
      <c r="O80" s="42">
        <f t="shared" si="109"/>
        <v>1367.9370304000001</v>
      </c>
      <c r="P80" s="42">
        <f t="shared" si="110"/>
        <v>1402.9746958000001</v>
      </c>
      <c r="Q80" s="42">
        <f t="shared" si="111"/>
        <v>1407.9300957999999</v>
      </c>
      <c r="R80" s="42">
        <f t="shared" si="112"/>
        <v>1423.9040358</v>
      </c>
      <c r="S80" s="42">
        <f t="shared" si="113"/>
        <v>1391.9563358</v>
      </c>
      <c r="T80" s="19">
        <f t="shared" si="114"/>
        <v>1383.9336011999999</v>
      </c>
      <c r="U80" s="19">
        <f t="shared" si="115"/>
        <v>1429.9390957999999</v>
      </c>
      <c r="V80" s="19">
        <f t="shared" si="116"/>
        <v>1443.9547458</v>
      </c>
      <c r="W80" s="42">
        <f t="shared" si="87"/>
        <v>691.46316329999991</v>
      </c>
      <c r="Y80" s="42">
        <f t="shared" si="149"/>
        <v>710.50425789999997</v>
      </c>
      <c r="Z80" s="42">
        <f t="shared" si="150"/>
        <v>715.45965790000002</v>
      </c>
      <c r="AA80" s="42">
        <f t="shared" si="151"/>
        <v>731.4335979</v>
      </c>
      <c r="AB80" s="42">
        <f t="shared" si="152"/>
        <v>704.46868519999998</v>
      </c>
      <c r="AC80" s="42">
        <f t="shared" si="148"/>
        <v>712.45565520000002</v>
      </c>
    </row>
    <row r="81" spans="1:29" x14ac:dyDescent="0.25">
      <c r="A81" s="20" t="s">
        <v>226</v>
      </c>
      <c r="B81" s="17" t="str">
        <f t="shared" si="100"/>
        <v>CL 67:4</v>
      </c>
      <c r="C81" s="1" t="str">
        <f t="shared" si="101"/>
        <v>67</v>
      </c>
      <c r="D81" s="1" t="str">
        <f t="shared" si="102"/>
        <v>4</v>
      </c>
      <c r="E81" s="17">
        <f t="shared" si="103"/>
        <v>76</v>
      </c>
      <c r="F81" s="17">
        <f t="shared" si="104"/>
        <v>140</v>
      </c>
      <c r="G81" s="17">
        <v>0</v>
      </c>
      <c r="H81" s="17">
        <f t="shared" si="105"/>
        <v>17</v>
      </c>
      <c r="I81" s="17">
        <v>2</v>
      </c>
      <c r="L81" s="19" t="str">
        <f t="shared" si="106"/>
        <v>C76H140O17P2</v>
      </c>
      <c r="M81" s="19">
        <f t="shared" si="107"/>
        <v>1386.9565250000001</v>
      </c>
      <c r="N81" s="19">
        <f t="shared" si="108"/>
        <v>1387.9637996000001</v>
      </c>
      <c r="O81" s="42">
        <f t="shared" si="109"/>
        <v>1369.9526796000002</v>
      </c>
      <c r="P81" s="42">
        <f t="shared" si="110"/>
        <v>1404.9903450000002</v>
      </c>
      <c r="Q81" s="42">
        <f t="shared" si="111"/>
        <v>1409.945745</v>
      </c>
      <c r="R81" s="42">
        <f t="shared" si="112"/>
        <v>1425.9196850000001</v>
      </c>
      <c r="S81" s="42">
        <f t="shared" si="113"/>
        <v>1393.9719850000001</v>
      </c>
      <c r="T81" s="19">
        <f t="shared" si="114"/>
        <v>1385.9492504</v>
      </c>
      <c r="U81" s="19">
        <f t="shared" si="115"/>
        <v>1431.954745</v>
      </c>
      <c r="V81" s="19">
        <f t="shared" si="116"/>
        <v>1445.9703950000001</v>
      </c>
      <c r="W81" s="42">
        <f>(T81-1.0078246+0.00055)/2</f>
        <v>692.47098789999995</v>
      </c>
      <c r="Y81" s="42">
        <f t="shared" si="149"/>
        <v>711.51208250000002</v>
      </c>
      <c r="Z81" s="42">
        <f t="shared" si="150"/>
        <v>716.46748250000007</v>
      </c>
      <c r="AA81" s="42">
        <f t="shared" si="151"/>
        <v>732.44142250000004</v>
      </c>
      <c r="AB81" s="42">
        <f t="shared" si="152"/>
        <v>705.47650980000003</v>
      </c>
      <c r="AC81" s="42">
        <f t="shared" si="148"/>
        <v>713.46347980000007</v>
      </c>
    </row>
    <row r="82" spans="1:29" x14ac:dyDescent="0.25">
      <c r="A82" s="20" t="s">
        <v>223</v>
      </c>
      <c r="B82" s="17" t="str">
        <f t="shared" si="100"/>
        <v>CL 67:3</v>
      </c>
      <c r="C82" s="1" t="str">
        <f t="shared" si="101"/>
        <v>67</v>
      </c>
      <c r="D82" s="1" t="str">
        <f t="shared" si="102"/>
        <v>3</v>
      </c>
      <c r="E82" s="17">
        <f t="shared" si="103"/>
        <v>76</v>
      </c>
      <c r="F82" s="17">
        <f t="shared" si="104"/>
        <v>142</v>
      </c>
      <c r="G82" s="17">
        <v>0</v>
      </c>
      <c r="H82" s="17">
        <f t="shared" si="105"/>
        <v>17</v>
      </c>
      <c r="I82" s="17">
        <v>2</v>
      </c>
      <c r="L82" s="19" t="str">
        <f t="shared" si="106"/>
        <v>C76H142O17P2</v>
      </c>
      <c r="M82" s="19">
        <f t="shared" si="107"/>
        <v>1388.9721741999999</v>
      </c>
      <c r="N82" s="19">
        <f t="shared" si="108"/>
        <v>1389.9794488</v>
      </c>
      <c r="O82" s="42">
        <f t="shared" si="109"/>
        <v>1371.9683288000001</v>
      </c>
      <c r="P82" s="42">
        <f t="shared" si="110"/>
        <v>1407.0059942</v>
      </c>
      <c r="Q82" s="42">
        <f t="shared" si="111"/>
        <v>1411.9613941999999</v>
      </c>
      <c r="R82" s="42">
        <f t="shared" si="112"/>
        <v>1427.9353341999999</v>
      </c>
      <c r="S82" s="42">
        <f t="shared" si="113"/>
        <v>1395.9876342</v>
      </c>
      <c r="T82" s="19">
        <f t="shared" si="114"/>
        <v>1387.9648995999999</v>
      </c>
      <c r="U82" s="19">
        <f t="shared" si="115"/>
        <v>1433.9703941999999</v>
      </c>
      <c r="V82" s="19">
        <f t="shared" si="116"/>
        <v>1447.9860441999999</v>
      </c>
      <c r="W82" s="42">
        <f t="shared" si="87"/>
        <v>693.47881249999989</v>
      </c>
      <c r="Y82" s="42">
        <f t="shared" si="149"/>
        <v>712.51990709999995</v>
      </c>
      <c r="Z82" s="42">
        <f t="shared" si="150"/>
        <v>717.47530710000001</v>
      </c>
      <c r="AA82" s="42">
        <f t="shared" si="151"/>
        <v>733.44924709999998</v>
      </c>
      <c r="AB82" s="42">
        <f t="shared" si="152"/>
        <v>706.48433439999997</v>
      </c>
      <c r="AC82" s="42">
        <f t="shared" si="148"/>
        <v>714.47130440000001</v>
      </c>
    </row>
    <row r="83" spans="1:29" x14ac:dyDescent="0.25">
      <c r="A83" s="20" t="s">
        <v>199</v>
      </c>
      <c r="B83" s="17" t="str">
        <f>IF(ISNUMBER(SEARCH("[",A83)),IF(ISNUMBER(SEARCH("/",A83)),CONCATENATE(MID(A83,1,2)," ",(SUM(MID(A83,FIND("[",A83)+1,FIND(":",A83)-FIND("[",A83)-1),MID(A83,FIND("/",A83)+1,FIND(":",A83,FIND("/",A83))-FIND("/",A83)-1),MID(A83,FIND("[",A83,FIND("[",A83)+1)+1,(FIND(":",A83,FIND("[",A83))-FIND("[",A83)-1)),MID(A83,FIND("/",A83,FIND("/",A83)+1)+1,FIND(":",A83,FIND("/",A83,FIND("[",A83,FIND("[",A83)+1)+1))-FIND("/",A83,FIND("[",A83,FIND("[",A83)+1)+1)-1))),":",SUM(MID(A83,FIND(":",A83)+1,FIND("/",A83)-FIND(":",A83)-1),MID(A83,FIND(":",A83,FIND("/",A83))+1,FIND("]",A83)-FIND(":",A83,FIND("/",A83))-1),MID(A83,FIND(":",A83,FIND("[",A83,FIND("[",A83)+1))+1,(FIND("/",A83,FIND("[",A83,FIND("[",A83)+1)+1)-FIND(":",A83,FIND("[",A83,FIND("[",A83)+1))-1)),MID(A83,FIND(":",A83,FIND("/",A83,FIND("]",A83)+1))+1,(FIND("]",A83,FIND("[",A83,FIND("[",A83)+1)+1)-FIND(":",A83,FIND("/",A83,FIND("]",A83)+1))-1))),MID(A83,(FIND(")",A83)+1),100)),CONCATENATE(MID(A83,1,2)," ",(SUM(MID(A83,FIND("[",A83)+1,FIND(":",A83)-FIND("[",A83)-1),MID(A83,FIND("_",A83)+1,FIND(":",A83,FIND("_",A83))-FIND("_",A83)-1),MID(A83,FIND("[",A83,FIND("[",A83)+1)+1,(FIND(":",A83,FIND("[",A83))-FIND("[",A83)-1)),MID(A83,FIND("_",A83,FIND("_",A83)+1)+1,FIND(":",A83,FIND("_",A83,FIND("[",A83,FIND("[",A83)+1)+1))-FIND("_",A83,FIND("[",A83,FIND("[",A83)+1)+1)-1))),":",SUM(MID(A83,FIND(":",A83)+1,FIND("_",A83)-FIND(":",A83)-1),MID(A83,FIND(":",A83,FIND("_",A83))+1,FIND("]",A83)-FIND(":",A83,FIND("_",A83))-1),MID(A83,FIND(":",A83,FIND("[",A83,FIND("[",A83)+1))+1,(FIND("_",A83,FIND("[",A83,FIND("[",A83)+1)+1)-FIND(":",A83,FIND("[",A83,FIND("[",A83)+1))-1)),MID(A83,FIND(":",A83,FIND("_",A83,FIND("]",A83)+1))+1,(FIND("]",A83,FIND("[",A83,FIND("[",A83)+1)+1)-FIND(":",A83,FIND("_",A83,FIND("]",A83)+1))-1))),MID(A83,(FIND(")",A83)+1),100))),A83)</f>
        <v>CL 67:2</v>
      </c>
      <c r="C83" s="1" t="str">
        <f>MID(B83,4,FIND(":",B83)-FIND(" ",B83)-1)</f>
        <v>67</v>
      </c>
      <c r="D83" s="1" t="str">
        <f>IF(ISNUMBER(SEARCH("__",B83)),MID(B83,FIND(":",B83)+1,FIND("__",B83)-FIND(":",B83)-1),MID(B83,FIND(":",B83)+1,7))</f>
        <v>2</v>
      </c>
      <c r="E83" s="17">
        <f t="shared" si="103"/>
        <v>76</v>
      </c>
      <c r="F83" s="17">
        <f t="shared" si="104"/>
        <v>144</v>
      </c>
      <c r="G83" s="17">
        <v>0</v>
      </c>
      <c r="H83" s="17">
        <f t="shared" si="105"/>
        <v>17</v>
      </c>
      <c r="I83" s="17">
        <v>2</v>
      </c>
      <c r="L83" s="19" t="str">
        <f t="shared" si="106"/>
        <v>C76H144O17P2</v>
      </c>
      <c r="M83" s="19">
        <f t="shared" si="107"/>
        <v>1390.9878234</v>
      </c>
      <c r="N83" s="19">
        <f t="shared" si="108"/>
        <v>1391.9950980000001</v>
      </c>
      <c r="O83" s="42">
        <f t="shared" si="109"/>
        <v>1373.9839780000002</v>
      </c>
      <c r="P83" s="42">
        <f t="shared" si="110"/>
        <v>1409.0216434000001</v>
      </c>
      <c r="Q83" s="42">
        <f t="shared" si="111"/>
        <v>1413.9770434</v>
      </c>
      <c r="R83" s="42">
        <f t="shared" si="112"/>
        <v>1429.9509834</v>
      </c>
      <c r="S83" s="42">
        <f t="shared" si="113"/>
        <v>1398.0032834000001</v>
      </c>
      <c r="T83" s="19">
        <f>M83-1.0078246+0.00055</f>
        <v>1389.9805488</v>
      </c>
      <c r="U83" s="19">
        <f t="shared" si="115"/>
        <v>1435.9860434</v>
      </c>
      <c r="V83" s="19">
        <f t="shared" si="116"/>
        <v>1450.0016934</v>
      </c>
      <c r="W83" s="42">
        <f t="shared" si="87"/>
        <v>694.48663709999994</v>
      </c>
      <c r="Y83" s="42">
        <f t="shared" si="149"/>
        <v>713.5277317</v>
      </c>
      <c r="Z83" s="42">
        <f t="shared" si="150"/>
        <v>718.48313170000006</v>
      </c>
      <c r="AA83" s="42">
        <f t="shared" si="151"/>
        <v>734.45707170000003</v>
      </c>
      <c r="AB83" s="42">
        <f t="shared" si="152"/>
        <v>707.49215900000002</v>
      </c>
      <c r="AC83" s="42">
        <f t="shared" si="148"/>
        <v>715.47912900000006</v>
      </c>
    </row>
    <row r="84" spans="1:29" x14ac:dyDescent="0.25">
      <c r="A84" s="20" t="s">
        <v>167</v>
      </c>
      <c r="B84" s="17" t="str">
        <f>IF(ISNUMBER(SEARCH("[",A84)),IF(ISNUMBER(SEARCH("/",A84)),CONCATENATE(MID(A84,1,2)," ",(SUM(MID(A84,FIND("[",A84)+1,FIND(":",A84)-FIND("[",A84)-1),MID(A84,FIND("/",A84)+1,FIND(":",A84,FIND("/",A84))-FIND("/",A84)-1),MID(A84,FIND("[",A84,FIND("[",A84)+1)+1,(FIND(":",A84,FIND("[",A84))-FIND("[",A84)-1)),MID(A84,FIND("/",A84,FIND("/",A84)+1)+1,FIND(":",A84,FIND("/",A84,FIND("[",A84,FIND("[",A84)+1)+1))-FIND("/",A84,FIND("[",A84,FIND("[",A84)+1)+1)-1))),":",SUM(MID(A84,FIND(":",A84)+1,FIND("/",A84)-FIND(":",A84)-1),MID(A84,FIND(":",A84,FIND("/",A84))+1,FIND("]",A84)-FIND(":",A84,FIND("/",A84))-1),MID(A84,FIND(":",A84,FIND("[",A84,FIND("[",A84)+1))+1,(FIND("/",A84,FIND("[",A84,FIND("[",A84)+1)+1)-FIND(":",A84,FIND("[",A84,FIND("[",A84)+1))-1)),MID(A84,FIND(":",A84,FIND("/",A84,FIND("]",A84)+1))+1,(FIND("]",A84,FIND("[",A84,FIND("[",A84)+1)+1)-FIND(":",A84,FIND("/",A84,FIND("]",A84)+1))-1))),MID(A84,(FIND(")",A84)+1),100)),CONCATENATE(MID(A84,1,2)," ",(SUM(MID(A84,FIND("[",A84)+1,FIND(":",A84)-FIND("[",A84)-1),MID(A84,FIND("_",A84)+1,FIND(":",A84,FIND("_",A84))-FIND("_",A84)-1),MID(A84,FIND("[",A84,FIND("[",A84)+1)+1,(FIND(":",A84,FIND("[",A84))-FIND("[",A84)-1)),MID(A84,FIND("_",A84,FIND("_",A84)+1)+1,FIND(":",A84,FIND("_",A84,FIND("[",A84,FIND("[",A84)+1)+1))-FIND("_",A84,FIND("[",A84,FIND("[",A84)+1)+1)-1))),":",SUM(MID(A84,FIND(":",A84)+1,FIND("_",A84)-FIND(":",A84)-1),MID(A84,FIND(":",A84,FIND("_",A84))+1,FIND("]",A84)-FIND(":",A84,FIND("_",A84))-1),MID(A84,FIND(":",A84,FIND("[",A84,FIND("[",A84)+1))+1,(FIND("_",A84,FIND("[",A84,FIND("[",A84)+1)+1)-FIND(":",A84,FIND("[",A84,FIND("[",A84)+1))-1)),MID(A84,FIND(":",A84,FIND("_",A84,FIND("]",A84)+1))+1,(FIND("]",A84,FIND("[",A84,FIND("[",A84)+1)+1)-FIND(":",A84,FIND("_",A84,FIND("]",A84)+1))-1))),MID(A84,(FIND(")",A84)+1),100))),A84)</f>
        <v>CL 67:1</v>
      </c>
      <c r="C84" s="1" t="str">
        <f>MID(B84,4,FIND(":",B84)-FIND(" ",B84)-1)</f>
        <v>67</v>
      </c>
      <c r="D84" s="1" t="str">
        <f>IF(ISNUMBER(SEARCH("__",B84)),MID(B84,FIND(":",B84)+1,FIND("__",B84)-FIND(":",B84)-1),MID(B84,FIND(":",B84)+1,7))</f>
        <v>1</v>
      </c>
      <c r="E84" s="17">
        <f t="shared" si="103"/>
        <v>76</v>
      </c>
      <c r="F84" s="17">
        <f t="shared" si="104"/>
        <v>146</v>
      </c>
      <c r="G84" s="17">
        <v>0</v>
      </c>
      <c r="H84" s="17">
        <f t="shared" si="105"/>
        <v>17</v>
      </c>
      <c r="I84" s="17">
        <v>2</v>
      </c>
      <c r="L84" s="19" t="str">
        <f t="shared" si="106"/>
        <v>C76H146O17P2</v>
      </c>
      <c r="M84" s="19">
        <f t="shared" si="107"/>
        <v>1393.0034725999999</v>
      </c>
      <c r="N84" s="19">
        <f t="shared" si="108"/>
        <v>1394.0107472</v>
      </c>
      <c r="O84" s="42">
        <f t="shared" si="109"/>
        <v>1375.9996272000001</v>
      </c>
      <c r="P84" s="42">
        <f t="shared" si="110"/>
        <v>1411.0372926</v>
      </c>
      <c r="Q84" s="42">
        <f t="shared" si="111"/>
        <v>1415.9926925999998</v>
      </c>
      <c r="R84" s="42">
        <f t="shared" si="112"/>
        <v>1431.9666325999999</v>
      </c>
      <c r="S84" s="42">
        <f t="shared" si="113"/>
        <v>1400.0189326</v>
      </c>
      <c r="T84" s="19">
        <f t="shared" si="114"/>
        <v>1391.9961979999998</v>
      </c>
      <c r="U84" s="19">
        <f t="shared" si="115"/>
        <v>1438.0016925999998</v>
      </c>
      <c r="V84" s="19">
        <f t="shared" si="116"/>
        <v>1452.0173425999999</v>
      </c>
      <c r="W84" s="42">
        <f t="shared" si="87"/>
        <v>695.49446169999987</v>
      </c>
      <c r="Y84" s="42">
        <f t="shared" si="149"/>
        <v>714.53555629999994</v>
      </c>
      <c r="Z84" s="42">
        <f t="shared" si="150"/>
        <v>719.49095629999999</v>
      </c>
      <c r="AA84" s="42">
        <f t="shared" si="151"/>
        <v>735.46489629999996</v>
      </c>
      <c r="AB84" s="42">
        <f t="shared" si="152"/>
        <v>708.49998359999995</v>
      </c>
      <c r="AC84" s="42">
        <f t="shared" si="148"/>
        <v>716.48695359999999</v>
      </c>
    </row>
    <row r="85" spans="1:29" x14ac:dyDescent="0.25">
      <c r="A85" s="20" t="s">
        <v>157</v>
      </c>
      <c r="B85" s="17" t="str">
        <f t="shared" si="100"/>
        <v>CL 67:0</v>
      </c>
      <c r="C85" s="1" t="str">
        <f t="shared" si="101"/>
        <v>67</v>
      </c>
      <c r="D85" s="1" t="str">
        <f t="shared" si="102"/>
        <v>0</v>
      </c>
      <c r="E85" s="17">
        <f t="shared" si="103"/>
        <v>76</v>
      </c>
      <c r="F85" s="17">
        <f t="shared" si="104"/>
        <v>148</v>
      </c>
      <c r="G85" s="17">
        <v>0</v>
      </c>
      <c r="H85" s="17">
        <f t="shared" si="105"/>
        <v>17</v>
      </c>
      <c r="I85" s="17">
        <v>2</v>
      </c>
      <c r="L85" s="19" t="str">
        <f t="shared" si="106"/>
        <v>C76H148O17P2</v>
      </c>
      <c r="M85" s="19">
        <f t="shared" si="107"/>
        <v>1395.0191218</v>
      </c>
      <c r="N85" s="19">
        <f t="shared" si="108"/>
        <v>1396.0263964000001</v>
      </c>
      <c r="O85" s="42">
        <f t="shared" si="109"/>
        <v>1378.0152764000002</v>
      </c>
      <c r="P85" s="42">
        <f t="shared" si="110"/>
        <v>1413.0529418000001</v>
      </c>
      <c r="Q85" s="42">
        <f t="shared" si="111"/>
        <v>1418.0083417999999</v>
      </c>
      <c r="R85" s="42">
        <f t="shared" si="112"/>
        <v>1433.9822818</v>
      </c>
      <c r="S85" s="42">
        <f t="shared" si="113"/>
        <v>1402.0345818000001</v>
      </c>
      <c r="T85" s="19">
        <f t="shared" si="114"/>
        <v>1394.0118471999999</v>
      </c>
      <c r="U85" s="19">
        <f t="shared" si="115"/>
        <v>1440.0173417999999</v>
      </c>
      <c r="V85" s="19">
        <f t="shared" si="116"/>
        <v>1454.0329918</v>
      </c>
      <c r="W85" s="42">
        <f t="shared" si="87"/>
        <v>696.50228629999992</v>
      </c>
      <c r="Y85" s="42">
        <f t="shared" si="149"/>
        <v>715.54338089999999</v>
      </c>
      <c r="Z85" s="42">
        <f t="shared" si="150"/>
        <v>720.49878090000004</v>
      </c>
      <c r="AA85" s="42">
        <f t="shared" si="151"/>
        <v>736.47272090000001</v>
      </c>
      <c r="AB85" s="42">
        <f t="shared" si="152"/>
        <v>709.5078082</v>
      </c>
      <c r="AC85" s="42">
        <f t="shared" si="148"/>
        <v>717.49477820000004</v>
      </c>
    </row>
    <row r="86" spans="1:29" x14ac:dyDescent="0.25">
      <c r="A86" s="20" t="s">
        <v>240</v>
      </c>
      <c r="B86" s="17" t="str">
        <f t="shared" si="100"/>
        <v>CL 68:5</v>
      </c>
      <c r="C86" s="1" t="str">
        <f t="shared" si="101"/>
        <v>68</v>
      </c>
      <c r="D86" s="1" t="str">
        <f t="shared" si="102"/>
        <v>5</v>
      </c>
      <c r="E86" s="17">
        <f t="shared" si="103"/>
        <v>77</v>
      </c>
      <c r="F86" s="17">
        <f t="shared" si="104"/>
        <v>140</v>
      </c>
      <c r="G86" s="17">
        <v>0</v>
      </c>
      <c r="H86" s="17">
        <f t="shared" si="105"/>
        <v>17</v>
      </c>
      <c r="I86" s="17">
        <v>2</v>
      </c>
      <c r="L86" s="19" t="str">
        <f t="shared" si="106"/>
        <v>C77H140O17P2</v>
      </c>
      <c r="M86" s="19">
        <f t="shared" si="107"/>
        <v>1398.9565250000001</v>
      </c>
      <c r="N86" s="19">
        <f t="shared" si="108"/>
        <v>1399.9637996000001</v>
      </c>
      <c r="O86" s="42">
        <f t="shared" si="109"/>
        <v>1381.9526796000002</v>
      </c>
      <c r="P86" s="42">
        <f t="shared" si="110"/>
        <v>1416.9903450000002</v>
      </c>
      <c r="Q86" s="42">
        <f t="shared" si="111"/>
        <v>1421.945745</v>
      </c>
      <c r="R86" s="42">
        <f t="shared" si="112"/>
        <v>1437.9196850000001</v>
      </c>
      <c r="S86" s="42">
        <f t="shared" si="113"/>
        <v>1405.9719850000001</v>
      </c>
      <c r="T86" s="19">
        <f t="shared" si="114"/>
        <v>1397.9492504</v>
      </c>
      <c r="U86" s="19">
        <f t="shared" si="115"/>
        <v>1443.954745</v>
      </c>
      <c r="V86" s="19">
        <f t="shared" si="116"/>
        <v>1457.9703950000001</v>
      </c>
      <c r="W86" s="42">
        <f t="shared" si="87"/>
        <v>698.47098789999995</v>
      </c>
      <c r="Y86" s="42">
        <f t="shared" si="149"/>
        <v>717.51208250000002</v>
      </c>
      <c r="Z86" s="42">
        <f t="shared" si="150"/>
        <v>722.46748250000007</v>
      </c>
      <c r="AA86" s="42">
        <f t="shared" si="151"/>
        <v>738.44142250000004</v>
      </c>
      <c r="AB86" s="42">
        <f t="shared" si="152"/>
        <v>711.47650980000003</v>
      </c>
      <c r="AC86" s="42">
        <f t="shared" si="148"/>
        <v>719.46347980000007</v>
      </c>
    </row>
    <row r="87" spans="1:29" x14ac:dyDescent="0.25">
      <c r="A87" s="20" t="s">
        <v>239</v>
      </c>
      <c r="B87" s="17" t="str">
        <f t="shared" si="100"/>
        <v>CL 68:4</v>
      </c>
      <c r="C87" s="1" t="str">
        <f t="shared" si="101"/>
        <v>68</v>
      </c>
      <c r="D87" s="1" t="str">
        <f t="shared" si="102"/>
        <v>4</v>
      </c>
      <c r="E87" s="17">
        <f t="shared" si="103"/>
        <v>77</v>
      </c>
      <c r="F87" s="17">
        <f t="shared" si="104"/>
        <v>142</v>
      </c>
      <c r="G87" s="17">
        <v>0</v>
      </c>
      <c r="H87" s="17">
        <f t="shared" si="105"/>
        <v>17</v>
      </c>
      <c r="I87" s="17">
        <v>2</v>
      </c>
      <c r="L87" s="19" t="str">
        <f t="shared" si="106"/>
        <v>C77H142O17P2</v>
      </c>
      <c r="M87" s="19">
        <f t="shared" si="107"/>
        <v>1400.9721741999999</v>
      </c>
      <c r="N87" s="19">
        <f t="shared" si="108"/>
        <v>1401.9794488</v>
      </c>
      <c r="O87" s="42">
        <f t="shared" si="109"/>
        <v>1383.9683288000001</v>
      </c>
      <c r="P87" s="42">
        <f t="shared" si="110"/>
        <v>1419.0059942</v>
      </c>
      <c r="Q87" s="42">
        <f t="shared" si="111"/>
        <v>1423.9613941999999</v>
      </c>
      <c r="R87" s="42">
        <f t="shared" si="112"/>
        <v>1439.9353341999999</v>
      </c>
      <c r="S87" s="42">
        <f t="shared" si="113"/>
        <v>1407.9876342</v>
      </c>
      <c r="T87" s="19">
        <f t="shared" si="114"/>
        <v>1399.9648995999999</v>
      </c>
      <c r="U87" s="19">
        <f t="shared" si="115"/>
        <v>1445.9703941999999</v>
      </c>
      <c r="V87" s="19">
        <f t="shared" si="116"/>
        <v>1459.9860441999999</v>
      </c>
      <c r="W87" s="42">
        <f t="shared" si="87"/>
        <v>699.47881249999989</v>
      </c>
      <c r="Y87" s="42">
        <f t="shared" si="149"/>
        <v>718.51990709999995</v>
      </c>
      <c r="Z87" s="42">
        <f t="shared" si="150"/>
        <v>723.47530710000001</v>
      </c>
      <c r="AA87" s="42">
        <f t="shared" si="151"/>
        <v>739.44924709999998</v>
      </c>
      <c r="AB87" s="42">
        <f t="shared" si="152"/>
        <v>712.48433439999997</v>
      </c>
      <c r="AC87" s="42">
        <f t="shared" si="148"/>
        <v>720.47130440000001</v>
      </c>
    </row>
    <row r="88" spans="1:29" x14ac:dyDescent="0.25">
      <c r="A88" s="20" t="s">
        <v>220</v>
      </c>
      <c r="B88" s="17" t="str">
        <f t="shared" si="100"/>
        <v>CL 68:3</v>
      </c>
      <c r="C88" s="1" t="str">
        <f t="shared" si="101"/>
        <v>68</v>
      </c>
      <c r="D88" s="1" t="str">
        <f t="shared" si="102"/>
        <v>3</v>
      </c>
      <c r="E88" s="17">
        <f t="shared" si="103"/>
        <v>77</v>
      </c>
      <c r="F88" s="17">
        <f t="shared" si="104"/>
        <v>144</v>
      </c>
      <c r="G88" s="17">
        <v>0</v>
      </c>
      <c r="H88" s="17">
        <f t="shared" si="105"/>
        <v>17</v>
      </c>
      <c r="I88" s="17">
        <v>2</v>
      </c>
      <c r="L88" s="19" t="str">
        <f t="shared" si="106"/>
        <v>C77H144O17P2</v>
      </c>
      <c r="M88" s="19">
        <f t="shared" si="107"/>
        <v>1402.9878234</v>
      </c>
      <c r="N88" s="19">
        <f t="shared" si="108"/>
        <v>1403.9950980000001</v>
      </c>
      <c r="O88" s="42">
        <f t="shared" si="109"/>
        <v>1385.9839780000002</v>
      </c>
      <c r="P88" s="42">
        <f t="shared" si="110"/>
        <v>1421.0216434000001</v>
      </c>
      <c r="Q88" s="42">
        <f t="shared" si="111"/>
        <v>1425.9770434</v>
      </c>
      <c r="R88" s="42">
        <f t="shared" si="112"/>
        <v>1441.9509834</v>
      </c>
      <c r="S88" s="42">
        <f t="shared" si="113"/>
        <v>1410.0032834000001</v>
      </c>
      <c r="T88" s="19">
        <f t="shared" si="114"/>
        <v>1401.9805488</v>
      </c>
      <c r="U88" s="19">
        <f t="shared" si="115"/>
        <v>1447.9860434</v>
      </c>
      <c r="V88" s="19">
        <f t="shared" si="116"/>
        <v>1462.0016934</v>
      </c>
      <c r="W88" s="42">
        <f t="shared" si="87"/>
        <v>700.48663709999994</v>
      </c>
      <c r="Y88" s="42">
        <f t="shared" si="149"/>
        <v>719.5277317</v>
      </c>
      <c r="Z88" s="42">
        <f t="shared" si="150"/>
        <v>724.48313170000006</v>
      </c>
      <c r="AA88" s="42">
        <f t="shared" si="151"/>
        <v>740.45707170000003</v>
      </c>
      <c r="AB88" s="42">
        <f t="shared" si="152"/>
        <v>713.49215900000002</v>
      </c>
      <c r="AC88" s="42">
        <f t="shared" si="148"/>
        <v>721.47912900000006</v>
      </c>
    </row>
    <row r="89" spans="1:29" x14ac:dyDescent="0.25">
      <c r="A89" s="20" t="s">
        <v>97</v>
      </c>
      <c r="B89" s="17" t="str">
        <f>IF(ISNUMBER(SEARCH("[",A89)),IF(ISNUMBER(SEARCH("/",A89)),CONCATENATE(MID(A89,1,2)," ",(SUM(MID(A89,FIND("[",A89)+1,FIND(":",A89)-FIND("[",A89)-1),MID(A89,FIND("/",A89)+1,FIND(":",A89,FIND("/",A89))-FIND("/",A89)-1),MID(A89,FIND("[",A89,FIND("[",A89)+1)+1,(FIND(":",A89,FIND("[",A89))-FIND("[",A89)-1)),MID(A89,FIND("/",A89,FIND("/",A89)+1)+1,FIND(":",A89,FIND("/",A89,FIND("[",A89,FIND("[",A89)+1)+1))-FIND("/",A89,FIND("[",A89,FIND("[",A89)+1)+1)-1))),":",SUM(MID(A89,FIND(":",A89)+1,FIND("/",A89)-FIND(":",A89)-1),MID(A89,FIND(":",A89,FIND("/",A89))+1,FIND("]",A89)-FIND(":",A89,FIND("/",A89))-1),MID(A89,FIND(":",A89,FIND("[",A89,FIND("[",A89)+1))+1,(FIND("/",A89,FIND("[",A89,FIND("[",A89)+1)+1)-FIND(":",A89,FIND("[",A89,FIND("[",A89)+1))-1)),MID(A89,FIND(":",A89,FIND("/",A89,FIND("]",A89)+1))+1,(FIND("]",A89,FIND("[",A89,FIND("[",A89)+1)+1)-FIND(":",A89,FIND("/",A89,FIND("]",A89)+1))-1))),MID(A89,(FIND(")",A89)+1),100)),CONCATENATE(MID(A89,1,2)," ",(SUM(MID(A89,FIND("[",A89)+1,FIND(":",A89)-FIND("[",A89)-1),MID(A89,FIND("_",A89)+1,FIND(":",A89,FIND("_",A89))-FIND("_",A89)-1),MID(A89,FIND("[",A89,FIND("[",A89)+1)+1,(FIND(":",A89,FIND("[",A89))-FIND("[",A89)-1)),MID(A89,FIND("_",A89,FIND("_",A89)+1)+1,FIND(":",A89,FIND("_",A89,FIND("[",A89,FIND("[",A89)+1)+1))-FIND("_",A89,FIND("[",A89,FIND("[",A89)+1)+1)-1))),":",SUM(MID(A89,FIND(":",A89)+1,FIND("_",A89)-FIND(":",A89)-1),MID(A89,FIND(":",A89,FIND("_",A89))+1,FIND("]",A89)-FIND(":",A89,FIND("_",A89))-1),MID(A89,FIND(":",A89,FIND("[",A89,FIND("[",A89)+1))+1,(FIND("_",A89,FIND("[",A89,FIND("[",A89)+1)+1)-FIND(":",A89,FIND("[",A89,FIND("[",A89)+1))-1)),MID(A89,FIND(":",A89,FIND("_",A89,FIND("]",A89)+1))+1,(FIND("]",A89,FIND("[",A89,FIND("[",A89)+1)+1)-FIND(":",A89,FIND("_",A89,FIND("]",A89)+1))-1))),MID(A89,(FIND(")",A89)+1),100))),A89)</f>
        <v>CL 68:2</v>
      </c>
      <c r="C89" s="1" t="str">
        <f>MID(B89,4,FIND(":",B89)-FIND(" ",B89)-1)</f>
        <v>68</v>
      </c>
      <c r="D89" s="1" t="str">
        <f>IF(ISNUMBER(SEARCH("__",B89)),MID(B89,FIND(":",B89)+1,FIND("__",B89)-FIND(":",B89)-1),MID(B89,FIND(":",B89)+1,7))</f>
        <v>2</v>
      </c>
      <c r="E89" s="17">
        <f t="shared" si="103"/>
        <v>77</v>
      </c>
      <c r="F89" s="17">
        <f t="shared" si="104"/>
        <v>146</v>
      </c>
      <c r="G89" s="17">
        <v>0</v>
      </c>
      <c r="H89" s="17">
        <f t="shared" si="105"/>
        <v>17</v>
      </c>
      <c r="I89" s="17">
        <v>2</v>
      </c>
      <c r="L89" s="19" t="str">
        <f t="shared" si="106"/>
        <v>C77H146O17P2</v>
      </c>
      <c r="M89" s="19">
        <f t="shared" si="107"/>
        <v>1405.0034725999999</v>
      </c>
      <c r="N89" s="19">
        <f t="shared" si="108"/>
        <v>1406.0107472</v>
      </c>
      <c r="O89" s="42">
        <f t="shared" si="109"/>
        <v>1387.9996272000001</v>
      </c>
      <c r="P89" s="42">
        <f t="shared" si="110"/>
        <v>1423.0372926</v>
      </c>
      <c r="Q89" s="42">
        <f t="shared" si="111"/>
        <v>1427.9926925999998</v>
      </c>
      <c r="R89" s="42">
        <f t="shared" si="112"/>
        <v>1443.9666325999999</v>
      </c>
      <c r="S89" s="42">
        <f t="shared" si="113"/>
        <v>1412.0189326</v>
      </c>
      <c r="T89" s="19">
        <f t="shared" si="114"/>
        <v>1403.9961979999998</v>
      </c>
      <c r="U89" s="19">
        <f t="shared" si="115"/>
        <v>1450.0016925999998</v>
      </c>
      <c r="V89" s="19">
        <f t="shared" si="116"/>
        <v>1464.0173425999999</v>
      </c>
      <c r="W89" s="42">
        <f t="shared" si="87"/>
        <v>701.49446169999987</v>
      </c>
      <c r="Y89" s="42">
        <f t="shared" si="149"/>
        <v>720.53555629999994</v>
      </c>
      <c r="Z89" s="42">
        <f t="shared" si="150"/>
        <v>725.49095629999999</v>
      </c>
      <c r="AA89" s="42">
        <f t="shared" si="151"/>
        <v>741.46489629999996</v>
      </c>
      <c r="AB89" s="42">
        <f t="shared" si="152"/>
        <v>714.49998359999995</v>
      </c>
      <c r="AC89" s="42">
        <f t="shared" si="148"/>
        <v>722.48695359999999</v>
      </c>
    </row>
    <row r="90" spans="1:29" x14ac:dyDescent="0.25">
      <c r="A90" s="20" t="s">
        <v>185</v>
      </c>
      <c r="B90" s="17" t="str">
        <f>IF(ISNUMBER(SEARCH("[",A90)),IF(ISNUMBER(SEARCH("/",A90)),CONCATENATE(MID(A90,1,2)," ",(SUM(MID(A90,FIND("[",A90)+1,FIND(":",A90)-FIND("[",A90)-1),MID(A90,FIND("/",A90)+1,FIND(":",A90,FIND("/",A90))-FIND("/",A90)-1),MID(A90,FIND("[",A90,FIND("[",A90)+1)+1,(FIND(":",A90,FIND("[",A90))-FIND("[",A90)-1)),MID(A90,FIND("/",A90,FIND("/",A90)+1)+1,FIND(":",A90,FIND("/",A90,FIND("[",A90,FIND("[",A90)+1)+1))-FIND("/",A90,FIND("[",A90,FIND("[",A90)+1)+1)-1))),":",SUM(MID(A90,FIND(":",A90)+1,FIND("/",A90)-FIND(":",A90)-1),MID(A90,FIND(":",A90,FIND("/",A90))+1,FIND("]",A90)-FIND(":",A90,FIND("/",A90))-1),MID(A90,FIND(":",A90,FIND("[",A90,FIND("[",A90)+1))+1,(FIND("/",A90,FIND("[",A90,FIND("[",A90)+1)+1)-FIND(":",A90,FIND("[",A90,FIND("[",A90)+1))-1)),MID(A90,FIND(":",A90,FIND("/",A90,FIND("]",A90)+1))+1,(FIND("]",A90,FIND("[",A90,FIND("[",A90)+1)+1)-FIND(":",A90,FIND("/",A90,FIND("]",A90)+1))-1))),MID(A90,(FIND(")",A90)+1),100)),CONCATENATE(MID(A90,1,2)," ",(SUM(MID(A90,FIND("[",A90)+1,FIND(":",A90)-FIND("[",A90)-1),MID(A90,FIND("_",A90)+1,FIND(":",A90,FIND("_",A90))-FIND("_",A90)-1),MID(A90,FIND("[",A90,FIND("[",A90)+1)+1,(FIND(":",A90,FIND("[",A90))-FIND("[",A90)-1)),MID(A90,FIND("_",A90,FIND("_",A90)+1)+1,FIND(":",A90,FIND("_",A90,FIND("[",A90,FIND("[",A90)+1)+1))-FIND("_",A90,FIND("[",A90,FIND("[",A90)+1)+1)-1))),":",SUM(MID(A90,FIND(":",A90)+1,FIND("_",A90)-FIND(":",A90)-1),MID(A90,FIND(":",A90,FIND("_",A90))+1,FIND("]",A90)-FIND(":",A90,FIND("_",A90))-1),MID(A90,FIND(":",A90,FIND("[",A90,FIND("[",A90)+1))+1,(FIND("_",A90,FIND("[",A90,FIND("[",A90)+1)+1)-FIND(":",A90,FIND("[",A90,FIND("[",A90)+1))-1)),MID(A90,FIND(":",A90,FIND("_",A90,FIND("]",A90)+1))+1,(FIND("]",A90,FIND("[",A90,FIND("[",A90)+1)+1)-FIND(":",A90,FIND("_",A90,FIND("]",A90)+1))-1))),MID(A90,(FIND(")",A90)+1),100))),A90)</f>
        <v>CL 68:1</v>
      </c>
      <c r="C90" s="1" t="str">
        <f>MID(B90,4,FIND(":",B90)-FIND(" ",B90)-1)</f>
        <v>68</v>
      </c>
      <c r="D90" s="1" t="str">
        <f>IF(ISNUMBER(SEARCH("__",B90)),MID(B90,FIND(":",B90)+1,FIND("__",B90)-FIND(":",B90)-1),MID(B90,FIND(":",B90)+1,7))</f>
        <v>1</v>
      </c>
      <c r="E90" s="17">
        <f t="shared" si="103"/>
        <v>77</v>
      </c>
      <c r="F90" s="17">
        <f t="shared" si="104"/>
        <v>148</v>
      </c>
      <c r="G90" s="17">
        <v>0</v>
      </c>
      <c r="H90" s="17">
        <f t="shared" si="105"/>
        <v>17</v>
      </c>
      <c r="I90" s="17">
        <v>2</v>
      </c>
      <c r="L90" s="19" t="str">
        <f t="shared" si="106"/>
        <v>C77H148O17P2</v>
      </c>
      <c r="M90" s="19">
        <f t="shared" si="107"/>
        <v>1407.0191218</v>
      </c>
      <c r="N90" s="19">
        <f t="shared" si="108"/>
        <v>1408.0263964000001</v>
      </c>
      <c r="O90" s="42">
        <f t="shared" si="109"/>
        <v>1390.0152764000002</v>
      </c>
      <c r="P90" s="42">
        <f t="shared" si="110"/>
        <v>1425.0529418000001</v>
      </c>
      <c r="Q90" s="42">
        <f t="shared" si="111"/>
        <v>1430.0083417999999</v>
      </c>
      <c r="R90" s="42">
        <f t="shared" si="112"/>
        <v>1445.9822818</v>
      </c>
      <c r="S90" s="42">
        <f t="shared" si="113"/>
        <v>1414.0345818000001</v>
      </c>
      <c r="T90" s="19">
        <f t="shared" si="114"/>
        <v>1406.0118471999999</v>
      </c>
      <c r="U90" s="19">
        <f t="shared" si="115"/>
        <v>1452.0173417999999</v>
      </c>
      <c r="V90" s="19">
        <f t="shared" si="116"/>
        <v>1466.0329918</v>
      </c>
      <c r="W90" s="42">
        <f t="shared" si="87"/>
        <v>702.50228629999992</v>
      </c>
      <c r="Y90" s="42">
        <f t="shared" si="149"/>
        <v>721.54338089999999</v>
      </c>
      <c r="Z90" s="42">
        <f t="shared" si="150"/>
        <v>726.49878090000004</v>
      </c>
      <c r="AA90" s="42">
        <f t="shared" si="151"/>
        <v>742.47272090000001</v>
      </c>
      <c r="AB90" s="42">
        <f t="shared" si="152"/>
        <v>715.5078082</v>
      </c>
      <c r="AC90" s="42">
        <f>($M90+1.0078246+38.96371-(2*0.00055))/2</f>
        <v>723.49477820000004</v>
      </c>
    </row>
    <row r="91" spans="1:29" x14ac:dyDescent="0.25">
      <c r="A91" s="20" t="s">
        <v>158</v>
      </c>
      <c r="B91" s="17" t="str">
        <f t="shared" si="100"/>
        <v>CL 68:0</v>
      </c>
      <c r="C91" s="1" t="str">
        <f t="shared" si="101"/>
        <v>68</v>
      </c>
      <c r="D91" s="1" t="str">
        <f t="shared" si="102"/>
        <v>0</v>
      </c>
      <c r="E91" s="17">
        <f t="shared" si="103"/>
        <v>77</v>
      </c>
      <c r="F91" s="17">
        <f t="shared" si="104"/>
        <v>150</v>
      </c>
      <c r="G91" s="17">
        <v>0</v>
      </c>
      <c r="H91" s="17">
        <f t="shared" si="105"/>
        <v>17</v>
      </c>
      <c r="I91" s="17">
        <v>2</v>
      </c>
      <c r="L91" s="19" t="str">
        <f t="shared" si="106"/>
        <v>C77H150O17P2</v>
      </c>
      <c r="M91" s="19">
        <f t="shared" si="107"/>
        <v>1409.0347710000001</v>
      </c>
      <c r="N91" s="19">
        <f t="shared" si="108"/>
        <v>1410.0420456000002</v>
      </c>
      <c r="O91" s="42">
        <f t="shared" si="109"/>
        <v>1392.0309256000003</v>
      </c>
      <c r="P91" s="42">
        <f t="shared" si="110"/>
        <v>1427.0685910000002</v>
      </c>
      <c r="Q91" s="42">
        <f t="shared" si="111"/>
        <v>1432.023991</v>
      </c>
      <c r="R91" s="42">
        <f t="shared" si="112"/>
        <v>1447.9979310000001</v>
      </c>
      <c r="S91" s="42">
        <f t="shared" si="113"/>
        <v>1416.0502310000002</v>
      </c>
      <c r="T91" s="19">
        <f t="shared" si="114"/>
        <v>1408.0274964</v>
      </c>
      <c r="U91" s="19">
        <f t="shared" si="115"/>
        <v>1454.032991</v>
      </c>
      <c r="V91" s="19">
        <f t="shared" si="116"/>
        <v>1468.0486410000001</v>
      </c>
      <c r="W91" s="42">
        <f t="shared" si="87"/>
        <v>703.51011089999997</v>
      </c>
      <c r="Y91" s="42">
        <f t="shared" si="149"/>
        <v>722.55120550000004</v>
      </c>
      <c r="Z91" s="42">
        <f t="shared" si="150"/>
        <v>727.50660550000009</v>
      </c>
      <c r="AA91" s="42">
        <f t="shared" si="151"/>
        <v>743.48054550000006</v>
      </c>
      <c r="AB91" s="42">
        <f t="shared" si="152"/>
        <v>716.51563280000005</v>
      </c>
      <c r="AC91" s="42">
        <f t="shared" ref="AC91:AC121" si="153">($M91+1.0078246+38.96371-(2*0.00055))/2</f>
        <v>724.50260280000009</v>
      </c>
    </row>
    <row r="92" spans="1:29" x14ac:dyDescent="0.25">
      <c r="A92" s="20" t="s">
        <v>622</v>
      </c>
      <c r="B92" s="17" t="str">
        <f t="shared" si="100"/>
        <v>CL 69:6</v>
      </c>
      <c r="C92" s="1" t="str">
        <f t="shared" si="101"/>
        <v>69</v>
      </c>
      <c r="D92" s="1" t="str">
        <f t="shared" si="102"/>
        <v>6</v>
      </c>
      <c r="E92" s="17">
        <f t="shared" si="103"/>
        <v>78</v>
      </c>
      <c r="F92" s="17">
        <f t="shared" si="104"/>
        <v>140</v>
      </c>
      <c r="G92" s="17">
        <v>0</v>
      </c>
      <c r="H92" s="17">
        <f t="shared" si="105"/>
        <v>17</v>
      </c>
      <c r="I92" s="17">
        <v>2</v>
      </c>
      <c r="L92" s="19" t="str">
        <f t="shared" si="106"/>
        <v>C78H140O17P2</v>
      </c>
      <c r="M92" s="19">
        <f t="shared" si="107"/>
        <v>1410.9565250000001</v>
      </c>
      <c r="N92" s="19">
        <f t="shared" si="108"/>
        <v>1411.9637996000001</v>
      </c>
      <c r="O92" s="42">
        <f t="shared" si="109"/>
        <v>1393.9526796000002</v>
      </c>
      <c r="P92" s="42">
        <f t="shared" si="110"/>
        <v>1428.9903450000002</v>
      </c>
      <c r="Q92" s="42">
        <f t="shared" si="111"/>
        <v>1433.945745</v>
      </c>
      <c r="R92" s="42">
        <f t="shared" si="112"/>
        <v>1449.9196850000001</v>
      </c>
      <c r="S92" s="42">
        <f t="shared" si="113"/>
        <v>1417.9719850000001</v>
      </c>
      <c r="T92" s="19">
        <f t="shared" si="114"/>
        <v>1409.9492504</v>
      </c>
      <c r="U92" s="19">
        <f t="shared" si="115"/>
        <v>1455.954745</v>
      </c>
      <c r="V92" s="19">
        <f t="shared" si="116"/>
        <v>1469.9703950000001</v>
      </c>
      <c r="W92" s="42">
        <f t="shared" ref="W92" si="154">(T92-1.0078246+0.00055)/2</f>
        <v>704.47098789999995</v>
      </c>
      <c r="Y92" s="42">
        <f t="shared" si="149"/>
        <v>723.51208250000002</v>
      </c>
      <c r="Z92" s="42">
        <f t="shared" si="150"/>
        <v>728.46748250000007</v>
      </c>
      <c r="AA92" s="42">
        <f t="shared" si="151"/>
        <v>744.44142250000004</v>
      </c>
      <c r="AB92" s="42">
        <f t="shared" si="152"/>
        <v>717.47650980000003</v>
      </c>
      <c r="AC92" s="42">
        <f t="shared" si="153"/>
        <v>725.46347980000007</v>
      </c>
    </row>
    <row r="93" spans="1:29" x14ac:dyDescent="0.25">
      <c r="A93" s="20" t="s">
        <v>241</v>
      </c>
      <c r="B93" s="17" t="str">
        <f t="shared" si="100"/>
        <v>CL 69:5</v>
      </c>
      <c r="C93" s="1" t="str">
        <f t="shared" si="101"/>
        <v>69</v>
      </c>
      <c r="D93" s="1" t="str">
        <f t="shared" si="102"/>
        <v>5</v>
      </c>
      <c r="E93" s="17">
        <f t="shared" si="103"/>
        <v>78</v>
      </c>
      <c r="F93" s="17">
        <f t="shared" si="104"/>
        <v>142</v>
      </c>
      <c r="G93" s="17">
        <v>0</v>
      </c>
      <c r="H93" s="17">
        <f t="shared" si="105"/>
        <v>17</v>
      </c>
      <c r="I93" s="17">
        <v>2</v>
      </c>
      <c r="L93" s="19" t="str">
        <f t="shared" si="106"/>
        <v>C78H142O17P2</v>
      </c>
      <c r="M93" s="19">
        <f t="shared" si="107"/>
        <v>1412.9721741999999</v>
      </c>
      <c r="N93" s="19">
        <f t="shared" si="108"/>
        <v>1413.9794488</v>
      </c>
      <c r="O93" s="42">
        <f t="shared" si="109"/>
        <v>1395.9683288000001</v>
      </c>
      <c r="P93" s="42">
        <f t="shared" si="110"/>
        <v>1431.0059942</v>
      </c>
      <c r="Q93" s="42">
        <f t="shared" si="111"/>
        <v>1435.9613941999999</v>
      </c>
      <c r="R93" s="42">
        <f t="shared" si="112"/>
        <v>1451.9353341999999</v>
      </c>
      <c r="S93" s="42">
        <f t="shared" si="113"/>
        <v>1419.9876342</v>
      </c>
      <c r="T93" s="19">
        <f t="shared" si="114"/>
        <v>1411.9648995999999</v>
      </c>
      <c r="U93" s="19">
        <f t="shared" si="115"/>
        <v>1457.9703941999999</v>
      </c>
      <c r="V93" s="19">
        <f t="shared" si="116"/>
        <v>1471.9860441999999</v>
      </c>
      <c r="W93" s="42">
        <f t="shared" si="87"/>
        <v>705.47881249999989</v>
      </c>
      <c r="Y93" s="42">
        <f t="shared" si="149"/>
        <v>724.51990709999995</v>
      </c>
      <c r="Z93" s="42">
        <f t="shared" si="150"/>
        <v>729.47530710000001</v>
      </c>
      <c r="AA93" s="42">
        <f t="shared" si="151"/>
        <v>745.44924709999998</v>
      </c>
      <c r="AB93" s="42">
        <f t="shared" si="152"/>
        <v>718.48433439999997</v>
      </c>
      <c r="AC93" s="42">
        <f t="shared" si="153"/>
        <v>726.47130440000001</v>
      </c>
    </row>
    <row r="94" spans="1:29" x14ac:dyDescent="0.25">
      <c r="A94" s="20" t="s">
        <v>227</v>
      </c>
      <c r="B94" s="17" t="str">
        <f t="shared" si="100"/>
        <v>CL 69:4</v>
      </c>
      <c r="C94" s="1" t="str">
        <f t="shared" si="101"/>
        <v>69</v>
      </c>
      <c r="D94" s="1" t="str">
        <f t="shared" si="102"/>
        <v>4</v>
      </c>
      <c r="E94" s="17">
        <f t="shared" si="103"/>
        <v>78</v>
      </c>
      <c r="F94" s="17">
        <f t="shared" si="104"/>
        <v>144</v>
      </c>
      <c r="G94" s="17">
        <v>0</v>
      </c>
      <c r="H94" s="17">
        <f t="shared" si="105"/>
        <v>17</v>
      </c>
      <c r="I94" s="17">
        <v>2</v>
      </c>
      <c r="L94" s="19" t="str">
        <f t="shared" si="106"/>
        <v>C78H144O17P2</v>
      </c>
      <c r="M94" s="19">
        <f t="shared" si="107"/>
        <v>1414.9878234</v>
      </c>
      <c r="N94" s="19">
        <f t="shared" si="108"/>
        <v>1415.9950980000001</v>
      </c>
      <c r="O94" s="42">
        <f t="shared" si="109"/>
        <v>1397.9839780000002</v>
      </c>
      <c r="P94" s="42">
        <f t="shared" si="110"/>
        <v>1433.0216434000001</v>
      </c>
      <c r="Q94" s="42">
        <f t="shared" si="111"/>
        <v>1437.9770434</v>
      </c>
      <c r="R94" s="42">
        <f t="shared" si="112"/>
        <v>1453.9509834</v>
      </c>
      <c r="S94" s="42">
        <f t="shared" si="113"/>
        <v>1422.0032834000001</v>
      </c>
      <c r="T94" s="19">
        <f t="shared" si="114"/>
        <v>1413.9805488</v>
      </c>
      <c r="U94" s="19">
        <f t="shared" si="115"/>
        <v>1459.9860434</v>
      </c>
      <c r="V94" s="19">
        <f t="shared" si="116"/>
        <v>1474.0016934</v>
      </c>
      <c r="W94" s="42">
        <f t="shared" si="87"/>
        <v>706.48663709999994</v>
      </c>
      <c r="Y94" s="42">
        <f t="shared" si="149"/>
        <v>725.5277317</v>
      </c>
      <c r="Z94" s="42">
        <f t="shared" si="150"/>
        <v>730.48313170000006</v>
      </c>
      <c r="AA94" s="42">
        <f t="shared" si="151"/>
        <v>746.45707170000003</v>
      </c>
      <c r="AB94" s="42">
        <f t="shared" si="152"/>
        <v>719.49215900000002</v>
      </c>
      <c r="AC94" s="42">
        <f t="shared" si="153"/>
        <v>727.47912900000006</v>
      </c>
    </row>
    <row r="95" spans="1:29" x14ac:dyDescent="0.25">
      <c r="A95" s="20" t="s">
        <v>221</v>
      </c>
      <c r="B95" s="17" t="str">
        <f t="shared" si="100"/>
        <v>CL 69:3</v>
      </c>
      <c r="C95" s="1" t="str">
        <f t="shared" si="101"/>
        <v>69</v>
      </c>
      <c r="D95" s="1" t="str">
        <f t="shared" si="102"/>
        <v>3</v>
      </c>
      <c r="E95" s="17">
        <f t="shared" si="103"/>
        <v>78</v>
      </c>
      <c r="F95" s="17">
        <f t="shared" si="104"/>
        <v>146</v>
      </c>
      <c r="G95" s="17">
        <v>0</v>
      </c>
      <c r="H95" s="17">
        <f t="shared" si="105"/>
        <v>17</v>
      </c>
      <c r="I95" s="17">
        <v>2</v>
      </c>
      <c r="L95" s="19" t="str">
        <f t="shared" si="106"/>
        <v>C78H146O17P2</v>
      </c>
      <c r="M95" s="19">
        <f t="shared" si="107"/>
        <v>1417.0034725999999</v>
      </c>
      <c r="N95" s="19">
        <f t="shared" si="108"/>
        <v>1418.0107472</v>
      </c>
      <c r="O95" s="42">
        <f t="shared" si="109"/>
        <v>1399.9996272000001</v>
      </c>
      <c r="P95" s="42">
        <f t="shared" si="110"/>
        <v>1435.0372926</v>
      </c>
      <c r="Q95" s="42">
        <f t="shared" si="111"/>
        <v>1439.9926925999998</v>
      </c>
      <c r="R95" s="42">
        <f t="shared" si="112"/>
        <v>1455.9666325999999</v>
      </c>
      <c r="S95" s="42">
        <f t="shared" si="113"/>
        <v>1424.0189326</v>
      </c>
      <c r="T95" s="19">
        <f t="shared" si="114"/>
        <v>1415.9961979999998</v>
      </c>
      <c r="U95" s="19">
        <f t="shared" si="115"/>
        <v>1462.0016925999998</v>
      </c>
      <c r="V95" s="19">
        <f t="shared" si="116"/>
        <v>1476.0173425999999</v>
      </c>
      <c r="W95" s="42">
        <f t="shared" si="87"/>
        <v>707.49446169999987</v>
      </c>
      <c r="Y95" s="42">
        <f t="shared" si="149"/>
        <v>726.53555629999994</v>
      </c>
      <c r="Z95" s="42">
        <f t="shared" si="150"/>
        <v>731.49095629999999</v>
      </c>
      <c r="AA95" s="42">
        <f t="shared" si="151"/>
        <v>747.46489629999996</v>
      </c>
      <c r="AB95" s="42">
        <f t="shared" si="152"/>
        <v>720.49998359999995</v>
      </c>
      <c r="AC95" s="42">
        <f t="shared" si="153"/>
        <v>728.48695359999999</v>
      </c>
    </row>
    <row r="96" spans="1:29" x14ac:dyDescent="0.25">
      <c r="A96" s="20" t="s">
        <v>200</v>
      </c>
      <c r="B96" s="17" t="str">
        <f>IF(ISNUMBER(SEARCH("[",A96)),IF(ISNUMBER(SEARCH("/",A96)),CONCATENATE(MID(A96,1,2)," ",(SUM(MID(A96,FIND("[",A96)+1,FIND(":",A96)-FIND("[",A96)-1),MID(A96,FIND("/",A96)+1,FIND(":",A96,FIND("/",A96))-FIND("/",A96)-1),MID(A96,FIND("[",A96,FIND("[",A96)+1)+1,(FIND(":",A96,FIND("[",A96))-FIND("[",A96)-1)),MID(A96,FIND("/",A96,FIND("/",A96)+1)+1,FIND(":",A96,FIND("/",A96,FIND("[",A96,FIND("[",A96)+1)+1))-FIND("/",A96,FIND("[",A96,FIND("[",A96)+1)+1)-1))),":",SUM(MID(A96,FIND(":",A96)+1,FIND("/",A96)-FIND(":",A96)-1),MID(A96,FIND(":",A96,FIND("/",A96))+1,FIND("]",A96)-FIND(":",A96,FIND("/",A96))-1),MID(A96,FIND(":",A96,FIND("[",A96,FIND("[",A96)+1))+1,(FIND("/",A96,FIND("[",A96,FIND("[",A96)+1)+1)-FIND(":",A96,FIND("[",A96,FIND("[",A96)+1))-1)),MID(A96,FIND(":",A96,FIND("/",A96,FIND("]",A96)+1))+1,(FIND("]",A96,FIND("[",A96,FIND("[",A96)+1)+1)-FIND(":",A96,FIND("/",A96,FIND("]",A96)+1))-1))),MID(A96,(FIND(")",A96)+1),100)),CONCATENATE(MID(A96,1,2)," ",(SUM(MID(A96,FIND("[",A96)+1,FIND(":",A96)-FIND("[",A96)-1),MID(A96,FIND("_",A96)+1,FIND(":",A96,FIND("_",A96))-FIND("_",A96)-1),MID(A96,FIND("[",A96,FIND("[",A96)+1)+1,(FIND(":",A96,FIND("[",A96))-FIND("[",A96)-1)),MID(A96,FIND("_",A96,FIND("_",A96)+1)+1,FIND(":",A96,FIND("_",A96,FIND("[",A96,FIND("[",A96)+1)+1))-FIND("_",A96,FIND("[",A96,FIND("[",A96)+1)+1)-1))),":",SUM(MID(A96,FIND(":",A96)+1,FIND("_",A96)-FIND(":",A96)-1),MID(A96,FIND(":",A96,FIND("_",A96))+1,FIND("]",A96)-FIND(":",A96,FIND("_",A96))-1),MID(A96,FIND(":",A96,FIND("[",A96,FIND("[",A96)+1))+1,(FIND("_",A96,FIND("[",A96,FIND("[",A96)+1)+1)-FIND(":",A96,FIND("[",A96,FIND("[",A96)+1))-1)),MID(A96,FIND(":",A96,FIND("_",A96,FIND("]",A96)+1))+1,(FIND("]",A96,FIND("[",A96,FIND("[",A96)+1)+1)-FIND(":",A96,FIND("_",A96,FIND("]",A96)+1))-1))),MID(A96,(FIND(")",A96)+1),100))),A96)</f>
        <v>CL 69:2</v>
      </c>
      <c r="C96" s="1" t="str">
        <f>MID(B96,4,FIND(":",B96)-FIND(" ",B96)-1)</f>
        <v>69</v>
      </c>
      <c r="D96" s="1" t="str">
        <f>IF(ISNUMBER(SEARCH("__",B96)),MID(B96,FIND(":",B96)+1,FIND("__",B96)-FIND(":",B96)-1),MID(B96,FIND(":",B96)+1,7))</f>
        <v>2</v>
      </c>
      <c r="E96" s="17">
        <f t="shared" si="103"/>
        <v>78</v>
      </c>
      <c r="F96" s="17">
        <f t="shared" si="104"/>
        <v>148</v>
      </c>
      <c r="G96" s="17">
        <v>0</v>
      </c>
      <c r="H96" s="17">
        <f t="shared" si="105"/>
        <v>17</v>
      </c>
      <c r="I96" s="17">
        <v>2</v>
      </c>
      <c r="L96" s="19" t="str">
        <f t="shared" si="106"/>
        <v>C78H148O17P2</v>
      </c>
      <c r="M96" s="19">
        <f t="shared" si="107"/>
        <v>1419.0191218</v>
      </c>
      <c r="N96" s="19">
        <f t="shared" si="108"/>
        <v>1420.0263964000001</v>
      </c>
      <c r="O96" s="42">
        <f t="shared" si="109"/>
        <v>1402.0152764000002</v>
      </c>
      <c r="P96" s="42">
        <f t="shared" si="110"/>
        <v>1437.0529418000001</v>
      </c>
      <c r="Q96" s="42">
        <f t="shared" si="111"/>
        <v>1442.0083417999999</v>
      </c>
      <c r="R96" s="42">
        <f t="shared" si="112"/>
        <v>1457.9822818</v>
      </c>
      <c r="S96" s="42">
        <f t="shared" si="113"/>
        <v>1426.0345818000001</v>
      </c>
      <c r="T96" s="19">
        <f t="shared" si="114"/>
        <v>1418.0118471999999</v>
      </c>
      <c r="U96" s="19">
        <f t="shared" si="115"/>
        <v>1464.0173417999999</v>
      </c>
      <c r="V96" s="19">
        <f t="shared" si="116"/>
        <v>1478.0329918</v>
      </c>
      <c r="W96" s="42">
        <f t="shared" si="87"/>
        <v>708.50228629999992</v>
      </c>
      <c r="Y96" s="42">
        <f t="shared" si="149"/>
        <v>727.54338089999999</v>
      </c>
      <c r="Z96" s="42">
        <f t="shared" si="150"/>
        <v>732.49878090000004</v>
      </c>
      <c r="AA96" s="42">
        <f t="shared" si="151"/>
        <v>748.47272090000001</v>
      </c>
      <c r="AB96" s="42">
        <f t="shared" si="152"/>
        <v>721.5078082</v>
      </c>
      <c r="AC96" s="42">
        <f t="shared" si="153"/>
        <v>729.49477820000004</v>
      </c>
    </row>
    <row r="97" spans="1:29" x14ac:dyDescent="0.25">
      <c r="A97" s="20" t="s">
        <v>186</v>
      </c>
      <c r="B97" s="17" t="str">
        <f>IF(ISNUMBER(SEARCH("[",A97)),IF(ISNUMBER(SEARCH("/",A97)),CONCATENATE(MID(A97,1,2)," ",(SUM(MID(A97,FIND("[",A97)+1,FIND(":",A97)-FIND("[",A97)-1),MID(A97,FIND("/",A97)+1,FIND(":",A97,FIND("/",A97))-FIND("/",A97)-1),MID(A97,FIND("[",A97,FIND("[",A97)+1)+1,(FIND(":",A97,FIND("[",A97))-FIND("[",A97)-1)),MID(A97,FIND("/",A97,FIND("/",A97)+1)+1,FIND(":",A97,FIND("/",A97,FIND("[",A97,FIND("[",A97)+1)+1))-FIND("/",A97,FIND("[",A97,FIND("[",A97)+1)+1)-1))),":",SUM(MID(A97,FIND(":",A97)+1,FIND("/",A97)-FIND(":",A97)-1),MID(A97,FIND(":",A97,FIND("/",A97))+1,FIND("]",A97)-FIND(":",A97,FIND("/",A97))-1),MID(A97,FIND(":",A97,FIND("[",A97,FIND("[",A97)+1))+1,(FIND("/",A97,FIND("[",A97,FIND("[",A97)+1)+1)-FIND(":",A97,FIND("[",A97,FIND("[",A97)+1))-1)),MID(A97,FIND(":",A97,FIND("/",A97,FIND("]",A97)+1))+1,(FIND("]",A97,FIND("[",A97,FIND("[",A97)+1)+1)-FIND(":",A97,FIND("/",A97,FIND("]",A97)+1))-1))),MID(A97,(FIND(")",A97)+1),100)),CONCATENATE(MID(A97,1,2)," ",(SUM(MID(A97,FIND("[",A97)+1,FIND(":",A97)-FIND("[",A97)-1),MID(A97,FIND("_",A97)+1,FIND(":",A97,FIND("_",A97))-FIND("_",A97)-1),MID(A97,FIND("[",A97,FIND("[",A97)+1)+1,(FIND(":",A97,FIND("[",A97))-FIND("[",A97)-1)),MID(A97,FIND("_",A97,FIND("_",A97)+1)+1,FIND(":",A97,FIND("_",A97,FIND("[",A97,FIND("[",A97)+1)+1))-FIND("_",A97,FIND("[",A97,FIND("[",A97)+1)+1)-1))),":",SUM(MID(A97,FIND(":",A97)+1,FIND("_",A97)-FIND(":",A97)-1),MID(A97,FIND(":",A97,FIND("_",A97))+1,FIND("]",A97)-FIND(":",A97,FIND("_",A97))-1),MID(A97,FIND(":",A97,FIND("[",A97,FIND("[",A97)+1))+1,(FIND("_",A97,FIND("[",A97,FIND("[",A97)+1)+1)-FIND(":",A97,FIND("[",A97,FIND("[",A97)+1))-1)),MID(A97,FIND(":",A97,FIND("_",A97,FIND("]",A97)+1))+1,(FIND("]",A97,FIND("[",A97,FIND("[",A97)+1)+1)-FIND(":",A97,FIND("_",A97,FIND("]",A97)+1))-1))),MID(A97,(FIND(")",A97)+1),100))),A97)</f>
        <v>CL 69:1</v>
      </c>
      <c r="C97" s="1" t="str">
        <f>MID(B97,4,FIND(":",B97)-FIND(" ",B97)-1)</f>
        <v>69</v>
      </c>
      <c r="D97" s="1" t="str">
        <f>IF(ISNUMBER(SEARCH("__",B97)),MID(B97,FIND(":",B97)+1,FIND("__",B97)-FIND(":",B97)-1),MID(B97,FIND(":",B97)+1,7))</f>
        <v>1</v>
      </c>
      <c r="E97" s="17">
        <f t="shared" si="103"/>
        <v>78</v>
      </c>
      <c r="F97" s="17">
        <f t="shared" si="104"/>
        <v>150</v>
      </c>
      <c r="G97" s="17">
        <v>0</v>
      </c>
      <c r="H97" s="17">
        <f t="shared" si="105"/>
        <v>17</v>
      </c>
      <c r="I97" s="17">
        <v>2</v>
      </c>
      <c r="L97" s="19" t="str">
        <f t="shared" si="106"/>
        <v>C78H150O17P2</v>
      </c>
      <c r="M97" s="19">
        <f t="shared" si="107"/>
        <v>1421.0347710000001</v>
      </c>
      <c r="N97" s="19">
        <f t="shared" si="108"/>
        <v>1422.0420456000002</v>
      </c>
      <c r="O97" s="42">
        <f t="shared" si="109"/>
        <v>1404.0309256000003</v>
      </c>
      <c r="P97" s="42">
        <f t="shared" si="110"/>
        <v>1439.0685910000002</v>
      </c>
      <c r="Q97" s="42">
        <f t="shared" si="111"/>
        <v>1444.023991</v>
      </c>
      <c r="R97" s="42">
        <f t="shared" si="112"/>
        <v>1459.9979310000001</v>
      </c>
      <c r="S97" s="42">
        <f t="shared" si="113"/>
        <v>1428.0502310000002</v>
      </c>
      <c r="T97" s="19">
        <f t="shared" si="114"/>
        <v>1420.0274964</v>
      </c>
      <c r="U97" s="19">
        <f t="shared" si="115"/>
        <v>1466.032991</v>
      </c>
      <c r="V97" s="19">
        <f t="shared" si="116"/>
        <v>1480.0486410000001</v>
      </c>
      <c r="W97" s="42">
        <f t="shared" si="87"/>
        <v>709.51011089999997</v>
      </c>
      <c r="Y97" s="42">
        <f t="shared" si="149"/>
        <v>728.55120550000004</v>
      </c>
      <c r="Z97" s="42">
        <f t="shared" si="150"/>
        <v>733.50660550000009</v>
      </c>
      <c r="AA97" s="42">
        <f t="shared" si="151"/>
        <v>749.48054550000006</v>
      </c>
      <c r="AB97" s="42">
        <f t="shared" si="152"/>
        <v>722.51563280000005</v>
      </c>
      <c r="AC97" s="42">
        <f t="shared" si="153"/>
        <v>730.50260280000009</v>
      </c>
    </row>
    <row r="98" spans="1:29" x14ac:dyDescent="0.25">
      <c r="A98" s="20" t="s">
        <v>159</v>
      </c>
      <c r="B98" s="17" t="str">
        <f t="shared" si="100"/>
        <v>CL 69:0</v>
      </c>
      <c r="C98" s="1" t="str">
        <f t="shared" si="101"/>
        <v>69</v>
      </c>
      <c r="D98" s="1" t="str">
        <f t="shared" si="102"/>
        <v>0</v>
      </c>
      <c r="E98" s="17">
        <f t="shared" si="103"/>
        <v>78</v>
      </c>
      <c r="F98" s="17">
        <f t="shared" si="104"/>
        <v>152</v>
      </c>
      <c r="G98" s="17">
        <v>0</v>
      </c>
      <c r="H98" s="17">
        <f t="shared" si="105"/>
        <v>17</v>
      </c>
      <c r="I98" s="17">
        <v>2</v>
      </c>
      <c r="L98" s="19" t="str">
        <f t="shared" si="106"/>
        <v>C78H152O17P2</v>
      </c>
      <c r="M98" s="19">
        <f t="shared" si="107"/>
        <v>1423.0504202</v>
      </c>
      <c r="N98" s="19">
        <f t="shared" si="108"/>
        <v>1424.0576948</v>
      </c>
      <c r="O98" s="42">
        <f t="shared" si="109"/>
        <v>1406.0465748000001</v>
      </c>
      <c r="P98" s="42">
        <f t="shared" si="110"/>
        <v>1441.0842402000001</v>
      </c>
      <c r="Q98" s="42">
        <f t="shared" si="111"/>
        <v>1446.0396401999999</v>
      </c>
      <c r="R98" s="42">
        <f t="shared" si="112"/>
        <v>1462.0135802</v>
      </c>
      <c r="S98" s="42">
        <f t="shared" si="113"/>
        <v>1430.0658802</v>
      </c>
      <c r="T98" s="19">
        <f t="shared" si="114"/>
        <v>1422.0431455999999</v>
      </c>
      <c r="U98" s="19">
        <f t="shared" si="115"/>
        <v>1468.0486401999999</v>
      </c>
      <c r="V98" s="19">
        <f t="shared" si="116"/>
        <v>1482.0642902</v>
      </c>
      <c r="W98" s="42">
        <f t="shared" si="87"/>
        <v>710.51793549999991</v>
      </c>
      <c r="Y98" s="42">
        <f t="shared" si="149"/>
        <v>729.55903009999997</v>
      </c>
      <c r="Z98" s="42">
        <f t="shared" si="150"/>
        <v>734.51443010000003</v>
      </c>
      <c r="AA98" s="42">
        <f t="shared" si="151"/>
        <v>750.4883701</v>
      </c>
      <c r="AB98" s="42">
        <f t="shared" si="152"/>
        <v>723.52345739999998</v>
      </c>
      <c r="AC98" s="42">
        <f t="shared" si="153"/>
        <v>731.51042740000003</v>
      </c>
    </row>
    <row r="99" spans="1:29" x14ac:dyDescent="0.25">
      <c r="A99" s="20" t="s">
        <v>244</v>
      </c>
      <c r="B99" s="17" t="str">
        <f t="shared" si="100"/>
        <v>CL 70:5</v>
      </c>
      <c r="C99" s="1" t="str">
        <f t="shared" si="101"/>
        <v>70</v>
      </c>
      <c r="D99" s="1" t="str">
        <f t="shared" si="102"/>
        <v>5</v>
      </c>
      <c r="E99" s="17">
        <f t="shared" si="103"/>
        <v>79</v>
      </c>
      <c r="F99" s="17">
        <f t="shared" si="104"/>
        <v>144</v>
      </c>
      <c r="G99" s="17">
        <v>0</v>
      </c>
      <c r="H99" s="17">
        <f t="shared" si="105"/>
        <v>17</v>
      </c>
      <c r="I99" s="17">
        <v>2</v>
      </c>
      <c r="L99" s="19" t="str">
        <f t="shared" si="106"/>
        <v>C79H144O17P2</v>
      </c>
      <c r="M99" s="19">
        <f t="shared" si="107"/>
        <v>1426.9878234</v>
      </c>
      <c r="N99" s="19">
        <f t="shared" si="108"/>
        <v>1427.9950980000001</v>
      </c>
      <c r="O99" s="42">
        <f t="shared" si="109"/>
        <v>1409.9839780000002</v>
      </c>
      <c r="P99" s="42">
        <f t="shared" si="110"/>
        <v>1445.0216434000001</v>
      </c>
      <c r="Q99" s="42">
        <f t="shared" si="111"/>
        <v>1449.9770434</v>
      </c>
      <c r="R99" s="42">
        <f t="shared" si="112"/>
        <v>1465.9509834</v>
      </c>
      <c r="S99" s="42">
        <f t="shared" si="113"/>
        <v>1434.0032834000001</v>
      </c>
      <c r="T99" s="19">
        <f t="shared" si="114"/>
        <v>1425.9805488</v>
      </c>
      <c r="U99" s="19">
        <f t="shared" si="115"/>
        <v>1471.9860434</v>
      </c>
      <c r="V99" s="19">
        <f t="shared" si="116"/>
        <v>1486.0016934</v>
      </c>
      <c r="W99" s="42">
        <f t="shared" si="87"/>
        <v>712.48663709999994</v>
      </c>
      <c r="Y99" s="42">
        <f t="shared" si="149"/>
        <v>731.5277317</v>
      </c>
      <c r="Z99" s="42">
        <f t="shared" si="150"/>
        <v>736.48313170000006</v>
      </c>
      <c r="AA99" s="42">
        <f t="shared" si="151"/>
        <v>752.45707170000003</v>
      </c>
      <c r="AB99" s="42">
        <f t="shared" si="152"/>
        <v>725.49215900000002</v>
      </c>
      <c r="AC99" s="42">
        <f t="shared" si="153"/>
        <v>733.47912900000006</v>
      </c>
    </row>
    <row r="100" spans="1:29" x14ac:dyDescent="0.25">
      <c r="A100" s="20" t="s">
        <v>243</v>
      </c>
      <c r="B100" s="17" t="str">
        <f t="shared" si="100"/>
        <v>CL 70:4</v>
      </c>
      <c r="C100" s="1" t="str">
        <f t="shared" si="101"/>
        <v>70</v>
      </c>
      <c r="D100" s="1" t="str">
        <f t="shared" si="102"/>
        <v>4</v>
      </c>
      <c r="E100" s="17">
        <f t="shared" si="103"/>
        <v>79</v>
      </c>
      <c r="F100" s="17">
        <f t="shared" si="104"/>
        <v>146</v>
      </c>
      <c r="G100" s="17">
        <v>0</v>
      </c>
      <c r="H100" s="17">
        <f t="shared" si="105"/>
        <v>17</v>
      </c>
      <c r="I100" s="17">
        <v>2</v>
      </c>
      <c r="L100" s="19" t="str">
        <f t="shared" si="106"/>
        <v>C79H146O17P2</v>
      </c>
      <c r="M100" s="19">
        <f t="shared" si="107"/>
        <v>1429.0034725999999</v>
      </c>
      <c r="N100" s="19">
        <f t="shared" si="108"/>
        <v>1430.0107472</v>
      </c>
      <c r="O100" s="42">
        <f t="shared" si="109"/>
        <v>1411.9996272000001</v>
      </c>
      <c r="P100" s="42">
        <f t="shared" si="110"/>
        <v>1447.0372926</v>
      </c>
      <c r="Q100" s="42">
        <f t="shared" si="111"/>
        <v>1451.9926925999998</v>
      </c>
      <c r="R100" s="42">
        <f t="shared" si="112"/>
        <v>1467.9666325999999</v>
      </c>
      <c r="S100" s="42">
        <f t="shared" si="113"/>
        <v>1436.0189326</v>
      </c>
      <c r="T100" s="19">
        <f t="shared" si="114"/>
        <v>1427.9961979999998</v>
      </c>
      <c r="U100" s="19">
        <f t="shared" si="115"/>
        <v>1474.0016925999998</v>
      </c>
      <c r="V100" s="19">
        <f t="shared" si="116"/>
        <v>1488.0173425999999</v>
      </c>
      <c r="W100" s="42">
        <f t="shared" si="87"/>
        <v>713.49446169999987</v>
      </c>
      <c r="Y100" s="42">
        <f t="shared" si="149"/>
        <v>732.53555629999994</v>
      </c>
      <c r="Z100" s="42">
        <f t="shared" si="150"/>
        <v>737.49095629999999</v>
      </c>
      <c r="AA100" s="42">
        <f t="shared" si="151"/>
        <v>753.46489629999996</v>
      </c>
      <c r="AB100" s="42">
        <f t="shared" si="152"/>
        <v>726.49998359999995</v>
      </c>
      <c r="AC100" s="42">
        <f t="shared" si="153"/>
        <v>734.48695359999999</v>
      </c>
    </row>
    <row r="101" spans="1:29" x14ac:dyDescent="0.25">
      <c r="A101" s="20" t="s">
        <v>222</v>
      </c>
      <c r="B101" s="17" t="str">
        <f t="shared" si="100"/>
        <v>CL 70:3</v>
      </c>
      <c r="C101" s="1" t="str">
        <f t="shared" si="101"/>
        <v>70</v>
      </c>
      <c r="D101" s="1" t="str">
        <f t="shared" si="102"/>
        <v>3</v>
      </c>
      <c r="E101" s="17">
        <f t="shared" si="103"/>
        <v>79</v>
      </c>
      <c r="F101" s="17">
        <f t="shared" si="104"/>
        <v>148</v>
      </c>
      <c r="G101" s="17">
        <v>0</v>
      </c>
      <c r="H101" s="17">
        <f t="shared" si="105"/>
        <v>17</v>
      </c>
      <c r="I101" s="17">
        <v>2</v>
      </c>
      <c r="L101" s="19" t="str">
        <f t="shared" si="106"/>
        <v>C79H148O17P2</v>
      </c>
      <c r="M101" s="19">
        <f t="shared" si="107"/>
        <v>1431.0191218</v>
      </c>
      <c r="N101" s="19">
        <f t="shared" si="108"/>
        <v>1432.0263964000001</v>
      </c>
      <c r="O101" s="42">
        <f t="shared" si="109"/>
        <v>1414.0152764000002</v>
      </c>
      <c r="P101" s="42">
        <f t="shared" si="110"/>
        <v>1449.0529418000001</v>
      </c>
      <c r="Q101" s="42">
        <f t="shared" si="111"/>
        <v>1454.0083417999999</v>
      </c>
      <c r="R101" s="42">
        <f t="shared" si="112"/>
        <v>1469.9822818</v>
      </c>
      <c r="S101" s="42">
        <f t="shared" si="113"/>
        <v>1438.0345818000001</v>
      </c>
      <c r="T101" s="19">
        <f t="shared" si="114"/>
        <v>1430.0118471999999</v>
      </c>
      <c r="U101" s="19">
        <f t="shared" si="115"/>
        <v>1476.0173417999999</v>
      </c>
      <c r="V101" s="19">
        <f t="shared" si="116"/>
        <v>1490.0329918</v>
      </c>
      <c r="W101" s="42">
        <f t="shared" si="87"/>
        <v>714.50228629999992</v>
      </c>
      <c r="Y101" s="42">
        <f t="shared" si="149"/>
        <v>733.54338089999999</v>
      </c>
      <c r="Z101" s="42">
        <f t="shared" si="150"/>
        <v>738.49878090000004</v>
      </c>
      <c r="AA101" s="42">
        <f t="shared" si="151"/>
        <v>754.47272090000001</v>
      </c>
      <c r="AB101" s="42">
        <f t="shared" si="152"/>
        <v>727.5078082</v>
      </c>
      <c r="AC101" s="42">
        <f t="shared" si="153"/>
        <v>735.49477820000004</v>
      </c>
    </row>
    <row r="102" spans="1:29" x14ac:dyDescent="0.25">
      <c r="A102" s="20" t="s">
        <v>201</v>
      </c>
      <c r="B102" s="17" t="str">
        <f>IF(ISNUMBER(SEARCH("[",A102)),IF(ISNUMBER(SEARCH("/",A102)),CONCATENATE(MID(A102,1,2)," ",(SUM(MID(A102,FIND("[",A102)+1,FIND(":",A102)-FIND("[",A102)-1),MID(A102,FIND("/",A102)+1,FIND(":",A102,FIND("/",A102))-FIND("/",A102)-1),MID(A102,FIND("[",A102,FIND("[",A102)+1)+1,(FIND(":",A102,FIND("[",A102))-FIND("[",A102)-1)),MID(A102,FIND("/",A102,FIND("/",A102)+1)+1,FIND(":",A102,FIND("/",A102,FIND("[",A102,FIND("[",A102)+1)+1))-FIND("/",A102,FIND("[",A102,FIND("[",A102)+1)+1)-1))),":",SUM(MID(A102,FIND(":",A102)+1,FIND("/",A102)-FIND(":",A102)-1),MID(A102,FIND(":",A102,FIND("/",A102))+1,FIND("]",A102)-FIND(":",A102,FIND("/",A102))-1),MID(A102,FIND(":",A102,FIND("[",A102,FIND("[",A102)+1))+1,(FIND("/",A102,FIND("[",A102,FIND("[",A102)+1)+1)-FIND(":",A102,FIND("[",A102,FIND("[",A102)+1))-1)),MID(A102,FIND(":",A102,FIND("/",A102,FIND("]",A102)+1))+1,(FIND("]",A102,FIND("[",A102,FIND("[",A102)+1)+1)-FIND(":",A102,FIND("/",A102,FIND("]",A102)+1))-1))),MID(A102,(FIND(")",A102)+1),100)),CONCATENATE(MID(A102,1,2)," ",(SUM(MID(A102,FIND("[",A102)+1,FIND(":",A102)-FIND("[",A102)-1),MID(A102,FIND("_",A102)+1,FIND(":",A102,FIND("_",A102))-FIND("_",A102)-1),MID(A102,FIND("[",A102,FIND("[",A102)+1)+1,(FIND(":",A102,FIND("[",A102))-FIND("[",A102)-1)),MID(A102,FIND("_",A102,FIND("_",A102)+1)+1,FIND(":",A102,FIND("_",A102,FIND("[",A102,FIND("[",A102)+1)+1))-FIND("_",A102,FIND("[",A102,FIND("[",A102)+1)+1)-1))),":",SUM(MID(A102,FIND(":",A102)+1,FIND("_",A102)-FIND(":",A102)-1),MID(A102,FIND(":",A102,FIND("_",A102))+1,FIND("]",A102)-FIND(":",A102,FIND("_",A102))-1),MID(A102,FIND(":",A102,FIND("[",A102,FIND("[",A102)+1))+1,(FIND("_",A102,FIND("[",A102,FIND("[",A102)+1)+1)-FIND(":",A102,FIND("[",A102,FIND("[",A102)+1))-1)),MID(A102,FIND(":",A102,FIND("_",A102,FIND("]",A102)+1))+1,(FIND("]",A102,FIND("[",A102,FIND("[",A102)+1)+1)-FIND(":",A102,FIND("_",A102,FIND("]",A102)+1))-1))),MID(A102,(FIND(")",A102)+1),100))),A102)</f>
        <v>CL 70:2</v>
      </c>
      <c r="C102" s="1" t="str">
        <f>MID(B102,4,FIND(":",B102)-FIND(" ",B102)-1)</f>
        <v>70</v>
      </c>
      <c r="D102" s="1" t="str">
        <f>IF(ISNUMBER(SEARCH("__",B102)),MID(B102,FIND(":",B102)+1,FIND("__",B102)-FIND(":",B102)-1),MID(B102,FIND(":",B102)+1,7))</f>
        <v>2</v>
      </c>
      <c r="E102" s="17">
        <f t="shared" si="103"/>
        <v>79</v>
      </c>
      <c r="F102" s="17">
        <f t="shared" si="104"/>
        <v>150</v>
      </c>
      <c r="G102" s="17">
        <v>0</v>
      </c>
      <c r="H102" s="17">
        <f t="shared" si="105"/>
        <v>17</v>
      </c>
      <c r="I102" s="17">
        <v>2</v>
      </c>
      <c r="L102" s="19" t="str">
        <f t="shared" si="106"/>
        <v>C79H150O17P2</v>
      </c>
      <c r="M102" s="19">
        <f t="shared" si="107"/>
        <v>1433.0347710000001</v>
      </c>
      <c r="N102" s="19">
        <f t="shared" si="108"/>
        <v>1434.0420456000002</v>
      </c>
      <c r="O102" s="42">
        <f t="shared" si="109"/>
        <v>1416.0309256000003</v>
      </c>
      <c r="P102" s="42">
        <f t="shared" si="110"/>
        <v>1451.0685910000002</v>
      </c>
      <c r="Q102" s="42">
        <f t="shared" si="111"/>
        <v>1456.023991</v>
      </c>
      <c r="R102" s="42">
        <f t="shared" si="112"/>
        <v>1471.9979310000001</v>
      </c>
      <c r="S102" s="42">
        <f t="shared" si="113"/>
        <v>1440.0502310000002</v>
      </c>
      <c r="T102" s="19">
        <f t="shared" si="114"/>
        <v>1432.0274964</v>
      </c>
      <c r="U102" s="19">
        <f t="shared" si="115"/>
        <v>1478.032991</v>
      </c>
      <c r="V102" s="19">
        <f t="shared" si="116"/>
        <v>1492.0486410000001</v>
      </c>
      <c r="W102" s="42">
        <f t="shared" si="87"/>
        <v>715.51011089999997</v>
      </c>
      <c r="Y102" s="42">
        <f t="shared" si="149"/>
        <v>734.55120550000004</v>
      </c>
      <c r="Z102" s="42">
        <f t="shared" si="150"/>
        <v>739.50660550000009</v>
      </c>
      <c r="AA102" s="42">
        <f t="shared" si="151"/>
        <v>755.48054550000006</v>
      </c>
      <c r="AB102" s="42">
        <f t="shared" si="152"/>
        <v>728.51563280000005</v>
      </c>
      <c r="AC102" s="42">
        <f t="shared" si="153"/>
        <v>736.50260280000009</v>
      </c>
    </row>
    <row r="103" spans="1:29" x14ac:dyDescent="0.25">
      <c r="A103" s="20" t="s">
        <v>187</v>
      </c>
      <c r="B103" s="17" t="str">
        <f>IF(ISNUMBER(SEARCH("[",A103)),IF(ISNUMBER(SEARCH("/",A103)),CONCATENATE(MID(A103,1,2)," ",(SUM(MID(A103,FIND("[",A103)+1,FIND(":",A103)-FIND("[",A103)-1),MID(A103,FIND("/",A103)+1,FIND(":",A103,FIND("/",A103))-FIND("/",A103)-1),MID(A103,FIND("[",A103,FIND("[",A103)+1)+1,(FIND(":",A103,FIND("[",A103))-FIND("[",A103)-1)),MID(A103,FIND("/",A103,FIND("/",A103)+1)+1,FIND(":",A103,FIND("/",A103,FIND("[",A103,FIND("[",A103)+1)+1))-FIND("/",A103,FIND("[",A103,FIND("[",A103)+1)+1)-1))),":",SUM(MID(A103,FIND(":",A103)+1,FIND("/",A103)-FIND(":",A103)-1),MID(A103,FIND(":",A103,FIND("/",A103))+1,FIND("]",A103)-FIND(":",A103,FIND("/",A103))-1),MID(A103,FIND(":",A103,FIND("[",A103,FIND("[",A103)+1))+1,(FIND("/",A103,FIND("[",A103,FIND("[",A103)+1)+1)-FIND(":",A103,FIND("[",A103,FIND("[",A103)+1))-1)),MID(A103,FIND(":",A103,FIND("/",A103,FIND("]",A103)+1))+1,(FIND("]",A103,FIND("[",A103,FIND("[",A103)+1)+1)-FIND(":",A103,FIND("/",A103,FIND("]",A103)+1))-1))),MID(A103,(FIND(")",A103)+1),100)),CONCATENATE(MID(A103,1,2)," ",(SUM(MID(A103,FIND("[",A103)+1,FIND(":",A103)-FIND("[",A103)-1),MID(A103,FIND("_",A103)+1,FIND(":",A103,FIND("_",A103))-FIND("_",A103)-1),MID(A103,FIND("[",A103,FIND("[",A103)+1)+1,(FIND(":",A103,FIND("[",A103))-FIND("[",A103)-1)),MID(A103,FIND("_",A103,FIND("_",A103)+1)+1,FIND(":",A103,FIND("_",A103,FIND("[",A103,FIND("[",A103)+1)+1))-FIND("_",A103,FIND("[",A103,FIND("[",A103)+1)+1)-1))),":",SUM(MID(A103,FIND(":",A103)+1,FIND("_",A103)-FIND(":",A103)-1),MID(A103,FIND(":",A103,FIND("_",A103))+1,FIND("]",A103)-FIND(":",A103,FIND("_",A103))-1),MID(A103,FIND(":",A103,FIND("[",A103,FIND("[",A103)+1))+1,(FIND("_",A103,FIND("[",A103,FIND("[",A103)+1)+1)-FIND(":",A103,FIND("[",A103,FIND("[",A103)+1))-1)),MID(A103,FIND(":",A103,FIND("_",A103,FIND("]",A103)+1))+1,(FIND("]",A103,FIND("[",A103,FIND("[",A103)+1)+1)-FIND(":",A103,FIND("_",A103,FIND("]",A103)+1))-1))),MID(A103,(FIND(")",A103)+1),100))),A103)</f>
        <v>CL 70:1</v>
      </c>
      <c r="C103" s="1" t="str">
        <f>MID(B103,4,FIND(":",B103)-FIND(" ",B103)-1)</f>
        <v>70</v>
      </c>
      <c r="D103" s="1" t="str">
        <f>IF(ISNUMBER(SEARCH("__",B103)),MID(B103,FIND(":",B103)+1,FIND("__",B103)-FIND(":",B103)-1),MID(B103,FIND(":",B103)+1,7))</f>
        <v>1</v>
      </c>
      <c r="E103" s="17">
        <f t="shared" si="103"/>
        <v>79</v>
      </c>
      <c r="F103" s="17">
        <f t="shared" si="104"/>
        <v>152</v>
      </c>
      <c r="G103" s="17">
        <v>0</v>
      </c>
      <c r="H103" s="17">
        <f t="shared" si="105"/>
        <v>17</v>
      </c>
      <c r="I103" s="17">
        <v>2</v>
      </c>
      <c r="L103" s="19" t="str">
        <f t="shared" si="106"/>
        <v>C79H152O17P2</v>
      </c>
      <c r="M103" s="19">
        <f t="shared" si="107"/>
        <v>1435.0504202</v>
      </c>
      <c r="N103" s="19">
        <f t="shared" si="108"/>
        <v>1436.0576948</v>
      </c>
      <c r="O103" s="42">
        <f t="shared" si="109"/>
        <v>1418.0465748000001</v>
      </c>
      <c r="P103" s="42">
        <f t="shared" si="110"/>
        <v>1453.0842402000001</v>
      </c>
      <c r="Q103" s="42">
        <f t="shared" si="111"/>
        <v>1458.0396401999999</v>
      </c>
      <c r="R103" s="42">
        <f t="shared" si="112"/>
        <v>1474.0135802</v>
      </c>
      <c r="S103" s="42">
        <f t="shared" si="113"/>
        <v>1442.0658802</v>
      </c>
      <c r="T103" s="19">
        <f t="shared" si="114"/>
        <v>1434.0431455999999</v>
      </c>
      <c r="U103" s="19">
        <f t="shared" si="115"/>
        <v>1480.0486401999999</v>
      </c>
      <c r="V103" s="19">
        <f t="shared" si="116"/>
        <v>1494.0642902</v>
      </c>
      <c r="W103" s="42">
        <f t="shared" si="87"/>
        <v>716.51793549999991</v>
      </c>
      <c r="Y103" s="42">
        <f t="shared" si="149"/>
        <v>735.55903009999997</v>
      </c>
      <c r="Z103" s="42">
        <f t="shared" si="150"/>
        <v>740.51443010000003</v>
      </c>
      <c r="AA103" s="42">
        <f t="shared" si="151"/>
        <v>756.4883701</v>
      </c>
      <c r="AB103" s="42">
        <f t="shared" si="152"/>
        <v>729.52345739999998</v>
      </c>
      <c r="AC103" s="42">
        <f t="shared" si="153"/>
        <v>737.51042740000003</v>
      </c>
    </row>
    <row r="104" spans="1:29" x14ac:dyDescent="0.25">
      <c r="A104" s="20" t="s">
        <v>160</v>
      </c>
      <c r="B104" s="17" t="str">
        <f t="shared" si="100"/>
        <v>CL 70:0</v>
      </c>
      <c r="C104" s="1" t="str">
        <f t="shared" si="101"/>
        <v>70</v>
      </c>
      <c r="D104" s="1" t="str">
        <f t="shared" si="102"/>
        <v>0</v>
      </c>
      <c r="E104" s="17">
        <f t="shared" si="103"/>
        <v>79</v>
      </c>
      <c r="F104" s="17">
        <f t="shared" si="104"/>
        <v>154</v>
      </c>
      <c r="G104" s="17">
        <v>0</v>
      </c>
      <c r="H104" s="17">
        <f t="shared" si="105"/>
        <v>17</v>
      </c>
      <c r="I104" s="17">
        <v>2</v>
      </c>
      <c r="L104" s="19" t="str">
        <f t="shared" si="106"/>
        <v>C79H154O17P2</v>
      </c>
      <c r="M104" s="19">
        <f t="shared" si="107"/>
        <v>1437.0660694000001</v>
      </c>
      <c r="N104" s="19">
        <f t="shared" si="108"/>
        <v>1438.0733440000001</v>
      </c>
      <c r="O104" s="42">
        <f t="shared" si="109"/>
        <v>1420.0622240000002</v>
      </c>
      <c r="P104" s="42">
        <f t="shared" si="110"/>
        <v>1455.0998894000002</v>
      </c>
      <c r="Q104" s="42">
        <f t="shared" si="111"/>
        <v>1460.0552894</v>
      </c>
      <c r="R104" s="42">
        <f t="shared" si="112"/>
        <v>1476.0292294000001</v>
      </c>
      <c r="S104" s="42">
        <f t="shared" si="113"/>
        <v>1444.0815294000001</v>
      </c>
      <c r="T104" s="19">
        <f t="shared" si="114"/>
        <v>1436.0587948</v>
      </c>
      <c r="U104" s="19">
        <f t="shared" si="115"/>
        <v>1482.0642894</v>
      </c>
      <c r="V104" s="19">
        <f t="shared" si="116"/>
        <v>1496.0799394000001</v>
      </c>
      <c r="W104" s="42">
        <f t="shared" si="87"/>
        <v>717.52576009999996</v>
      </c>
      <c r="Y104" s="42">
        <f t="shared" si="149"/>
        <v>736.56685470000002</v>
      </c>
      <c r="Z104" s="42">
        <f t="shared" si="150"/>
        <v>741.52225470000008</v>
      </c>
      <c r="AA104" s="42">
        <f t="shared" si="151"/>
        <v>757.49619470000005</v>
      </c>
      <c r="AB104" s="42">
        <f t="shared" si="152"/>
        <v>730.53128200000003</v>
      </c>
      <c r="AC104" s="42">
        <f t="shared" si="153"/>
        <v>738.51825200000007</v>
      </c>
    </row>
    <row r="105" spans="1:29" x14ac:dyDescent="0.25">
      <c r="A105" s="20" t="s">
        <v>225</v>
      </c>
      <c r="B105" s="17" t="str">
        <f t="shared" si="100"/>
        <v>CL 71:3</v>
      </c>
      <c r="C105" s="1" t="str">
        <f t="shared" si="101"/>
        <v>71</v>
      </c>
      <c r="D105" s="1" t="str">
        <f t="shared" si="102"/>
        <v>3</v>
      </c>
      <c r="E105" s="17">
        <f t="shared" si="103"/>
        <v>80</v>
      </c>
      <c r="F105" s="17">
        <f t="shared" si="104"/>
        <v>150</v>
      </c>
      <c r="G105" s="17">
        <v>0</v>
      </c>
      <c r="H105" s="17">
        <f t="shared" si="105"/>
        <v>17</v>
      </c>
      <c r="I105" s="17">
        <v>2</v>
      </c>
      <c r="L105" s="19" t="str">
        <f t="shared" si="106"/>
        <v>C80H150O17P2</v>
      </c>
      <c r="M105" s="19">
        <f t="shared" si="107"/>
        <v>1445.0347710000001</v>
      </c>
      <c r="N105" s="19">
        <f t="shared" si="108"/>
        <v>1446.0420456000002</v>
      </c>
      <c r="O105" s="42">
        <f t="shared" si="109"/>
        <v>1428.0309256000003</v>
      </c>
      <c r="P105" s="42">
        <f t="shared" si="110"/>
        <v>1463.0685910000002</v>
      </c>
      <c r="Q105" s="42">
        <f t="shared" si="111"/>
        <v>1468.023991</v>
      </c>
      <c r="R105" s="42">
        <f t="shared" si="112"/>
        <v>1483.9979310000001</v>
      </c>
      <c r="S105" s="42">
        <f t="shared" si="113"/>
        <v>1452.0502310000002</v>
      </c>
      <c r="T105" s="19">
        <f t="shared" si="114"/>
        <v>1444.0274964</v>
      </c>
      <c r="U105" s="19">
        <f t="shared" si="115"/>
        <v>1490.032991</v>
      </c>
      <c r="V105" s="19">
        <f t="shared" si="116"/>
        <v>1504.0486410000001</v>
      </c>
      <c r="W105" s="42">
        <f t="shared" si="87"/>
        <v>721.51011089999997</v>
      </c>
      <c r="Y105" s="42">
        <f t="shared" si="149"/>
        <v>740.55120550000004</v>
      </c>
      <c r="Z105" s="42">
        <f t="shared" si="150"/>
        <v>745.50660550000009</v>
      </c>
      <c r="AA105" s="42">
        <f t="shared" si="151"/>
        <v>761.48054550000006</v>
      </c>
      <c r="AB105" s="42">
        <f t="shared" si="152"/>
        <v>734.51563280000005</v>
      </c>
      <c r="AC105" s="42">
        <f t="shared" si="153"/>
        <v>742.50260280000009</v>
      </c>
    </row>
    <row r="106" spans="1:29" x14ac:dyDescent="0.25">
      <c r="A106" s="20" t="s">
        <v>202</v>
      </c>
      <c r="B106" s="17" t="str">
        <f>IF(ISNUMBER(SEARCH("[",A106)),IF(ISNUMBER(SEARCH("/",A106)),CONCATENATE(MID(A106,1,2)," ",(SUM(MID(A106,FIND("[",A106)+1,FIND(":",A106)-FIND("[",A106)-1),MID(A106,FIND("/",A106)+1,FIND(":",A106,FIND("/",A106))-FIND("/",A106)-1),MID(A106,FIND("[",A106,FIND("[",A106)+1)+1,(FIND(":",A106,FIND("[",A106))-FIND("[",A106)-1)),MID(A106,FIND("/",A106,FIND("/",A106)+1)+1,FIND(":",A106,FIND("/",A106,FIND("[",A106,FIND("[",A106)+1)+1))-FIND("/",A106,FIND("[",A106,FIND("[",A106)+1)+1)-1))),":",SUM(MID(A106,FIND(":",A106)+1,FIND("/",A106)-FIND(":",A106)-1),MID(A106,FIND(":",A106,FIND("/",A106))+1,FIND("]",A106)-FIND(":",A106,FIND("/",A106))-1),MID(A106,FIND(":",A106,FIND("[",A106,FIND("[",A106)+1))+1,(FIND("/",A106,FIND("[",A106,FIND("[",A106)+1)+1)-FIND(":",A106,FIND("[",A106,FIND("[",A106)+1))-1)),MID(A106,FIND(":",A106,FIND("/",A106,FIND("]",A106)+1))+1,(FIND("]",A106,FIND("[",A106,FIND("[",A106)+1)+1)-FIND(":",A106,FIND("/",A106,FIND("]",A106)+1))-1))),MID(A106,(FIND(")",A106)+1),100)),CONCATENATE(MID(A106,1,2)," ",(SUM(MID(A106,FIND("[",A106)+1,FIND(":",A106)-FIND("[",A106)-1),MID(A106,FIND("_",A106)+1,FIND(":",A106,FIND("_",A106))-FIND("_",A106)-1),MID(A106,FIND("[",A106,FIND("[",A106)+1)+1,(FIND(":",A106,FIND("[",A106))-FIND("[",A106)-1)),MID(A106,FIND("_",A106,FIND("_",A106)+1)+1,FIND(":",A106,FIND("_",A106,FIND("[",A106,FIND("[",A106)+1)+1))-FIND("_",A106,FIND("[",A106,FIND("[",A106)+1)+1)-1))),":",SUM(MID(A106,FIND(":",A106)+1,FIND("_",A106)-FIND(":",A106)-1),MID(A106,FIND(":",A106,FIND("_",A106))+1,FIND("]",A106)-FIND(":",A106,FIND("_",A106))-1),MID(A106,FIND(":",A106,FIND("[",A106,FIND("[",A106)+1))+1,(FIND("_",A106,FIND("[",A106,FIND("[",A106)+1)+1)-FIND(":",A106,FIND("[",A106,FIND("[",A106)+1))-1)),MID(A106,FIND(":",A106,FIND("_",A106,FIND("]",A106)+1))+1,(FIND("]",A106,FIND("[",A106,FIND("[",A106)+1)+1)-FIND(":",A106,FIND("_",A106,FIND("]",A106)+1))-1))),MID(A106,(FIND(")",A106)+1),100))),A106)</f>
        <v>CL 71:2</v>
      </c>
      <c r="C106" s="1" t="str">
        <f>MID(B106,4,FIND(":",B106)-FIND(" ",B106)-1)</f>
        <v>71</v>
      </c>
      <c r="D106" s="1" t="str">
        <f>IF(ISNUMBER(SEARCH("__",B106)),MID(B106,FIND(":",B106)+1,FIND("__",B106)-FIND(":",B106)-1),MID(B106,FIND(":",B106)+1,7))</f>
        <v>2</v>
      </c>
      <c r="E106" s="17">
        <f t="shared" si="103"/>
        <v>80</v>
      </c>
      <c r="F106" s="17">
        <f t="shared" si="104"/>
        <v>152</v>
      </c>
      <c r="G106" s="17">
        <v>0</v>
      </c>
      <c r="H106" s="17">
        <f t="shared" si="105"/>
        <v>17</v>
      </c>
      <c r="I106" s="17">
        <v>2</v>
      </c>
      <c r="L106" s="19" t="str">
        <f t="shared" si="106"/>
        <v>C80H152O17P2</v>
      </c>
      <c r="M106" s="19">
        <f t="shared" si="107"/>
        <v>1447.0504202</v>
      </c>
      <c r="N106" s="19">
        <f t="shared" si="108"/>
        <v>1448.0576948</v>
      </c>
      <c r="O106" s="42">
        <f t="shared" si="109"/>
        <v>1430.0465748000001</v>
      </c>
      <c r="P106" s="42">
        <f t="shared" si="110"/>
        <v>1465.0842402000001</v>
      </c>
      <c r="Q106" s="42">
        <f t="shared" si="111"/>
        <v>1470.0396401999999</v>
      </c>
      <c r="R106" s="42">
        <f t="shared" si="112"/>
        <v>1486.0135802</v>
      </c>
      <c r="S106" s="42">
        <f t="shared" si="113"/>
        <v>1454.0658802</v>
      </c>
      <c r="T106" s="19">
        <f t="shared" si="114"/>
        <v>1446.0431455999999</v>
      </c>
      <c r="U106" s="19">
        <f t="shared" si="115"/>
        <v>1492.0486401999999</v>
      </c>
      <c r="V106" s="19">
        <f t="shared" si="116"/>
        <v>1506.0642902</v>
      </c>
      <c r="W106" s="42">
        <f t="shared" si="87"/>
        <v>722.51793549999991</v>
      </c>
      <c r="Y106" s="42">
        <f t="shared" si="149"/>
        <v>741.55903009999997</v>
      </c>
      <c r="Z106" s="42">
        <f t="shared" si="150"/>
        <v>746.51443010000003</v>
      </c>
      <c r="AA106" s="42">
        <f t="shared" si="151"/>
        <v>762.4883701</v>
      </c>
      <c r="AB106" s="42">
        <f t="shared" si="152"/>
        <v>735.52345739999998</v>
      </c>
      <c r="AC106" s="42">
        <f t="shared" si="153"/>
        <v>743.51042740000003</v>
      </c>
    </row>
    <row r="107" spans="1:29" x14ac:dyDescent="0.25">
      <c r="A107" s="20" t="s">
        <v>188</v>
      </c>
      <c r="B107" s="17" t="str">
        <f>IF(ISNUMBER(SEARCH("[",A107)),IF(ISNUMBER(SEARCH("/",A107)),CONCATENATE(MID(A107,1,2)," ",(SUM(MID(A107,FIND("[",A107)+1,FIND(":",A107)-FIND("[",A107)-1),MID(A107,FIND("/",A107)+1,FIND(":",A107,FIND("/",A107))-FIND("/",A107)-1),MID(A107,FIND("[",A107,FIND("[",A107)+1)+1,(FIND(":",A107,FIND("[",A107))-FIND("[",A107)-1)),MID(A107,FIND("/",A107,FIND("/",A107)+1)+1,FIND(":",A107,FIND("/",A107,FIND("[",A107,FIND("[",A107)+1)+1))-FIND("/",A107,FIND("[",A107,FIND("[",A107)+1)+1)-1))),":",SUM(MID(A107,FIND(":",A107)+1,FIND("/",A107)-FIND(":",A107)-1),MID(A107,FIND(":",A107,FIND("/",A107))+1,FIND("]",A107)-FIND(":",A107,FIND("/",A107))-1),MID(A107,FIND(":",A107,FIND("[",A107,FIND("[",A107)+1))+1,(FIND("/",A107,FIND("[",A107,FIND("[",A107)+1)+1)-FIND(":",A107,FIND("[",A107,FIND("[",A107)+1))-1)),MID(A107,FIND(":",A107,FIND("/",A107,FIND("]",A107)+1))+1,(FIND("]",A107,FIND("[",A107,FIND("[",A107)+1)+1)-FIND(":",A107,FIND("/",A107,FIND("]",A107)+1))-1))),MID(A107,(FIND(")",A107)+1),100)),CONCATENATE(MID(A107,1,2)," ",(SUM(MID(A107,FIND("[",A107)+1,FIND(":",A107)-FIND("[",A107)-1),MID(A107,FIND("_",A107)+1,FIND(":",A107,FIND("_",A107))-FIND("_",A107)-1),MID(A107,FIND("[",A107,FIND("[",A107)+1)+1,(FIND(":",A107,FIND("[",A107))-FIND("[",A107)-1)),MID(A107,FIND("_",A107,FIND("_",A107)+1)+1,FIND(":",A107,FIND("_",A107,FIND("[",A107,FIND("[",A107)+1)+1))-FIND("_",A107,FIND("[",A107,FIND("[",A107)+1)+1)-1))),":",SUM(MID(A107,FIND(":",A107)+1,FIND("_",A107)-FIND(":",A107)-1),MID(A107,FIND(":",A107,FIND("_",A107))+1,FIND("]",A107)-FIND(":",A107,FIND("_",A107))-1),MID(A107,FIND(":",A107,FIND("[",A107,FIND("[",A107)+1))+1,(FIND("_",A107,FIND("[",A107,FIND("[",A107)+1)+1)-FIND(":",A107,FIND("[",A107,FIND("[",A107)+1))-1)),MID(A107,FIND(":",A107,FIND("_",A107,FIND("]",A107)+1))+1,(FIND("]",A107,FIND("[",A107,FIND("[",A107)+1)+1)-FIND(":",A107,FIND("_",A107,FIND("]",A107)+1))-1))),MID(A107,(FIND(")",A107)+1),100))),A107)</f>
        <v>CL 71:1</v>
      </c>
      <c r="C107" s="1" t="str">
        <f>MID(B107,4,FIND(":",B107)-FIND(" ",B107)-1)</f>
        <v>71</v>
      </c>
      <c r="D107" s="1" t="str">
        <f>IF(ISNUMBER(SEARCH("__",B107)),MID(B107,FIND(":",B107)+1,FIND("__",B107)-FIND(":",B107)-1),MID(B107,FIND(":",B107)+1,7))</f>
        <v>1</v>
      </c>
      <c r="E107" s="17">
        <f t="shared" si="103"/>
        <v>80</v>
      </c>
      <c r="F107" s="17">
        <f t="shared" si="104"/>
        <v>154</v>
      </c>
      <c r="G107" s="17">
        <v>0</v>
      </c>
      <c r="H107" s="17">
        <f t="shared" si="105"/>
        <v>17</v>
      </c>
      <c r="I107" s="17">
        <v>2</v>
      </c>
      <c r="L107" s="19" t="str">
        <f t="shared" si="106"/>
        <v>C80H154O17P2</v>
      </c>
      <c r="M107" s="19">
        <f t="shared" si="107"/>
        <v>1449.0660694000001</v>
      </c>
      <c r="N107" s="19">
        <f t="shared" si="108"/>
        <v>1450.0733440000001</v>
      </c>
      <c r="O107" s="42">
        <f t="shared" si="109"/>
        <v>1432.0622240000002</v>
      </c>
      <c r="P107" s="42">
        <f t="shared" si="110"/>
        <v>1467.0998894000002</v>
      </c>
      <c r="Q107" s="42">
        <f t="shared" si="111"/>
        <v>1472.0552894</v>
      </c>
      <c r="R107" s="42">
        <f t="shared" si="112"/>
        <v>1488.0292294000001</v>
      </c>
      <c r="S107" s="42">
        <f t="shared" si="113"/>
        <v>1456.0815294000001</v>
      </c>
      <c r="T107" s="19">
        <f t="shared" si="114"/>
        <v>1448.0587948</v>
      </c>
      <c r="U107" s="19">
        <f t="shared" si="115"/>
        <v>1494.0642894</v>
      </c>
      <c r="V107" s="19">
        <f t="shared" si="116"/>
        <v>1508.0799394000001</v>
      </c>
      <c r="W107" s="42">
        <f t="shared" si="87"/>
        <v>723.52576009999996</v>
      </c>
      <c r="Y107" s="42">
        <f t="shared" si="149"/>
        <v>742.56685470000002</v>
      </c>
      <c r="Z107" s="42">
        <f t="shared" si="150"/>
        <v>747.52225470000008</v>
      </c>
      <c r="AA107" s="42">
        <f t="shared" si="151"/>
        <v>763.49619470000005</v>
      </c>
      <c r="AB107" s="42">
        <f t="shared" si="152"/>
        <v>736.53128200000003</v>
      </c>
      <c r="AC107" s="42">
        <f t="shared" si="153"/>
        <v>744.51825200000007</v>
      </c>
    </row>
    <row r="108" spans="1:29" x14ac:dyDescent="0.25">
      <c r="A108" s="20" t="s">
        <v>161</v>
      </c>
      <c r="B108" s="17" t="str">
        <f t="shared" si="100"/>
        <v>CL 71:0</v>
      </c>
      <c r="C108" s="1" t="str">
        <f t="shared" si="101"/>
        <v>71</v>
      </c>
      <c r="D108" s="1" t="str">
        <f t="shared" si="102"/>
        <v>0</v>
      </c>
      <c r="E108" s="17">
        <f t="shared" si="103"/>
        <v>80</v>
      </c>
      <c r="F108" s="17">
        <f t="shared" si="104"/>
        <v>156</v>
      </c>
      <c r="G108" s="17">
        <v>0</v>
      </c>
      <c r="H108" s="17">
        <f t="shared" si="105"/>
        <v>17</v>
      </c>
      <c r="I108" s="17">
        <v>2</v>
      </c>
      <c r="L108" s="19" t="str">
        <f t="shared" si="106"/>
        <v>C80H156O17P2</v>
      </c>
      <c r="M108" s="19">
        <f t="shared" si="107"/>
        <v>1451.0817185999999</v>
      </c>
      <c r="N108" s="19">
        <f t="shared" si="108"/>
        <v>1452.0889932</v>
      </c>
      <c r="O108" s="42">
        <f t="shared" si="109"/>
        <v>1434.0778732000001</v>
      </c>
      <c r="P108" s="42">
        <f t="shared" si="110"/>
        <v>1469.1155386</v>
      </c>
      <c r="Q108" s="42">
        <f t="shared" si="111"/>
        <v>1474.0709385999999</v>
      </c>
      <c r="R108" s="42">
        <f t="shared" si="112"/>
        <v>1490.0448785999999</v>
      </c>
      <c r="S108" s="42">
        <f t="shared" si="113"/>
        <v>1458.0971786</v>
      </c>
      <c r="T108" s="19">
        <f t="shared" si="114"/>
        <v>1450.0744439999999</v>
      </c>
      <c r="U108" s="19">
        <f t="shared" si="115"/>
        <v>1496.0799385999999</v>
      </c>
      <c r="V108" s="19">
        <f t="shared" si="116"/>
        <v>1510.0955885999999</v>
      </c>
      <c r="W108" s="42">
        <f t="shared" si="87"/>
        <v>724.53358469999989</v>
      </c>
      <c r="Y108" s="42">
        <f t="shared" si="149"/>
        <v>743.57467929999996</v>
      </c>
      <c r="Z108" s="42">
        <f t="shared" si="150"/>
        <v>748.53007930000001</v>
      </c>
      <c r="AA108" s="42">
        <f t="shared" si="151"/>
        <v>764.50401929999998</v>
      </c>
      <c r="AB108" s="42">
        <f t="shared" si="152"/>
        <v>737.53910659999997</v>
      </c>
      <c r="AC108" s="42">
        <f t="shared" si="153"/>
        <v>745.52607660000001</v>
      </c>
    </row>
    <row r="109" spans="1:29" x14ac:dyDescent="0.25">
      <c r="A109" s="20" t="s">
        <v>442</v>
      </c>
      <c r="B109" s="17" t="str">
        <f t="shared" si="100"/>
        <v>CL 72:8</v>
      </c>
      <c r="C109" s="1" t="str">
        <f t="shared" si="101"/>
        <v>72</v>
      </c>
      <c r="D109" s="1" t="str">
        <f t="shared" si="102"/>
        <v>8</v>
      </c>
      <c r="E109" s="17">
        <f t="shared" si="103"/>
        <v>81</v>
      </c>
      <c r="F109" s="17">
        <f t="shared" si="104"/>
        <v>142</v>
      </c>
      <c r="G109" s="17">
        <v>0</v>
      </c>
      <c r="H109" s="17">
        <f t="shared" si="105"/>
        <v>17</v>
      </c>
      <c r="I109" s="17">
        <v>2</v>
      </c>
      <c r="L109" s="19" t="str">
        <f t="shared" si="106"/>
        <v>C81H142O17P2</v>
      </c>
      <c r="M109" s="19">
        <f t="shared" si="107"/>
        <v>1448.9721741999999</v>
      </c>
      <c r="N109" s="19">
        <f t="shared" si="108"/>
        <v>1449.9794488</v>
      </c>
      <c r="O109" s="42">
        <f t="shared" si="109"/>
        <v>1431.9683288000001</v>
      </c>
      <c r="P109" s="42">
        <f t="shared" si="110"/>
        <v>1467.0059942</v>
      </c>
      <c r="Q109" s="42">
        <f t="shared" si="111"/>
        <v>1471.9613941999999</v>
      </c>
      <c r="R109" s="42">
        <f t="shared" si="112"/>
        <v>1487.9353341999999</v>
      </c>
      <c r="S109" s="42">
        <f t="shared" si="113"/>
        <v>1455.9876342</v>
      </c>
      <c r="T109" s="19">
        <f t="shared" si="114"/>
        <v>1447.9648995999999</v>
      </c>
      <c r="U109" s="19">
        <f t="shared" si="115"/>
        <v>1493.9703941999999</v>
      </c>
      <c r="V109" s="19">
        <f t="shared" si="116"/>
        <v>1507.9860441999999</v>
      </c>
      <c r="W109" s="42">
        <f t="shared" si="87"/>
        <v>723.47881249999989</v>
      </c>
      <c r="Y109" s="42">
        <f t="shared" si="149"/>
        <v>742.51990709999995</v>
      </c>
      <c r="Z109" s="42">
        <f t="shared" si="150"/>
        <v>747.47530710000001</v>
      </c>
      <c r="AA109" s="42">
        <f t="shared" si="151"/>
        <v>763.44924709999998</v>
      </c>
      <c r="AB109" s="42">
        <f t="shared" si="152"/>
        <v>736.48433439999997</v>
      </c>
      <c r="AC109" s="42">
        <f t="shared" si="153"/>
        <v>744.47130440000001</v>
      </c>
    </row>
    <row r="110" spans="1:29" x14ac:dyDescent="0.25">
      <c r="A110" s="20" t="s">
        <v>443</v>
      </c>
      <c r="B110" s="17" t="str">
        <f t="shared" si="100"/>
        <v>CL 72:7</v>
      </c>
      <c r="C110" s="1" t="str">
        <f t="shared" si="101"/>
        <v>72</v>
      </c>
      <c r="D110" s="1" t="str">
        <f t="shared" si="102"/>
        <v>7</v>
      </c>
      <c r="E110" s="17">
        <f t="shared" si="103"/>
        <v>81</v>
      </c>
      <c r="F110" s="17">
        <f t="shared" si="104"/>
        <v>144</v>
      </c>
      <c r="G110" s="17">
        <v>0</v>
      </c>
      <c r="H110" s="17">
        <f t="shared" si="105"/>
        <v>17</v>
      </c>
      <c r="I110" s="17">
        <v>2</v>
      </c>
      <c r="L110" s="19" t="str">
        <f t="shared" si="106"/>
        <v>C81H144O17P2</v>
      </c>
      <c r="M110" s="19">
        <f t="shared" si="107"/>
        <v>1450.9878234</v>
      </c>
      <c r="N110" s="19">
        <f t="shared" si="108"/>
        <v>1451.9950980000001</v>
      </c>
      <c r="O110" s="42">
        <f t="shared" si="109"/>
        <v>1433.9839780000002</v>
      </c>
      <c r="P110" s="42">
        <f t="shared" si="110"/>
        <v>1469.0216434000001</v>
      </c>
      <c r="Q110" s="42">
        <f t="shared" si="111"/>
        <v>1473.9770434</v>
      </c>
      <c r="R110" s="42">
        <f t="shared" si="112"/>
        <v>1489.9509834</v>
      </c>
      <c r="S110" s="42">
        <f t="shared" si="113"/>
        <v>1458.0032834000001</v>
      </c>
      <c r="T110" s="19">
        <f t="shared" si="114"/>
        <v>1449.9805488</v>
      </c>
      <c r="U110" s="19">
        <f t="shared" si="115"/>
        <v>1495.9860434</v>
      </c>
      <c r="V110" s="19">
        <f t="shared" si="116"/>
        <v>1510.0016934</v>
      </c>
      <c r="W110" s="42">
        <f t="shared" si="87"/>
        <v>724.48663709999994</v>
      </c>
      <c r="Y110" s="42">
        <f t="shared" si="149"/>
        <v>743.5277317</v>
      </c>
      <c r="Z110" s="42">
        <f t="shared" si="150"/>
        <v>748.48313170000006</v>
      </c>
      <c r="AA110" s="42">
        <f t="shared" si="151"/>
        <v>764.45707170000003</v>
      </c>
      <c r="AB110" s="42">
        <f t="shared" si="152"/>
        <v>737.49215900000002</v>
      </c>
      <c r="AC110" s="42">
        <f t="shared" si="153"/>
        <v>745.47912900000006</v>
      </c>
    </row>
    <row r="111" spans="1:29" x14ac:dyDescent="0.25">
      <c r="A111" s="20" t="s">
        <v>444</v>
      </c>
      <c r="B111" s="17" t="str">
        <f t="shared" si="100"/>
        <v>CL 72:6</v>
      </c>
      <c r="C111" s="1" t="str">
        <f t="shared" si="101"/>
        <v>72</v>
      </c>
      <c r="D111" s="1" t="str">
        <f t="shared" si="102"/>
        <v>6</v>
      </c>
      <c r="E111" s="17">
        <f t="shared" si="103"/>
        <v>81</v>
      </c>
      <c r="F111" s="17">
        <f t="shared" si="104"/>
        <v>146</v>
      </c>
      <c r="G111" s="17">
        <v>0</v>
      </c>
      <c r="H111" s="17">
        <f t="shared" si="105"/>
        <v>17</v>
      </c>
      <c r="I111" s="17">
        <v>2</v>
      </c>
      <c r="L111" s="19" t="str">
        <f t="shared" si="106"/>
        <v>C81H146O17P2</v>
      </c>
      <c r="M111" s="19">
        <f t="shared" si="107"/>
        <v>1453.0034725999999</v>
      </c>
      <c r="N111" s="19">
        <f t="shared" si="108"/>
        <v>1454.0107472</v>
      </c>
      <c r="O111" s="42">
        <f t="shared" si="109"/>
        <v>1435.9996272000001</v>
      </c>
      <c r="P111" s="42">
        <f t="shared" si="110"/>
        <v>1471.0372926</v>
      </c>
      <c r="Q111" s="42">
        <f t="shared" si="111"/>
        <v>1475.9926925999998</v>
      </c>
      <c r="R111" s="42">
        <f t="shared" si="112"/>
        <v>1491.9666325999999</v>
      </c>
      <c r="S111" s="42">
        <f t="shared" si="113"/>
        <v>1460.0189326</v>
      </c>
      <c r="T111" s="19">
        <f t="shared" si="114"/>
        <v>1451.9961979999998</v>
      </c>
      <c r="U111" s="19">
        <f t="shared" si="115"/>
        <v>1498.0016925999998</v>
      </c>
      <c r="V111" s="19">
        <f t="shared" si="116"/>
        <v>1512.0173425999999</v>
      </c>
      <c r="W111" s="42">
        <f t="shared" si="87"/>
        <v>725.49446169999987</v>
      </c>
      <c r="Y111" s="42">
        <f t="shared" si="149"/>
        <v>744.53555629999994</v>
      </c>
      <c r="Z111" s="42">
        <f t="shared" si="150"/>
        <v>749.49095629999999</v>
      </c>
      <c r="AA111" s="42">
        <f t="shared" si="151"/>
        <v>765.46489629999996</v>
      </c>
      <c r="AB111" s="42">
        <f t="shared" si="152"/>
        <v>738.49998359999995</v>
      </c>
      <c r="AC111" s="42">
        <f t="shared" si="153"/>
        <v>746.48695359999999</v>
      </c>
    </row>
    <row r="112" spans="1:29" x14ac:dyDescent="0.25">
      <c r="A112" s="20" t="s">
        <v>445</v>
      </c>
      <c r="B112" s="17" t="str">
        <f t="shared" si="100"/>
        <v>CL 72:5</v>
      </c>
      <c r="C112" s="1" t="str">
        <f t="shared" si="101"/>
        <v>72</v>
      </c>
      <c r="D112" s="1" t="str">
        <f t="shared" si="102"/>
        <v>5</v>
      </c>
      <c r="E112" s="17">
        <f t="shared" si="103"/>
        <v>81</v>
      </c>
      <c r="F112" s="17">
        <f t="shared" si="104"/>
        <v>148</v>
      </c>
      <c r="G112" s="17">
        <v>0</v>
      </c>
      <c r="H112" s="17">
        <f t="shared" si="105"/>
        <v>17</v>
      </c>
      <c r="I112" s="17">
        <v>2</v>
      </c>
      <c r="L112" s="19" t="str">
        <f t="shared" si="106"/>
        <v>C81H148O17P2</v>
      </c>
      <c r="M112" s="19">
        <f t="shared" si="107"/>
        <v>1455.0191218</v>
      </c>
      <c r="N112" s="19">
        <f t="shared" si="108"/>
        <v>1456.0263964000001</v>
      </c>
      <c r="O112" s="42">
        <f t="shared" si="109"/>
        <v>1438.0152764000002</v>
      </c>
      <c r="P112" s="42">
        <f t="shared" si="110"/>
        <v>1473.0529418000001</v>
      </c>
      <c r="Q112" s="42">
        <f t="shared" si="111"/>
        <v>1478.0083417999999</v>
      </c>
      <c r="R112" s="42">
        <f t="shared" si="112"/>
        <v>1493.9822818</v>
      </c>
      <c r="S112" s="42">
        <f t="shared" si="113"/>
        <v>1462.0345818000001</v>
      </c>
      <c r="T112" s="19">
        <f t="shared" si="114"/>
        <v>1454.0118471999999</v>
      </c>
      <c r="U112" s="19">
        <f t="shared" si="115"/>
        <v>1500.0173417999999</v>
      </c>
      <c r="V112" s="19">
        <f t="shared" si="116"/>
        <v>1514.0329918</v>
      </c>
      <c r="W112" s="42">
        <f t="shared" si="87"/>
        <v>726.50228629999992</v>
      </c>
      <c r="Y112" s="42">
        <f t="shared" si="149"/>
        <v>745.54338089999999</v>
      </c>
      <c r="Z112" s="42">
        <f t="shared" si="150"/>
        <v>750.49878090000004</v>
      </c>
      <c r="AA112" s="42">
        <f t="shared" si="151"/>
        <v>766.47272090000001</v>
      </c>
      <c r="AB112" s="42">
        <f t="shared" si="152"/>
        <v>739.5078082</v>
      </c>
      <c r="AC112" s="42">
        <f t="shared" si="153"/>
        <v>747.49477820000004</v>
      </c>
    </row>
    <row r="113" spans="1:29" x14ac:dyDescent="0.25">
      <c r="A113" s="20" t="s">
        <v>229</v>
      </c>
      <c r="B113" s="17" t="str">
        <f t="shared" si="100"/>
        <v>CL 72:4</v>
      </c>
      <c r="C113" s="1" t="str">
        <f t="shared" si="101"/>
        <v>72</v>
      </c>
      <c r="D113" s="1" t="str">
        <f t="shared" si="102"/>
        <v>4</v>
      </c>
      <c r="E113" s="17">
        <f t="shared" si="103"/>
        <v>81</v>
      </c>
      <c r="F113" s="17">
        <f t="shared" si="104"/>
        <v>150</v>
      </c>
      <c r="G113" s="17">
        <v>0</v>
      </c>
      <c r="H113" s="17">
        <f t="shared" si="105"/>
        <v>17</v>
      </c>
      <c r="I113" s="17">
        <v>2</v>
      </c>
      <c r="L113" s="19" t="str">
        <f t="shared" si="106"/>
        <v>C81H150O17P2</v>
      </c>
      <c r="M113" s="19">
        <f t="shared" si="107"/>
        <v>1457.0347710000001</v>
      </c>
      <c r="N113" s="19">
        <f t="shared" si="108"/>
        <v>1458.0420456000002</v>
      </c>
      <c r="O113" s="42">
        <f t="shared" si="109"/>
        <v>1440.0309256000003</v>
      </c>
      <c r="P113" s="42">
        <f t="shared" si="110"/>
        <v>1475.0685910000002</v>
      </c>
      <c r="Q113" s="42">
        <f t="shared" si="111"/>
        <v>1480.023991</v>
      </c>
      <c r="R113" s="42">
        <f t="shared" si="112"/>
        <v>1495.9979310000001</v>
      </c>
      <c r="S113" s="42">
        <f t="shared" si="113"/>
        <v>1464.0502310000002</v>
      </c>
      <c r="T113" s="19">
        <f t="shared" si="114"/>
        <v>1456.0274964</v>
      </c>
      <c r="U113" s="19">
        <f t="shared" si="115"/>
        <v>1502.032991</v>
      </c>
      <c r="V113" s="19">
        <f t="shared" si="116"/>
        <v>1516.0486410000001</v>
      </c>
      <c r="W113" s="42">
        <f t="shared" si="87"/>
        <v>727.51011089999997</v>
      </c>
      <c r="Y113" s="42">
        <f t="shared" si="149"/>
        <v>746.55120550000004</v>
      </c>
      <c r="Z113" s="42">
        <f t="shared" si="150"/>
        <v>751.50660550000009</v>
      </c>
      <c r="AA113" s="42">
        <f t="shared" si="151"/>
        <v>767.48054550000006</v>
      </c>
      <c r="AB113" s="42">
        <f t="shared" si="152"/>
        <v>740.51563280000005</v>
      </c>
      <c r="AC113" s="42">
        <f t="shared" si="153"/>
        <v>748.50260280000009</v>
      </c>
    </row>
    <row r="114" spans="1:29" x14ac:dyDescent="0.25">
      <c r="A114" s="20" t="s">
        <v>228</v>
      </c>
      <c r="B114" s="17" t="str">
        <f t="shared" si="100"/>
        <v>CL 72:3</v>
      </c>
      <c r="C114" s="1" t="str">
        <f t="shared" si="101"/>
        <v>72</v>
      </c>
      <c r="D114" s="1" t="str">
        <f t="shared" si="102"/>
        <v>3</v>
      </c>
      <c r="E114" s="17">
        <f t="shared" si="103"/>
        <v>81</v>
      </c>
      <c r="F114" s="17">
        <f t="shared" si="104"/>
        <v>152</v>
      </c>
      <c r="G114" s="17">
        <v>0</v>
      </c>
      <c r="H114" s="17">
        <f t="shared" si="105"/>
        <v>17</v>
      </c>
      <c r="I114" s="17">
        <v>2</v>
      </c>
      <c r="L114" s="19" t="str">
        <f t="shared" si="106"/>
        <v>C81H152O17P2</v>
      </c>
      <c r="M114" s="19">
        <f t="shared" si="107"/>
        <v>1459.0504202</v>
      </c>
      <c r="N114" s="19">
        <f t="shared" si="108"/>
        <v>1460.0576948</v>
      </c>
      <c r="O114" s="42">
        <f t="shared" si="109"/>
        <v>1442.0465748000001</v>
      </c>
      <c r="P114" s="42">
        <f t="shared" si="110"/>
        <v>1477.0842402000001</v>
      </c>
      <c r="Q114" s="42">
        <f t="shared" si="111"/>
        <v>1482.0396401999999</v>
      </c>
      <c r="R114" s="42">
        <f t="shared" si="112"/>
        <v>1498.0135802</v>
      </c>
      <c r="S114" s="42">
        <f t="shared" si="113"/>
        <v>1466.0658802</v>
      </c>
      <c r="T114" s="19">
        <f t="shared" si="114"/>
        <v>1458.0431455999999</v>
      </c>
      <c r="U114" s="19">
        <f t="shared" si="115"/>
        <v>1504.0486401999999</v>
      </c>
      <c r="V114" s="19">
        <f t="shared" si="116"/>
        <v>1518.0642902</v>
      </c>
      <c r="W114" s="42">
        <f t="shared" si="87"/>
        <v>728.51793549999991</v>
      </c>
      <c r="Y114" s="42">
        <f t="shared" si="149"/>
        <v>747.55903009999997</v>
      </c>
      <c r="Z114" s="42">
        <f t="shared" si="150"/>
        <v>752.51443010000003</v>
      </c>
      <c r="AA114" s="42">
        <f t="shared" si="151"/>
        <v>768.4883701</v>
      </c>
      <c r="AB114" s="42">
        <f t="shared" si="152"/>
        <v>741.52345739999998</v>
      </c>
      <c r="AC114" s="42">
        <f t="shared" si="153"/>
        <v>749.51042740000003</v>
      </c>
    </row>
    <row r="115" spans="1:29" x14ac:dyDescent="0.25">
      <c r="A115" s="20" t="s">
        <v>203</v>
      </c>
      <c r="B115" s="17" t="str">
        <f>IF(ISNUMBER(SEARCH("[",A115)),IF(ISNUMBER(SEARCH("/",A115)),CONCATENATE(MID(A115,1,2)," ",(SUM(MID(A115,FIND("[",A115)+1,FIND(":",A115)-FIND("[",A115)-1),MID(A115,FIND("/",A115)+1,FIND(":",A115,FIND("/",A115))-FIND("/",A115)-1),MID(A115,FIND("[",A115,FIND("[",A115)+1)+1,(FIND(":",A115,FIND("[",A115))-FIND("[",A115)-1)),MID(A115,FIND("/",A115,FIND("/",A115)+1)+1,FIND(":",A115,FIND("/",A115,FIND("[",A115,FIND("[",A115)+1)+1))-FIND("/",A115,FIND("[",A115,FIND("[",A115)+1)+1)-1))),":",SUM(MID(A115,FIND(":",A115)+1,FIND("/",A115)-FIND(":",A115)-1),MID(A115,FIND(":",A115,FIND("/",A115))+1,FIND("]",A115)-FIND(":",A115,FIND("/",A115))-1),MID(A115,FIND(":",A115,FIND("[",A115,FIND("[",A115)+1))+1,(FIND("/",A115,FIND("[",A115,FIND("[",A115)+1)+1)-FIND(":",A115,FIND("[",A115,FIND("[",A115)+1))-1)),MID(A115,FIND(":",A115,FIND("/",A115,FIND("]",A115)+1))+1,(FIND("]",A115,FIND("[",A115,FIND("[",A115)+1)+1)-FIND(":",A115,FIND("/",A115,FIND("]",A115)+1))-1))),MID(A115,(FIND(")",A115)+1),100)),CONCATENATE(MID(A115,1,2)," ",(SUM(MID(A115,FIND("[",A115)+1,FIND(":",A115)-FIND("[",A115)-1),MID(A115,FIND("_",A115)+1,FIND(":",A115,FIND("_",A115))-FIND("_",A115)-1),MID(A115,FIND("[",A115,FIND("[",A115)+1)+1,(FIND(":",A115,FIND("[",A115))-FIND("[",A115)-1)),MID(A115,FIND("_",A115,FIND("_",A115)+1)+1,FIND(":",A115,FIND("_",A115,FIND("[",A115,FIND("[",A115)+1)+1))-FIND("_",A115,FIND("[",A115,FIND("[",A115)+1)+1)-1))),":",SUM(MID(A115,FIND(":",A115)+1,FIND("_",A115)-FIND(":",A115)-1),MID(A115,FIND(":",A115,FIND("_",A115))+1,FIND("]",A115)-FIND(":",A115,FIND("_",A115))-1),MID(A115,FIND(":",A115,FIND("[",A115,FIND("[",A115)+1))+1,(FIND("_",A115,FIND("[",A115,FIND("[",A115)+1)+1)-FIND(":",A115,FIND("[",A115,FIND("[",A115)+1))-1)),MID(A115,FIND(":",A115,FIND("_",A115,FIND("]",A115)+1))+1,(FIND("]",A115,FIND("[",A115,FIND("[",A115)+1)+1)-FIND(":",A115,FIND("_",A115,FIND("]",A115)+1))-1))),MID(A115,(FIND(")",A115)+1),100))),A115)</f>
        <v>CL 72:2</v>
      </c>
      <c r="C115" s="1" t="str">
        <f>MID(B115,4,FIND(":",B115)-FIND(" ",B115)-1)</f>
        <v>72</v>
      </c>
      <c r="D115" s="1" t="str">
        <f>IF(ISNUMBER(SEARCH("__",B115)),MID(B115,FIND(":",B115)+1,FIND("__",B115)-FIND(":",B115)-1),MID(B115,FIND(":",B115)+1,7))</f>
        <v>2</v>
      </c>
      <c r="E115" s="17">
        <f t="shared" si="103"/>
        <v>81</v>
      </c>
      <c r="F115" s="17">
        <f t="shared" si="104"/>
        <v>154</v>
      </c>
      <c r="G115" s="17">
        <v>0</v>
      </c>
      <c r="H115" s="17">
        <f t="shared" si="105"/>
        <v>17</v>
      </c>
      <c r="I115" s="17">
        <v>2</v>
      </c>
      <c r="L115" s="19" t="str">
        <f t="shared" si="106"/>
        <v>C81H154O17P2</v>
      </c>
      <c r="M115" s="19">
        <f t="shared" si="107"/>
        <v>1461.0660694000001</v>
      </c>
      <c r="N115" s="19">
        <f t="shared" si="108"/>
        <v>1462.0733440000001</v>
      </c>
      <c r="O115" s="42">
        <f t="shared" si="109"/>
        <v>1444.0622240000002</v>
      </c>
      <c r="P115" s="42">
        <f t="shared" si="110"/>
        <v>1479.0998894000002</v>
      </c>
      <c r="Q115" s="42">
        <f t="shared" si="111"/>
        <v>1484.0552894</v>
      </c>
      <c r="R115" s="42">
        <f t="shared" si="112"/>
        <v>1500.0292294000001</v>
      </c>
      <c r="S115" s="42">
        <f t="shared" si="113"/>
        <v>1468.0815294000001</v>
      </c>
      <c r="T115" s="19">
        <f t="shared" si="114"/>
        <v>1460.0587948</v>
      </c>
      <c r="U115" s="19">
        <f t="shared" si="115"/>
        <v>1506.0642894</v>
      </c>
      <c r="V115" s="19">
        <f t="shared" si="116"/>
        <v>1520.0799394000001</v>
      </c>
      <c r="W115" s="42">
        <f t="shared" si="87"/>
        <v>729.52576009999996</v>
      </c>
      <c r="Y115" s="42">
        <f t="shared" si="149"/>
        <v>748.56685470000002</v>
      </c>
      <c r="Z115" s="42">
        <f t="shared" si="150"/>
        <v>753.52225470000008</v>
      </c>
      <c r="AA115" s="42">
        <f t="shared" si="151"/>
        <v>769.49619470000005</v>
      </c>
      <c r="AB115" s="42">
        <f t="shared" si="152"/>
        <v>742.53128200000003</v>
      </c>
      <c r="AC115" s="42">
        <f t="shared" si="153"/>
        <v>750.51825200000007</v>
      </c>
    </row>
    <row r="116" spans="1:29" x14ac:dyDescent="0.25">
      <c r="A116" s="20" t="s">
        <v>189</v>
      </c>
      <c r="B116" s="17" t="str">
        <f>IF(ISNUMBER(SEARCH("[",A116)),IF(ISNUMBER(SEARCH("/",A116)),CONCATENATE(MID(A116,1,2)," ",(SUM(MID(A116,FIND("[",A116)+1,FIND(":",A116)-FIND("[",A116)-1),MID(A116,FIND("/",A116)+1,FIND(":",A116,FIND("/",A116))-FIND("/",A116)-1),MID(A116,FIND("[",A116,FIND("[",A116)+1)+1,(FIND(":",A116,FIND("[",A116))-FIND("[",A116)-1)),MID(A116,FIND("/",A116,FIND("/",A116)+1)+1,FIND(":",A116,FIND("/",A116,FIND("[",A116,FIND("[",A116)+1)+1))-FIND("/",A116,FIND("[",A116,FIND("[",A116)+1)+1)-1))),":",SUM(MID(A116,FIND(":",A116)+1,FIND("/",A116)-FIND(":",A116)-1),MID(A116,FIND(":",A116,FIND("/",A116))+1,FIND("]",A116)-FIND(":",A116,FIND("/",A116))-1),MID(A116,FIND(":",A116,FIND("[",A116,FIND("[",A116)+1))+1,(FIND("/",A116,FIND("[",A116,FIND("[",A116)+1)+1)-FIND(":",A116,FIND("[",A116,FIND("[",A116)+1))-1)),MID(A116,FIND(":",A116,FIND("/",A116,FIND("]",A116)+1))+1,(FIND("]",A116,FIND("[",A116,FIND("[",A116)+1)+1)-FIND(":",A116,FIND("/",A116,FIND("]",A116)+1))-1))),MID(A116,(FIND(")",A116)+1),100)),CONCATENATE(MID(A116,1,2)," ",(SUM(MID(A116,FIND("[",A116)+1,FIND(":",A116)-FIND("[",A116)-1),MID(A116,FIND("_",A116)+1,FIND(":",A116,FIND("_",A116))-FIND("_",A116)-1),MID(A116,FIND("[",A116,FIND("[",A116)+1)+1,(FIND(":",A116,FIND("[",A116))-FIND("[",A116)-1)),MID(A116,FIND("_",A116,FIND("_",A116)+1)+1,FIND(":",A116,FIND("_",A116,FIND("[",A116,FIND("[",A116)+1)+1))-FIND("_",A116,FIND("[",A116,FIND("[",A116)+1)+1)-1))),":",SUM(MID(A116,FIND(":",A116)+1,FIND("_",A116)-FIND(":",A116)-1),MID(A116,FIND(":",A116,FIND("_",A116))+1,FIND("]",A116)-FIND(":",A116,FIND("_",A116))-1),MID(A116,FIND(":",A116,FIND("[",A116,FIND("[",A116)+1))+1,(FIND("_",A116,FIND("[",A116,FIND("[",A116)+1)+1)-FIND(":",A116,FIND("[",A116,FIND("[",A116)+1))-1)),MID(A116,FIND(":",A116,FIND("_",A116,FIND("]",A116)+1))+1,(FIND("]",A116,FIND("[",A116,FIND("[",A116)+1)+1)-FIND(":",A116,FIND("_",A116,FIND("]",A116)+1))-1))),MID(A116,(FIND(")",A116)+1),100))),A116)</f>
        <v>CL 72:1</v>
      </c>
      <c r="C116" s="1" t="str">
        <f>MID(B116,4,FIND(":",B116)-FIND(" ",B116)-1)</f>
        <v>72</v>
      </c>
      <c r="D116" s="1" t="str">
        <f>IF(ISNUMBER(SEARCH("__",B116)),MID(B116,FIND(":",B116)+1,FIND("__",B116)-FIND(":",B116)-1),MID(B116,FIND(":",B116)+1,7))</f>
        <v>1</v>
      </c>
      <c r="E116" s="17">
        <f t="shared" si="103"/>
        <v>81</v>
      </c>
      <c r="F116" s="17">
        <f t="shared" si="104"/>
        <v>156</v>
      </c>
      <c r="G116" s="17">
        <v>0</v>
      </c>
      <c r="H116" s="17">
        <f t="shared" si="105"/>
        <v>17</v>
      </c>
      <c r="I116" s="17">
        <v>2</v>
      </c>
      <c r="L116" s="19" t="str">
        <f t="shared" si="106"/>
        <v>C81H156O17P2</v>
      </c>
      <c r="M116" s="19">
        <f t="shared" si="107"/>
        <v>1463.0817185999999</v>
      </c>
      <c r="N116" s="19">
        <f t="shared" si="108"/>
        <v>1464.0889932</v>
      </c>
      <c r="O116" s="42">
        <f t="shared" si="109"/>
        <v>1446.0778732000001</v>
      </c>
      <c r="P116" s="42">
        <f t="shared" si="110"/>
        <v>1481.1155386</v>
      </c>
      <c r="Q116" s="42">
        <f t="shared" si="111"/>
        <v>1486.0709385999999</v>
      </c>
      <c r="R116" s="42">
        <f t="shared" si="112"/>
        <v>1502.0448785999999</v>
      </c>
      <c r="S116" s="42">
        <f t="shared" si="113"/>
        <v>1470.0971786</v>
      </c>
      <c r="T116" s="19">
        <f t="shared" si="114"/>
        <v>1462.0744439999999</v>
      </c>
      <c r="U116" s="19">
        <f t="shared" si="115"/>
        <v>1508.0799385999999</v>
      </c>
      <c r="V116" s="19">
        <f t="shared" si="116"/>
        <v>1522.0955885999999</v>
      </c>
      <c r="W116" s="42">
        <f t="shared" si="87"/>
        <v>730.53358469999989</v>
      </c>
      <c r="Y116" s="42">
        <f t="shared" si="149"/>
        <v>749.57467929999996</v>
      </c>
      <c r="Z116" s="42">
        <f t="shared" si="150"/>
        <v>754.53007930000001</v>
      </c>
      <c r="AA116" s="42">
        <f t="shared" si="151"/>
        <v>770.50401929999998</v>
      </c>
      <c r="AB116" s="42">
        <f t="shared" si="152"/>
        <v>743.53910659999997</v>
      </c>
      <c r="AC116" s="42">
        <f t="shared" si="153"/>
        <v>751.52607660000001</v>
      </c>
    </row>
    <row r="117" spans="1:29" x14ac:dyDescent="0.25">
      <c r="A117" s="20" t="s">
        <v>162</v>
      </c>
      <c r="B117" s="17" t="str">
        <f t="shared" si="100"/>
        <v>CL 72:0</v>
      </c>
      <c r="C117" s="1" t="str">
        <f t="shared" si="101"/>
        <v>72</v>
      </c>
      <c r="D117" s="1" t="str">
        <f t="shared" si="102"/>
        <v>0</v>
      </c>
      <c r="E117" s="17">
        <f t="shared" si="103"/>
        <v>81</v>
      </c>
      <c r="F117" s="17">
        <f t="shared" si="104"/>
        <v>158</v>
      </c>
      <c r="G117" s="17">
        <v>0</v>
      </c>
      <c r="H117" s="17">
        <f t="shared" si="105"/>
        <v>17</v>
      </c>
      <c r="I117" s="17">
        <v>2</v>
      </c>
      <c r="L117" s="19" t="str">
        <f t="shared" si="106"/>
        <v>C81H158O17P2</v>
      </c>
      <c r="M117" s="19">
        <f t="shared" si="107"/>
        <v>1465.0973678</v>
      </c>
      <c r="N117" s="19">
        <f t="shared" si="108"/>
        <v>1466.1046424000001</v>
      </c>
      <c r="O117" s="42">
        <f t="shared" si="109"/>
        <v>1448.0935224000002</v>
      </c>
      <c r="P117" s="42">
        <f t="shared" si="110"/>
        <v>1483.1311878000001</v>
      </c>
      <c r="Q117" s="42">
        <f t="shared" si="111"/>
        <v>1488.0865878</v>
      </c>
      <c r="R117" s="42">
        <f t="shared" si="112"/>
        <v>1504.0605278</v>
      </c>
      <c r="S117" s="42">
        <f t="shared" si="113"/>
        <v>1472.1128278000001</v>
      </c>
      <c r="T117" s="19">
        <f t="shared" si="114"/>
        <v>1464.0900932</v>
      </c>
      <c r="U117" s="19">
        <f t="shared" si="115"/>
        <v>1510.0955878</v>
      </c>
      <c r="V117" s="19">
        <f t="shared" si="116"/>
        <v>1524.1112378</v>
      </c>
      <c r="W117" s="42">
        <f t="shared" si="87"/>
        <v>731.54140929999994</v>
      </c>
      <c r="Y117" s="42">
        <f t="shared" si="149"/>
        <v>750.58250390000001</v>
      </c>
      <c r="Z117" s="42">
        <f t="shared" si="150"/>
        <v>755.53790390000006</v>
      </c>
      <c r="AA117" s="42">
        <f t="shared" si="151"/>
        <v>771.51184390000003</v>
      </c>
      <c r="AB117" s="42">
        <f t="shared" si="152"/>
        <v>744.54693120000002</v>
      </c>
      <c r="AC117" s="42">
        <f t="shared" si="153"/>
        <v>752.53390120000006</v>
      </c>
    </row>
    <row r="118" spans="1:29" x14ac:dyDescent="0.25">
      <c r="A118" s="20" t="s">
        <v>250</v>
      </c>
      <c r="B118" s="17" t="str">
        <f t="shared" si="100"/>
        <v>CL 73:3</v>
      </c>
      <c r="C118" s="1" t="str">
        <f t="shared" si="101"/>
        <v>73</v>
      </c>
      <c r="D118" s="1" t="str">
        <f t="shared" si="102"/>
        <v>3</v>
      </c>
      <c r="E118" s="17">
        <f t="shared" si="103"/>
        <v>82</v>
      </c>
      <c r="F118" s="17">
        <f t="shared" si="104"/>
        <v>154</v>
      </c>
      <c r="G118" s="17">
        <v>0</v>
      </c>
      <c r="H118" s="17">
        <f t="shared" si="105"/>
        <v>17</v>
      </c>
      <c r="I118" s="17">
        <v>2</v>
      </c>
      <c r="L118" s="19" t="str">
        <f t="shared" ref="L118" si="155">CONCATENATE("C",E118,"H",F118,"O",H118,"P",I118)</f>
        <v>C82H154O17P2</v>
      </c>
      <c r="M118" s="19">
        <f t="shared" ref="M118" si="156">(E118*12)+(F118*1.0078246)+(G118*14.003074)+(H118*15.994915)+(I118*30.973763)</f>
        <v>1473.0660694000001</v>
      </c>
      <c r="N118" s="19">
        <f t="shared" ref="N118" si="157">M118+1.0078246-0.00055</f>
        <v>1474.0733440000001</v>
      </c>
      <c r="O118" s="42">
        <f t="shared" ref="O118" si="158">N118-18.01057-0.00055</f>
        <v>1456.0622240000002</v>
      </c>
      <c r="P118" s="42">
        <f t="shared" ref="P118" si="159">M118+18.03437-0.00055</f>
        <v>1491.0998894000002</v>
      </c>
      <c r="Q118" s="42">
        <f t="shared" ref="Q118" si="160">M118+22.98977-0.00055</f>
        <v>1496.0552894</v>
      </c>
      <c r="R118" s="42">
        <f t="shared" ref="R118" si="161">M118+38.96371-0.00055</f>
        <v>1512.0292294000001</v>
      </c>
      <c r="S118" s="42">
        <f t="shared" ref="S118" si="162">M118+7.01601-0.00055</f>
        <v>1480.0815294000001</v>
      </c>
      <c r="T118" s="19">
        <f t="shared" ref="T118" si="163">M118-1.0078246+0.00055</f>
        <v>1472.0587948</v>
      </c>
      <c r="U118" s="19">
        <f t="shared" ref="U118" si="164">M118+44.99767+0.00055</f>
        <v>1518.0642894</v>
      </c>
      <c r="V118" s="19">
        <f t="shared" ref="V118" si="165">M118+59.01332+0.00055</f>
        <v>1532.0799394000001</v>
      </c>
      <c r="W118" s="42">
        <f t="shared" si="87"/>
        <v>735.52576009999996</v>
      </c>
      <c r="Y118" s="42">
        <f t="shared" si="149"/>
        <v>754.56685470000002</v>
      </c>
      <c r="Z118" s="42">
        <f t="shared" si="150"/>
        <v>759.52225470000008</v>
      </c>
      <c r="AA118" s="42">
        <f t="shared" si="151"/>
        <v>775.49619470000005</v>
      </c>
      <c r="AB118" s="42">
        <f t="shared" si="152"/>
        <v>748.53128200000003</v>
      </c>
      <c r="AC118" s="42">
        <f t="shared" si="153"/>
        <v>756.51825200000007</v>
      </c>
    </row>
    <row r="119" spans="1:29" x14ac:dyDescent="0.25">
      <c r="A119" s="20" t="s">
        <v>249</v>
      </c>
      <c r="B119" s="17" t="str">
        <f t="shared" si="100"/>
        <v>CL 73:2</v>
      </c>
      <c r="C119" s="1" t="str">
        <f t="shared" si="101"/>
        <v>73</v>
      </c>
      <c r="D119" s="1" t="str">
        <f t="shared" si="102"/>
        <v>2</v>
      </c>
      <c r="E119" s="17">
        <f t="shared" si="103"/>
        <v>82</v>
      </c>
      <c r="F119" s="17">
        <f t="shared" si="104"/>
        <v>156</v>
      </c>
      <c r="G119" s="17">
        <v>0</v>
      </c>
      <c r="H119" s="17">
        <f t="shared" si="105"/>
        <v>17</v>
      </c>
      <c r="I119" s="17">
        <v>2</v>
      </c>
      <c r="L119" s="19" t="str">
        <f t="shared" ref="L119" si="166">CONCATENATE("C",E119,"H",F119,"O",H119,"P",I119)</f>
        <v>C82H156O17P2</v>
      </c>
      <c r="M119" s="19">
        <f t="shared" ref="M119" si="167">(E119*12)+(F119*1.0078246)+(G119*14.003074)+(H119*15.994915)+(I119*30.973763)</f>
        <v>1475.0817185999999</v>
      </c>
      <c r="N119" s="19">
        <f t="shared" ref="N119" si="168">M119+1.0078246-0.00055</f>
        <v>1476.0889932</v>
      </c>
      <c r="O119" s="42">
        <f t="shared" ref="O119" si="169">N119-18.01057-0.00055</f>
        <v>1458.0778732000001</v>
      </c>
      <c r="P119" s="42">
        <f t="shared" ref="P119" si="170">M119+18.03437-0.00055</f>
        <v>1493.1155386</v>
      </c>
      <c r="Q119" s="42">
        <f t="shared" ref="Q119" si="171">M119+22.98977-0.00055</f>
        <v>1498.0709385999999</v>
      </c>
      <c r="R119" s="42">
        <f t="shared" ref="R119" si="172">M119+38.96371-0.00055</f>
        <v>1514.0448785999999</v>
      </c>
      <c r="S119" s="42">
        <f t="shared" ref="S119" si="173">M119+7.01601-0.00055</f>
        <v>1482.0971786</v>
      </c>
      <c r="T119" s="19">
        <f t="shared" ref="T119" si="174">M119-1.0078246+0.00055</f>
        <v>1474.0744439999999</v>
      </c>
      <c r="U119" s="19">
        <f t="shared" ref="U119" si="175">M119+44.99767+0.00055</f>
        <v>1520.0799385999999</v>
      </c>
      <c r="V119" s="19">
        <f t="shared" ref="V119" si="176">M119+59.01332+0.00055</f>
        <v>1534.0955885999999</v>
      </c>
      <c r="W119" s="42">
        <f t="shared" ref="W119:W121" si="177">(T119-1.0078246+0.00055)/2</f>
        <v>736.53358469999989</v>
      </c>
      <c r="Y119" s="42">
        <f t="shared" si="149"/>
        <v>755.57467929999996</v>
      </c>
      <c r="Z119" s="42">
        <f t="shared" si="150"/>
        <v>760.53007930000001</v>
      </c>
      <c r="AA119" s="42">
        <f t="shared" si="151"/>
        <v>776.50401929999998</v>
      </c>
      <c r="AB119" s="42">
        <f t="shared" si="152"/>
        <v>749.53910659999997</v>
      </c>
      <c r="AC119" s="42">
        <f t="shared" si="153"/>
        <v>757.52607660000001</v>
      </c>
    </row>
    <row r="120" spans="1:29" x14ac:dyDescent="0.25">
      <c r="A120" s="20" t="s">
        <v>248</v>
      </c>
      <c r="B120" s="17" t="str">
        <f t="shared" si="100"/>
        <v>CL 73:1</v>
      </c>
      <c r="C120" s="1" t="str">
        <f t="shared" si="101"/>
        <v>73</v>
      </c>
      <c r="D120" s="1" t="str">
        <f t="shared" si="102"/>
        <v>1</v>
      </c>
      <c r="E120" s="17">
        <f t="shared" si="103"/>
        <v>82</v>
      </c>
      <c r="F120" s="17">
        <f t="shared" si="104"/>
        <v>158</v>
      </c>
      <c r="G120" s="17">
        <v>0</v>
      </c>
      <c r="H120" s="17">
        <f t="shared" si="105"/>
        <v>17</v>
      </c>
      <c r="I120" s="17">
        <v>2</v>
      </c>
      <c r="L120" s="19" t="str">
        <f t="shared" ref="L120" si="178">CONCATENATE("C",E120,"H",F120,"O",H120,"P",I120)</f>
        <v>C82H158O17P2</v>
      </c>
      <c r="M120" s="19">
        <f t="shared" ref="M120" si="179">(E120*12)+(F120*1.0078246)+(G120*14.003074)+(H120*15.994915)+(I120*30.973763)</f>
        <v>1477.0973678</v>
      </c>
      <c r="N120" s="19">
        <f t="shared" ref="N120" si="180">M120+1.0078246-0.00055</f>
        <v>1478.1046424000001</v>
      </c>
      <c r="O120" s="42">
        <f t="shared" ref="O120" si="181">N120-18.01057-0.00055</f>
        <v>1460.0935224000002</v>
      </c>
      <c r="P120" s="42">
        <f t="shared" ref="P120" si="182">M120+18.03437-0.00055</f>
        <v>1495.1311878000001</v>
      </c>
      <c r="Q120" s="42">
        <f t="shared" ref="Q120" si="183">M120+22.98977-0.00055</f>
        <v>1500.0865878</v>
      </c>
      <c r="R120" s="42">
        <f t="shared" ref="R120" si="184">M120+38.96371-0.00055</f>
        <v>1516.0605278</v>
      </c>
      <c r="S120" s="42">
        <f t="shared" ref="S120" si="185">M120+7.01601-0.00055</f>
        <v>1484.1128278000001</v>
      </c>
      <c r="T120" s="19">
        <f t="shared" ref="T120" si="186">M120-1.0078246+0.00055</f>
        <v>1476.0900932</v>
      </c>
      <c r="U120" s="19">
        <f t="shared" ref="U120" si="187">M120+44.99767+0.00055</f>
        <v>1522.0955878</v>
      </c>
      <c r="V120" s="19">
        <f t="shared" ref="V120" si="188">M120+59.01332+0.00055</f>
        <v>1536.1112378</v>
      </c>
      <c r="W120" s="42">
        <f t="shared" si="177"/>
        <v>737.54140929999994</v>
      </c>
      <c r="Y120" s="42">
        <f t="shared" si="149"/>
        <v>756.58250390000001</v>
      </c>
      <c r="Z120" s="42">
        <f t="shared" si="150"/>
        <v>761.53790390000006</v>
      </c>
      <c r="AA120" s="42">
        <f t="shared" si="151"/>
        <v>777.51184390000003</v>
      </c>
      <c r="AB120" s="42">
        <f t="shared" si="152"/>
        <v>750.54693120000002</v>
      </c>
      <c r="AC120" s="42">
        <f t="shared" si="153"/>
        <v>758.53390120000006</v>
      </c>
    </row>
    <row r="121" spans="1:29" x14ac:dyDescent="0.25">
      <c r="A121" s="19" t="s">
        <v>247</v>
      </c>
      <c r="B121" s="17" t="str">
        <f t="shared" si="100"/>
        <v>CL 73:0</v>
      </c>
      <c r="C121" s="1" t="str">
        <f t="shared" si="101"/>
        <v>73</v>
      </c>
      <c r="D121" s="1" t="str">
        <f t="shared" si="102"/>
        <v>0</v>
      </c>
      <c r="E121" s="17">
        <f t="shared" si="103"/>
        <v>82</v>
      </c>
      <c r="F121" s="17">
        <f t="shared" si="104"/>
        <v>160</v>
      </c>
      <c r="G121" s="17">
        <v>0</v>
      </c>
      <c r="H121" s="17">
        <f t="shared" si="105"/>
        <v>17</v>
      </c>
      <c r="I121" s="17">
        <v>2</v>
      </c>
      <c r="L121" s="19" t="str">
        <f t="shared" ref="L121" si="189">CONCATENATE("C",E121,"H",F121,"O",H121,"P",I121)</f>
        <v>C82H160O17P2</v>
      </c>
      <c r="M121" s="19">
        <f t="shared" ref="M121" si="190">(E121*12)+(F121*1.0078246)+(G121*14.003074)+(H121*15.994915)+(I121*30.973763)</f>
        <v>1479.1130170000001</v>
      </c>
      <c r="N121" s="19">
        <f t="shared" ref="N121" si="191">M121+1.0078246-0.00055</f>
        <v>1480.1202916000002</v>
      </c>
      <c r="O121" s="42">
        <f t="shared" ref="O121" si="192">N121-18.01057-0.00055</f>
        <v>1462.1091716000003</v>
      </c>
      <c r="P121" s="42">
        <f t="shared" ref="P121" si="193">M121+18.03437-0.00055</f>
        <v>1497.1468370000002</v>
      </c>
      <c r="Q121" s="42">
        <f t="shared" ref="Q121" si="194">M121+22.98977-0.00055</f>
        <v>1502.1022370000001</v>
      </c>
      <c r="R121" s="42">
        <f t="shared" ref="R121" si="195">M121+38.96371-0.00055</f>
        <v>1518.0761770000001</v>
      </c>
      <c r="S121" s="42">
        <f t="shared" ref="S121" si="196">M121+7.01601-0.00055</f>
        <v>1486.1284770000002</v>
      </c>
      <c r="T121" s="19">
        <f t="shared" ref="T121" si="197">M121-1.0078246+0.00055</f>
        <v>1478.1057424000001</v>
      </c>
      <c r="U121" s="19">
        <f t="shared" ref="U121" si="198">M121+44.99767+0.00055</f>
        <v>1524.1112370000001</v>
      </c>
      <c r="V121" s="19">
        <f t="shared" ref="V121" si="199">M121+59.01332+0.00055</f>
        <v>1538.1268870000001</v>
      </c>
      <c r="W121" s="42">
        <f t="shared" si="177"/>
        <v>738.54923389999999</v>
      </c>
      <c r="Y121" s="42">
        <f t="shared" si="149"/>
        <v>757.59032850000006</v>
      </c>
      <c r="Z121" s="42">
        <f t="shared" si="150"/>
        <v>762.54572850000011</v>
      </c>
      <c r="AA121" s="42">
        <f t="shared" si="151"/>
        <v>778.51966850000008</v>
      </c>
      <c r="AB121" s="42">
        <f t="shared" si="152"/>
        <v>751.55475580000007</v>
      </c>
      <c r="AC121" s="42">
        <f t="shared" si="153"/>
        <v>759.54172580000011</v>
      </c>
    </row>
    <row r="122" spans="1:29" x14ac:dyDescent="0.25">
      <c r="C122" s="1"/>
      <c r="D122" s="1"/>
      <c r="W122" s="42"/>
      <c r="AB122" s="42"/>
      <c r="AC122" s="42"/>
    </row>
    <row r="123" spans="1:29" x14ac:dyDescent="0.25">
      <c r="C123" s="1"/>
      <c r="D123" s="1"/>
      <c r="W123" s="42"/>
      <c r="AB123" s="42"/>
      <c r="AC123" s="42"/>
    </row>
    <row r="124" spans="1:29" x14ac:dyDescent="0.25">
      <c r="C124" s="1"/>
      <c r="D124" s="1"/>
      <c r="W124" s="42"/>
      <c r="AB124" s="42"/>
      <c r="AC124" s="42"/>
    </row>
    <row r="125" spans="1:29" x14ac:dyDescent="0.25">
      <c r="C125" s="1"/>
      <c r="D125" s="1"/>
      <c r="W125" s="42"/>
      <c r="AB125" s="42"/>
      <c r="AC125" s="42"/>
    </row>
    <row r="126" spans="1:29" x14ac:dyDescent="0.25">
      <c r="C126" s="1"/>
      <c r="D126" s="1"/>
      <c r="W126" s="42"/>
      <c r="AB126" s="42"/>
      <c r="AC126" s="42"/>
    </row>
    <row r="127" spans="1:29" x14ac:dyDescent="0.25">
      <c r="C127" s="1"/>
      <c r="D127" s="1"/>
      <c r="W127" s="42"/>
      <c r="AB127" s="42"/>
      <c r="AC127" s="42"/>
    </row>
    <row r="128" spans="1:29" x14ac:dyDescent="0.25">
      <c r="C128" s="1"/>
      <c r="D128" s="1"/>
      <c r="W128" s="42"/>
    </row>
    <row r="129" spans="3:23" x14ac:dyDescent="0.25">
      <c r="C129" s="1"/>
      <c r="D129" s="1"/>
      <c r="W129" s="42"/>
    </row>
    <row r="130" spans="3:23" x14ac:dyDescent="0.25">
      <c r="C130" s="1"/>
      <c r="D130" s="1"/>
      <c r="W130" s="42"/>
    </row>
    <row r="131" spans="3:23" x14ac:dyDescent="0.25">
      <c r="C131" s="1"/>
      <c r="D131" s="1"/>
      <c r="W131" s="42"/>
    </row>
    <row r="134" spans="3:23" x14ac:dyDescent="0.25">
      <c r="C134" s="1"/>
      <c r="D134" s="1"/>
      <c r="W134" s="42"/>
    </row>
    <row r="135" spans="3:23" x14ac:dyDescent="0.25">
      <c r="C135" s="1"/>
      <c r="D135" s="1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27D7E-B540-418B-B926-3FA03FE5FE9B}">
  <sheetPr codeName="Sheet72"/>
  <dimension ref="A1:Y51"/>
  <sheetViews>
    <sheetView showGridLines="0" zoomScaleNormal="100" workbookViewId="0">
      <pane xSplit="1" ySplit="2" topLeftCell="B3" activePane="bottomRight" state="frozen"/>
      <selection pane="topRight"/>
      <selection pane="bottomLeft"/>
      <selection pane="bottomRight" activeCell="L9" sqref="L9"/>
    </sheetView>
  </sheetViews>
  <sheetFormatPr defaultColWidth="9.140625" defaultRowHeight="15.75" x14ac:dyDescent="0.25"/>
  <cols>
    <col min="1" max="1" width="19.5703125" style="17" customWidth="1"/>
    <col min="2" max="2" width="21.140625" style="17" hidden="1" customWidth="1"/>
    <col min="3" max="3" width="3.85546875" style="17" hidden="1" customWidth="1"/>
    <col min="4" max="4" width="2.5703125" style="17" hidden="1" customWidth="1"/>
    <col min="5" max="5" width="11.7109375" style="17" hidden="1" customWidth="1"/>
    <col min="6" max="6" width="12.7109375" style="17" hidden="1" customWidth="1"/>
    <col min="7" max="7" width="10.85546875" style="17" hidden="1" customWidth="1"/>
    <col min="8" max="8" width="12.140625" style="17" hidden="1" customWidth="1"/>
    <col min="9" max="9" width="10.85546875" style="17" hidden="1" customWidth="1"/>
    <col min="10" max="10" width="9.5703125" style="17" hidden="1" customWidth="1"/>
    <col min="11" max="11" width="12" style="17" hidden="1" customWidth="1"/>
    <col min="12" max="12" width="18.42578125" style="19" bestFit="1" customWidth="1"/>
    <col min="13" max="13" width="15.85546875" style="19" bestFit="1" customWidth="1"/>
    <col min="14" max="14" width="13.5703125" style="19" bestFit="1" customWidth="1"/>
    <col min="15" max="15" width="14.42578125" style="19" bestFit="1" customWidth="1"/>
    <col min="16" max="19" width="13.5703125" style="19" bestFit="1" customWidth="1"/>
    <col min="20" max="20" width="12.140625" style="42" bestFit="1" customWidth="1"/>
    <col min="21" max="21" width="13.5703125" style="19" bestFit="1" customWidth="1"/>
    <col min="22" max="22" width="16.5703125" style="19" bestFit="1" customWidth="1"/>
    <col min="23" max="23" width="15.42578125" style="17" bestFit="1" customWidth="1"/>
  </cols>
  <sheetData>
    <row r="1" spans="1:25" s="28" customFormat="1" ht="16.5" customHeight="1" x14ac:dyDescent="0.25">
      <c r="A1" s="27" t="s">
        <v>59</v>
      </c>
      <c r="B1" s="27" t="s">
        <v>5</v>
      </c>
      <c r="C1" s="27"/>
      <c r="D1" s="27"/>
      <c r="E1" s="27"/>
      <c r="F1" s="27"/>
      <c r="G1" s="27" t="s">
        <v>0</v>
      </c>
      <c r="H1" s="27" t="s">
        <v>1</v>
      </c>
      <c r="I1" s="27" t="s">
        <v>2</v>
      </c>
      <c r="J1" s="27" t="s">
        <v>9</v>
      </c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40" t="s">
        <v>12</v>
      </c>
      <c r="U1" s="29" t="s">
        <v>10</v>
      </c>
      <c r="V1" s="29" t="s">
        <v>11</v>
      </c>
      <c r="W1" s="27"/>
    </row>
    <row r="2" spans="1:25" hidden="1" x14ac:dyDescent="0.25">
      <c r="A2" s="17" t="s">
        <v>580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AcylPG 54:1</v>
      </c>
      <c r="C2" s="1" t="str">
        <f>MID(B2,8,FIND(":",B2)-FIND(" ",B2)-1)</f>
        <v>54</v>
      </c>
      <c r="D2" s="1" t="str">
        <f>IF(ISNUMBER(SEARCH("__",B2)),MID(B2,FIND(":",B2)+1,FIND("__",B2)-FIND(":",B2)-1),MID(B2,FIND(":",B2)+1,7))</f>
        <v>1</v>
      </c>
      <c r="G2" s="17">
        <f>C2+6</f>
        <v>60</v>
      </c>
      <c r="H2" s="17">
        <f>(-2)+2*G2-(2*D2)-1-((LEN(A2)-LEN(SUBSTITUTE(A2,"_O_","")))/LEN("_O_"))*2-((LEN(A2)-LEN(SUBSTITUTE(A2,"_CHO_","")))/LEN("_CHO_"))*2-((LEN(A2)-LEN(SUBSTITUTE(A2,"_COOH_","")))/LEN("_COOH_"))*2</f>
        <v>115</v>
      </c>
      <c r="I2" s="17">
        <f>11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11</v>
      </c>
      <c r="J2" s="17">
        <v>1</v>
      </c>
      <c r="L2" s="19" t="str">
        <f>CONCATENATE("C",G2,"H",H2,"O",I2,"P",J2)</f>
        <v>C60H115O11P1</v>
      </c>
      <c r="M2" s="19">
        <f>(G2*12)+(H2*1.0078246)+(I2*15.994915)+(J2*30.973763)</f>
        <v>1042.8176570000001</v>
      </c>
      <c r="N2" s="19">
        <f>M2+1.0078246-0.00055</f>
        <v>1043.8249316000001</v>
      </c>
      <c r="O2" s="19">
        <f>N2-18.01057-0.00055</f>
        <v>1025.8138116000002</v>
      </c>
      <c r="P2" s="19">
        <f>M2+18.03437-0.00055</f>
        <v>1060.8514770000002</v>
      </c>
      <c r="Q2" s="19">
        <f>M2+22.98977-0.00055</f>
        <v>1065.806877</v>
      </c>
      <c r="R2" s="19">
        <f>M2+38.96371-0.00055</f>
        <v>1081.7808170000001</v>
      </c>
      <c r="S2" s="19">
        <f>M2+7.01601-0.00055</f>
        <v>1049.8331170000001</v>
      </c>
      <c r="T2" s="42">
        <f>M2-1.0078246+0.00055</f>
        <v>1041.8103824</v>
      </c>
      <c r="U2" s="19">
        <f>M2+44.99767+0.00055</f>
        <v>1087.815877</v>
      </c>
      <c r="V2" s="19">
        <f>M2+59.01332+0.00055</f>
        <v>1101.8315270000001</v>
      </c>
    </row>
    <row r="3" spans="1:25" x14ac:dyDescent="0.25">
      <c r="C3" s="1"/>
      <c r="D3" s="1"/>
    </row>
    <row r="4" spans="1:25" x14ac:dyDescent="0.25">
      <c r="A4" s="17" t="s">
        <v>589</v>
      </c>
      <c r="B4" s="17" t="str">
        <f t="shared" ref="B4:B18" si="0">IF(ISNUMBER(SEARCH("(",A4)),IF(ISNUMBER(SEARCH("/",A4)),CONCATENATE(MID(A4,1,2)," ",(SUM(MID(A4,FIND("(",A4)+1,FIND(":",A4)-FIND("(",A4)-1),MID(A4,FIND("/",A4)+1,FIND(":",A4,FIND("/",A4))-FIND("/",A4)-1))),":",SUM(MID(A4,FIND(":",A4)+1,FIND("/",A4)-FIND(":",A4)-1),MID(A4,FIND(":",A4,FIND("/",A4))+1,FIND(")",A4)-FIND(":",A4,FIND("/",A4))-1)),MID(A4,(FIND(")",A4)+1),100)),CONCATENATE(MID(A4,1,2)," ",(SUM(MID(A4,FIND("(",A4)+1,FIND(":",A4)-FIND("(",A4)-1),MID(A4,FIND("_",A4)+1,FIND(":",A4,FIND("_",A4))-FIND("_",A4)-1))),":",SUM(MID(A4,FIND(":",A4)+1,FIND("_",A4)-FIND(":",A4)-1),MID(A4,FIND(":",A4,FIND("_",A4))+1,FIND(")",A4)-FIND(":",A4,FIND("_",A4))-1)),MID(A4,(FIND(")",A4)+1),100))),A4)</f>
        <v>AcylPG 45:2</v>
      </c>
      <c r="C4" s="1" t="str">
        <f t="shared" ref="C4:C18" si="1">MID(B4,8,FIND(":",B4)-FIND(" ",B4)-1)</f>
        <v>45</v>
      </c>
      <c r="D4" s="1" t="str">
        <f t="shared" ref="D4:D18" si="2">IF(ISNUMBER(SEARCH("__",B4)),MID(B4,FIND(":",B4)+1,FIND("__",B4)-FIND(":",B4)-1),MID(B4,FIND(":",B4)+1,7))</f>
        <v>2</v>
      </c>
      <c r="G4" s="17">
        <f t="shared" ref="G4:G18" si="3">C4+6</f>
        <v>51</v>
      </c>
      <c r="H4" s="17">
        <f t="shared" ref="H4:H18" si="4">(-2)+2*G4-(2*D4)-1-((LEN(A4)-LEN(SUBSTITUTE(A4,"_O_","")))/LEN("_O_"))*2-((LEN(A4)-LEN(SUBSTITUTE(A4,"_CHO_","")))/LEN("_CHO_"))*2-((LEN(A4)-LEN(SUBSTITUTE(A4,"_COOH_","")))/LEN("_COOH_"))*2</f>
        <v>95</v>
      </c>
      <c r="I4" s="17">
        <f t="shared" ref="I4:I18" si="5">11+((LEN(A4)-LEN(SUBSTITUTE(A4,"_OH_","")))/LEN("_OH_"))*1+((LEN(A4)-LEN(SUBSTITUTE(A4,"_OOH_","")))/LEN("_OOH_"))*2+((LEN(A4)-LEN(SUBSTITUTE(A4,"_O_","")))/LEN("_O_"))*1+((LEN(A4)-LEN(SUBSTITUTE(A4,"_CHO_","")))/LEN("_CHO_"))*1+((LEN(A4)-LEN(SUBSTITUTE(A4,"_COOH_","")))/LEN("_COOH_"))*2</f>
        <v>11</v>
      </c>
      <c r="J4" s="17">
        <v>1</v>
      </c>
      <c r="L4" s="19" t="str">
        <f t="shared" ref="L4:L18" si="6">CONCATENATE("C",G4,"H",H4,"O",I4,"P",J4)</f>
        <v>C51H95O11P1</v>
      </c>
      <c r="M4" s="19">
        <f t="shared" ref="M4:M18" si="7">(G4*12)+(H4*1.0078246)+(I4*15.994915)+(J4*30.973763)</f>
        <v>914.66116499999998</v>
      </c>
      <c r="N4" s="19">
        <f t="shared" ref="N4:N18" si="8">M4+1.0078246-0.00055</f>
        <v>915.66843960000006</v>
      </c>
      <c r="O4" s="19">
        <f t="shared" ref="O4:O18" si="9">N4-18.01057-0.00055</f>
        <v>897.65731960000005</v>
      </c>
      <c r="P4" s="19">
        <f t="shared" ref="P4:P18" si="10">M4+18.03437-0.00055</f>
        <v>932.69498499999997</v>
      </c>
      <c r="Q4" s="19">
        <f t="shared" ref="Q4:Q18" si="11">M4+22.98977-0.00055</f>
        <v>937.65038500000003</v>
      </c>
      <c r="R4" s="19">
        <f t="shared" ref="R4:R18" si="12">M4+38.96371-0.00055</f>
        <v>953.624325</v>
      </c>
      <c r="S4" s="19">
        <f t="shared" ref="S4:S18" si="13">M4+7.01601-0.00055</f>
        <v>921.67662500000006</v>
      </c>
      <c r="T4" s="42">
        <f t="shared" ref="T4:T18" si="14">M4-1.0078246+0.00055</f>
        <v>913.65389039999991</v>
      </c>
      <c r="U4" s="19">
        <f t="shared" ref="U4:U18" si="15">M4+44.99767+0.00055</f>
        <v>959.65938499999993</v>
      </c>
      <c r="V4" s="19">
        <f t="shared" ref="V4:V18" si="16">M4+59.01332+0.00055</f>
        <v>973.67503499999998</v>
      </c>
    </row>
    <row r="5" spans="1:25" x14ac:dyDescent="0.25">
      <c r="A5" s="17" t="s">
        <v>590</v>
      </c>
      <c r="B5" s="17" t="str">
        <f t="shared" si="0"/>
        <v>AcylPG 45:1</v>
      </c>
      <c r="C5" s="1" t="str">
        <f t="shared" si="1"/>
        <v>45</v>
      </c>
      <c r="D5" s="1" t="str">
        <f t="shared" si="2"/>
        <v>1</v>
      </c>
      <c r="G5" s="17">
        <f t="shared" si="3"/>
        <v>51</v>
      </c>
      <c r="H5" s="17">
        <f t="shared" si="4"/>
        <v>97</v>
      </c>
      <c r="I5" s="17">
        <f t="shared" si="5"/>
        <v>11</v>
      </c>
      <c r="J5" s="17">
        <v>1</v>
      </c>
      <c r="L5" s="19" t="str">
        <f t="shared" si="6"/>
        <v>C51H97O11P1</v>
      </c>
      <c r="M5" s="19">
        <f t="shared" si="7"/>
        <v>916.67681419999997</v>
      </c>
      <c r="N5" s="19">
        <f t="shared" si="8"/>
        <v>917.68408880000004</v>
      </c>
      <c r="O5" s="19">
        <f t="shared" si="9"/>
        <v>899.67296880000004</v>
      </c>
      <c r="P5" s="19">
        <f t="shared" si="10"/>
        <v>934.71063419999996</v>
      </c>
      <c r="Q5" s="19">
        <f t="shared" si="11"/>
        <v>939.66603420000001</v>
      </c>
      <c r="R5" s="19">
        <f t="shared" si="12"/>
        <v>955.63997419999998</v>
      </c>
      <c r="S5" s="19">
        <f t="shared" si="13"/>
        <v>923.69227420000004</v>
      </c>
      <c r="T5" s="42">
        <f t="shared" si="14"/>
        <v>915.66953959999989</v>
      </c>
      <c r="U5" s="19">
        <f t="shared" si="15"/>
        <v>961.67503419999991</v>
      </c>
      <c r="V5" s="19">
        <f t="shared" si="16"/>
        <v>975.69068419999996</v>
      </c>
    </row>
    <row r="6" spans="1:25" x14ac:dyDescent="0.25">
      <c r="A6" s="17" t="s">
        <v>588</v>
      </c>
      <c r="B6" s="17" t="str">
        <f t="shared" si="0"/>
        <v>AcylPG 46:2</v>
      </c>
      <c r="C6" s="1" t="str">
        <f t="shared" si="1"/>
        <v>46</v>
      </c>
      <c r="D6" s="1" t="str">
        <f t="shared" si="2"/>
        <v>2</v>
      </c>
      <c r="G6" s="17">
        <f t="shared" si="3"/>
        <v>52</v>
      </c>
      <c r="H6" s="17">
        <f t="shared" si="4"/>
        <v>97</v>
      </c>
      <c r="I6" s="17">
        <f t="shared" si="5"/>
        <v>11</v>
      </c>
      <c r="J6" s="17">
        <v>1</v>
      </c>
      <c r="L6" s="19" t="str">
        <f t="shared" si="6"/>
        <v>C52H97O11P1</v>
      </c>
      <c r="M6" s="19">
        <f t="shared" si="7"/>
        <v>928.67681419999997</v>
      </c>
      <c r="N6" s="19">
        <f t="shared" si="8"/>
        <v>929.68408880000004</v>
      </c>
      <c r="O6" s="19">
        <f t="shared" si="9"/>
        <v>911.67296880000004</v>
      </c>
      <c r="P6" s="19">
        <f t="shared" si="10"/>
        <v>946.71063419999996</v>
      </c>
      <c r="Q6" s="19">
        <f t="shared" si="11"/>
        <v>951.66603420000001</v>
      </c>
      <c r="R6" s="19">
        <f t="shared" si="12"/>
        <v>967.63997419999998</v>
      </c>
      <c r="S6" s="19">
        <f t="shared" si="13"/>
        <v>935.69227420000004</v>
      </c>
      <c r="T6" s="42">
        <f t="shared" si="14"/>
        <v>927.66953959999989</v>
      </c>
      <c r="U6" s="19">
        <f t="shared" si="15"/>
        <v>973.67503419999991</v>
      </c>
      <c r="V6" s="19">
        <f t="shared" si="16"/>
        <v>987.69068419999996</v>
      </c>
    </row>
    <row r="7" spans="1:25" x14ac:dyDescent="0.25">
      <c r="A7" s="17" t="s">
        <v>598</v>
      </c>
      <c r="B7" s="17" t="str">
        <f t="shared" si="0"/>
        <v>AcylPG 46:1</v>
      </c>
      <c r="C7" s="1" t="str">
        <f t="shared" si="1"/>
        <v>46</v>
      </c>
      <c r="D7" s="1" t="str">
        <f t="shared" si="2"/>
        <v>1</v>
      </c>
      <c r="G7" s="17">
        <f t="shared" si="3"/>
        <v>52</v>
      </c>
      <c r="H7" s="17">
        <f t="shared" si="4"/>
        <v>99</v>
      </c>
      <c r="I7" s="17">
        <f t="shared" si="5"/>
        <v>11</v>
      </c>
      <c r="J7" s="17">
        <v>1</v>
      </c>
      <c r="L7" s="19" t="str">
        <f t="shared" si="6"/>
        <v>C52H99O11P1</v>
      </c>
      <c r="M7" s="19">
        <f t="shared" si="7"/>
        <v>930.69246339999995</v>
      </c>
      <c r="N7" s="19">
        <f t="shared" si="8"/>
        <v>931.69973800000002</v>
      </c>
      <c r="O7" s="19">
        <f t="shared" si="9"/>
        <v>913.68861800000002</v>
      </c>
      <c r="P7" s="19">
        <f t="shared" si="10"/>
        <v>948.72628339999994</v>
      </c>
      <c r="Q7" s="19">
        <f t="shared" si="11"/>
        <v>953.6816834</v>
      </c>
      <c r="R7" s="19">
        <f t="shared" si="12"/>
        <v>969.65562339999997</v>
      </c>
      <c r="S7" s="19">
        <f t="shared" si="13"/>
        <v>937.70792340000003</v>
      </c>
      <c r="T7" s="42">
        <f t="shared" si="14"/>
        <v>929.68518879999988</v>
      </c>
      <c r="U7" s="19">
        <f t="shared" si="15"/>
        <v>975.6906833999999</v>
      </c>
      <c r="V7" s="19">
        <f t="shared" si="16"/>
        <v>989.70633339999995</v>
      </c>
    </row>
    <row r="8" spans="1:25" x14ac:dyDescent="0.25">
      <c r="A8" s="17" t="s">
        <v>587</v>
      </c>
      <c r="B8" s="17" t="str">
        <f t="shared" si="0"/>
        <v>AcylPG 47:2</v>
      </c>
      <c r="C8" s="1" t="str">
        <f t="shared" si="1"/>
        <v>47</v>
      </c>
      <c r="D8" s="1" t="str">
        <f t="shared" si="2"/>
        <v>2</v>
      </c>
      <c r="G8" s="17">
        <f t="shared" si="3"/>
        <v>53</v>
      </c>
      <c r="H8" s="17">
        <f t="shared" si="4"/>
        <v>99</v>
      </c>
      <c r="I8" s="17">
        <f t="shared" si="5"/>
        <v>11</v>
      </c>
      <c r="J8" s="17">
        <v>1</v>
      </c>
      <c r="L8" s="19" t="str">
        <f t="shared" si="6"/>
        <v>C53H99O11P1</v>
      </c>
      <c r="M8" s="19">
        <f t="shared" si="7"/>
        <v>942.69246339999995</v>
      </c>
      <c r="N8" s="19">
        <f t="shared" si="8"/>
        <v>943.69973800000002</v>
      </c>
      <c r="O8" s="19">
        <f t="shared" si="9"/>
        <v>925.68861800000002</v>
      </c>
      <c r="P8" s="19">
        <f t="shared" si="10"/>
        <v>960.72628339999994</v>
      </c>
      <c r="Q8" s="19">
        <f t="shared" si="11"/>
        <v>965.6816834</v>
      </c>
      <c r="R8" s="19">
        <f t="shared" si="12"/>
        <v>981.65562339999997</v>
      </c>
      <c r="S8" s="19">
        <f t="shared" si="13"/>
        <v>949.70792340000003</v>
      </c>
      <c r="T8" s="42">
        <f t="shared" si="14"/>
        <v>941.68518879999988</v>
      </c>
      <c r="U8" s="19">
        <f t="shared" si="15"/>
        <v>987.6906833999999</v>
      </c>
      <c r="V8" s="19">
        <f t="shared" si="16"/>
        <v>1001.7063333999999</v>
      </c>
    </row>
    <row r="9" spans="1:25" x14ac:dyDescent="0.25">
      <c r="A9" s="17" t="s">
        <v>599</v>
      </c>
      <c r="B9" s="17" t="str">
        <f t="shared" si="0"/>
        <v>AcylPG 47:1</v>
      </c>
      <c r="C9" s="1" t="str">
        <f t="shared" si="1"/>
        <v>47</v>
      </c>
      <c r="D9" s="1" t="str">
        <f t="shared" si="2"/>
        <v>1</v>
      </c>
      <c r="G9" s="17">
        <f t="shared" si="3"/>
        <v>53</v>
      </c>
      <c r="H9" s="17">
        <f t="shared" si="4"/>
        <v>101</v>
      </c>
      <c r="I9" s="17">
        <f t="shared" si="5"/>
        <v>11</v>
      </c>
      <c r="J9" s="17">
        <v>1</v>
      </c>
      <c r="L9" s="19" t="str">
        <f t="shared" si="6"/>
        <v>C53H101O11P1</v>
      </c>
      <c r="M9" s="19">
        <f t="shared" si="7"/>
        <v>944.70811259999994</v>
      </c>
      <c r="N9" s="19">
        <f t="shared" si="8"/>
        <v>945.71538720000001</v>
      </c>
      <c r="O9" s="19">
        <f t="shared" si="9"/>
        <v>927.7042672</v>
      </c>
      <c r="P9" s="19">
        <f t="shared" si="10"/>
        <v>962.74193259999993</v>
      </c>
      <c r="Q9" s="19">
        <f t="shared" si="11"/>
        <v>967.69733259999998</v>
      </c>
      <c r="R9" s="19">
        <f t="shared" si="12"/>
        <v>983.67127259999995</v>
      </c>
      <c r="S9" s="19">
        <f t="shared" si="13"/>
        <v>951.72357260000001</v>
      </c>
      <c r="T9" s="42">
        <f t="shared" si="14"/>
        <v>943.70083799999986</v>
      </c>
      <c r="U9" s="19">
        <f t="shared" si="15"/>
        <v>989.70633259999988</v>
      </c>
      <c r="V9" s="19">
        <f t="shared" si="16"/>
        <v>1003.7219825999999</v>
      </c>
    </row>
    <row r="10" spans="1:25" s="17" customFormat="1" x14ac:dyDescent="0.25">
      <c r="A10" s="17" t="s">
        <v>585</v>
      </c>
      <c r="B10" s="17" t="str">
        <f t="shared" si="0"/>
        <v>AcylPG 48:2</v>
      </c>
      <c r="C10" s="1" t="str">
        <f t="shared" si="1"/>
        <v>48</v>
      </c>
      <c r="D10" s="1" t="str">
        <f t="shared" si="2"/>
        <v>2</v>
      </c>
      <c r="G10" s="17">
        <f t="shared" si="3"/>
        <v>54</v>
      </c>
      <c r="H10" s="17">
        <f t="shared" si="4"/>
        <v>101</v>
      </c>
      <c r="I10" s="17">
        <f t="shared" si="5"/>
        <v>11</v>
      </c>
      <c r="J10" s="17">
        <v>1</v>
      </c>
      <c r="L10" s="19" t="str">
        <f t="shared" si="6"/>
        <v>C54H101O11P1</v>
      </c>
      <c r="M10" s="19">
        <f t="shared" si="7"/>
        <v>956.70811259999994</v>
      </c>
      <c r="N10" s="19">
        <f t="shared" si="8"/>
        <v>957.71538720000001</v>
      </c>
      <c r="O10" s="19">
        <f t="shared" si="9"/>
        <v>939.7042672</v>
      </c>
      <c r="P10" s="19">
        <f t="shared" si="10"/>
        <v>974.74193259999993</v>
      </c>
      <c r="Q10" s="19">
        <f t="shared" si="11"/>
        <v>979.69733259999998</v>
      </c>
      <c r="R10" s="19">
        <f t="shared" si="12"/>
        <v>995.67127259999995</v>
      </c>
      <c r="S10" s="19">
        <f t="shared" si="13"/>
        <v>963.72357260000001</v>
      </c>
      <c r="T10" s="42">
        <f t="shared" si="14"/>
        <v>955.70083799999986</v>
      </c>
      <c r="U10" s="19">
        <f t="shared" si="15"/>
        <v>1001.7063325999999</v>
      </c>
      <c r="V10" s="19">
        <f t="shared" si="16"/>
        <v>1015.7219825999999</v>
      </c>
      <c r="X10"/>
      <c r="Y10"/>
    </row>
    <row r="11" spans="1:25" s="17" customFormat="1" x14ac:dyDescent="0.25">
      <c r="A11" s="17" t="s">
        <v>597</v>
      </c>
      <c r="B11" s="17" t="str">
        <f t="shared" si="0"/>
        <v>AcylPG 48:1</v>
      </c>
      <c r="C11" s="1" t="str">
        <f t="shared" si="1"/>
        <v>48</v>
      </c>
      <c r="D11" s="1" t="str">
        <f t="shared" si="2"/>
        <v>1</v>
      </c>
      <c r="G11" s="17">
        <f t="shared" si="3"/>
        <v>54</v>
      </c>
      <c r="H11" s="17">
        <f t="shared" si="4"/>
        <v>103</v>
      </c>
      <c r="I11" s="17">
        <f t="shared" si="5"/>
        <v>11</v>
      </c>
      <c r="J11" s="17">
        <v>1</v>
      </c>
      <c r="L11" s="19" t="str">
        <f t="shared" si="6"/>
        <v>C54H103O11P1</v>
      </c>
      <c r="M11" s="19">
        <f t="shared" si="7"/>
        <v>958.72376180000003</v>
      </c>
      <c r="N11" s="19">
        <f t="shared" si="8"/>
        <v>959.73103640000011</v>
      </c>
      <c r="O11" s="19">
        <f t="shared" si="9"/>
        <v>941.7199164000001</v>
      </c>
      <c r="P11" s="19">
        <f t="shared" si="10"/>
        <v>976.75758180000003</v>
      </c>
      <c r="Q11" s="19">
        <f t="shared" si="11"/>
        <v>981.71298180000008</v>
      </c>
      <c r="R11" s="19">
        <f t="shared" si="12"/>
        <v>997.68692180000005</v>
      </c>
      <c r="S11" s="19">
        <f t="shared" si="13"/>
        <v>965.73922180000011</v>
      </c>
      <c r="T11" s="42">
        <f t="shared" si="14"/>
        <v>957.71648719999996</v>
      </c>
      <c r="U11" s="19">
        <f t="shared" si="15"/>
        <v>1003.7219818</v>
      </c>
      <c r="V11" s="19">
        <f t="shared" si="16"/>
        <v>1017.7376318</v>
      </c>
      <c r="X11"/>
      <c r="Y11"/>
    </row>
    <row r="12" spans="1:25" s="17" customFormat="1" x14ac:dyDescent="0.25">
      <c r="A12" s="17" t="s">
        <v>586</v>
      </c>
      <c r="B12" s="17" t="str">
        <f t="shared" si="0"/>
        <v>AcylPG 49:2</v>
      </c>
      <c r="C12" s="1" t="str">
        <f t="shared" si="1"/>
        <v>49</v>
      </c>
      <c r="D12" s="1" t="str">
        <f t="shared" si="2"/>
        <v>2</v>
      </c>
      <c r="G12" s="17">
        <f t="shared" si="3"/>
        <v>55</v>
      </c>
      <c r="H12" s="17">
        <f t="shared" si="4"/>
        <v>103</v>
      </c>
      <c r="I12" s="17">
        <f t="shared" si="5"/>
        <v>11</v>
      </c>
      <c r="J12" s="17">
        <v>1</v>
      </c>
      <c r="L12" s="19" t="str">
        <f t="shared" si="6"/>
        <v>C55H103O11P1</v>
      </c>
      <c r="M12" s="19">
        <f t="shared" si="7"/>
        <v>970.72376180000003</v>
      </c>
      <c r="N12" s="19">
        <f t="shared" si="8"/>
        <v>971.73103640000011</v>
      </c>
      <c r="O12" s="19">
        <f t="shared" si="9"/>
        <v>953.7199164000001</v>
      </c>
      <c r="P12" s="19">
        <f t="shared" si="10"/>
        <v>988.75758180000003</v>
      </c>
      <c r="Q12" s="19">
        <f t="shared" si="11"/>
        <v>993.71298180000008</v>
      </c>
      <c r="R12" s="19">
        <f t="shared" si="12"/>
        <v>1009.6869218000001</v>
      </c>
      <c r="S12" s="19">
        <f t="shared" si="13"/>
        <v>977.73922180000011</v>
      </c>
      <c r="T12" s="42">
        <f t="shared" si="14"/>
        <v>969.71648719999996</v>
      </c>
      <c r="U12" s="19">
        <f t="shared" si="15"/>
        <v>1015.7219818</v>
      </c>
      <c r="V12" s="19">
        <f t="shared" si="16"/>
        <v>1029.7376317999999</v>
      </c>
      <c r="X12"/>
      <c r="Y12"/>
    </row>
    <row r="13" spans="1:25" s="17" customFormat="1" x14ac:dyDescent="0.25">
      <c r="A13" s="17" t="s">
        <v>600</v>
      </c>
      <c r="B13" s="17" t="str">
        <f t="shared" si="0"/>
        <v>AcylPG 49:1</v>
      </c>
      <c r="C13" s="1" t="str">
        <f t="shared" si="1"/>
        <v>49</v>
      </c>
      <c r="D13" s="1" t="str">
        <f t="shared" si="2"/>
        <v>1</v>
      </c>
      <c r="G13" s="17">
        <f t="shared" si="3"/>
        <v>55</v>
      </c>
      <c r="H13" s="17">
        <f t="shared" si="4"/>
        <v>105</v>
      </c>
      <c r="I13" s="17">
        <f t="shared" si="5"/>
        <v>11</v>
      </c>
      <c r="J13" s="17">
        <v>1</v>
      </c>
      <c r="L13" s="19" t="str">
        <f t="shared" si="6"/>
        <v>C55H105O11P1</v>
      </c>
      <c r="M13" s="19">
        <f t="shared" si="7"/>
        <v>972.73941100000002</v>
      </c>
      <c r="N13" s="19">
        <f t="shared" si="8"/>
        <v>973.74668560000009</v>
      </c>
      <c r="O13" s="19">
        <f t="shared" si="9"/>
        <v>955.73556560000009</v>
      </c>
      <c r="P13" s="19">
        <f t="shared" si="10"/>
        <v>990.77323100000001</v>
      </c>
      <c r="Q13" s="19">
        <f t="shared" si="11"/>
        <v>995.72863100000006</v>
      </c>
      <c r="R13" s="19">
        <f t="shared" si="12"/>
        <v>1011.702571</v>
      </c>
      <c r="S13" s="19">
        <f t="shared" si="13"/>
        <v>979.75487100000009</v>
      </c>
      <c r="T13" s="42">
        <f t="shared" si="14"/>
        <v>971.73213639999994</v>
      </c>
      <c r="U13" s="19">
        <f t="shared" si="15"/>
        <v>1017.737631</v>
      </c>
      <c r="V13" s="19">
        <f t="shared" si="16"/>
        <v>1031.753281</v>
      </c>
      <c r="X13"/>
      <c r="Y13"/>
    </row>
    <row r="14" spans="1:25" s="17" customFormat="1" x14ac:dyDescent="0.25">
      <c r="A14" s="17" t="s">
        <v>583</v>
      </c>
      <c r="B14" s="17" t="str">
        <f t="shared" si="0"/>
        <v>AcylPG 50:2</v>
      </c>
      <c r="C14" s="1" t="str">
        <f t="shared" si="1"/>
        <v>50</v>
      </c>
      <c r="D14" s="1" t="str">
        <f t="shared" si="2"/>
        <v>2</v>
      </c>
      <c r="G14" s="17">
        <f t="shared" si="3"/>
        <v>56</v>
      </c>
      <c r="H14" s="17">
        <f t="shared" si="4"/>
        <v>105</v>
      </c>
      <c r="I14" s="17">
        <f t="shared" si="5"/>
        <v>11</v>
      </c>
      <c r="J14" s="17">
        <v>1</v>
      </c>
      <c r="L14" s="19" t="str">
        <f t="shared" si="6"/>
        <v>C56H105O11P1</v>
      </c>
      <c r="M14" s="19">
        <f t="shared" si="7"/>
        <v>984.73941100000002</v>
      </c>
      <c r="N14" s="19">
        <f t="shared" si="8"/>
        <v>985.74668560000009</v>
      </c>
      <c r="O14" s="19">
        <f t="shared" si="9"/>
        <v>967.73556560000009</v>
      </c>
      <c r="P14" s="19">
        <f t="shared" si="10"/>
        <v>1002.773231</v>
      </c>
      <c r="Q14" s="19">
        <f t="shared" si="11"/>
        <v>1007.7286310000001</v>
      </c>
      <c r="R14" s="19">
        <f t="shared" si="12"/>
        <v>1023.702571</v>
      </c>
      <c r="S14" s="19">
        <f t="shared" si="13"/>
        <v>991.75487100000009</v>
      </c>
      <c r="T14" s="42">
        <f t="shared" si="14"/>
        <v>983.73213639999994</v>
      </c>
      <c r="U14" s="19">
        <f t="shared" si="15"/>
        <v>1029.737631</v>
      </c>
      <c r="V14" s="19">
        <f t="shared" si="16"/>
        <v>1043.753281</v>
      </c>
      <c r="X14"/>
      <c r="Y14"/>
    </row>
    <row r="15" spans="1:25" s="17" customFormat="1" x14ac:dyDescent="0.25">
      <c r="A15" s="17" t="s">
        <v>584</v>
      </c>
      <c r="B15" s="17" t="str">
        <f t="shared" si="0"/>
        <v>AcylPG 50:1</v>
      </c>
      <c r="C15" s="1" t="str">
        <f t="shared" si="1"/>
        <v>50</v>
      </c>
      <c r="D15" s="1" t="str">
        <f t="shared" si="2"/>
        <v>1</v>
      </c>
      <c r="G15" s="17">
        <f t="shared" si="3"/>
        <v>56</v>
      </c>
      <c r="H15" s="17">
        <f t="shared" si="4"/>
        <v>107</v>
      </c>
      <c r="I15" s="17">
        <f t="shared" si="5"/>
        <v>11</v>
      </c>
      <c r="J15" s="17">
        <v>1</v>
      </c>
      <c r="L15" s="19" t="str">
        <f t="shared" si="6"/>
        <v>C56H107O11P1</v>
      </c>
      <c r="M15" s="19">
        <f t="shared" si="7"/>
        <v>986.7550602</v>
      </c>
      <c r="N15" s="19">
        <f t="shared" si="8"/>
        <v>987.76233480000008</v>
      </c>
      <c r="O15" s="19">
        <f t="shared" si="9"/>
        <v>969.75121480000007</v>
      </c>
      <c r="P15" s="19">
        <f t="shared" si="10"/>
        <v>1004.7888802</v>
      </c>
      <c r="Q15" s="19">
        <f t="shared" si="11"/>
        <v>1009.7442802</v>
      </c>
      <c r="R15" s="19">
        <f t="shared" si="12"/>
        <v>1025.7182202000001</v>
      </c>
      <c r="S15" s="19">
        <f t="shared" si="13"/>
        <v>993.77052020000008</v>
      </c>
      <c r="T15" s="42">
        <f t="shared" si="14"/>
        <v>985.74778559999993</v>
      </c>
      <c r="U15" s="19">
        <f t="shared" si="15"/>
        <v>1031.7532802000001</v>
      </c>
      <c r="V15" s="19">
        <f t="shared" si="16"/>
        <v>1045.7689301999999</v>
      </c>
      <c r="X15"/>
      <c r="Y15"/>
    </row>
    <row r="16" spans="1:25" s="17" customFormat="1" x14ac:dyDescent="0.25">
      <c r="A16" s="17" t="s">
        <v>602</v>
      </c>
      <c r="B16" s="17" t="str">
        <f t="shared" si="0"/>
        <v>AcylPG 51:3</v>
      </c>
      <c r="C16" s="1" t="str">
        <f t="shared" si="1"/>
        <v>51</v>
      </c>
      <c r="D16" s="1" t="str">
        <f t="shared" si="2"/>
        <v>3</v>
      </c>
      <c r="G16" s="17">
        <f t="shared" si="3"/>
        <v>57</v>
      </c>
      <c r="H16" s="17">
        <f t="shared" si="4"/>
        <v>105</v>
      </c>
      <c r="I16" s="17">
        <f t="shared" si="5"/>
        <v>11</v>
      </c>
      <c r="J16" s="17">
        <v>1</v>
      </c>
      <c r="L16" s="19" t="str">
        <f t="shared" si="6"/>
        <v>C57H105O11P1</v>
      </c>
      <c r="M16" s="19">
        <f t="shared" si="7"/>
        <v>996.73941100000002</v>
      </c>
      <c r="N16" s="19">
        <f t="shared" si="8"/>
        <v>997.74668560000009</v>
      </c>
      <c r="O16" s="19">
        <f t="shared" si="9"/>
        <v>979.73556560000009</v>
      </c>
      <c r="P16" s="19">
        <f t="shared" si="10"/>
        <v>1014.773231</v>
      </c>
      <c r="Q16" s="19">
        <f t="shared" si="11"/>
        <v>1019.7286310000001</v>
      </c>
      <c r="R16" s="19">
        <f t="shared" si="12"/>
        <v>1035.702571</v>
      </c>
      <c r="S16" s="19">
        <f t="shared" si="13"/>
        <v>1003.7548710000001</v>
      </c>
      <c r="T16" s="42">
        <f t="shared" si="14"/>
        <v>995.73213639999994</v>
      </c>
      <c r="U16" s="19">
        <f t="shared" si="15"/>
        <v>1041.737631</v>
      </c>
      <c r="V16" s="19">
        <f t="shared" si="16"/>
        <v>1055.753281</v>
      </c>
      <c r="X16"/>
      <c r="Y16"/>
    </row>
    <row r="17" spans="1:25" s="17" customFormat="1" x14ac:dyDescent="0.25">
      <c r="A17" s="17" t="s">
        <v>591</v>
      </c>
      <c r="B17" s="17" t="str">
        <f t="shared" si="0"/>
        <v>AcylPG 51:2</v>
      </c>
      <c r="C17" s="1" t="str">
        <f t="shared" si="1"/>
        <v>51</v>
      </c>
      <c r="D17" s="1" t="str">
        <f t="shared" si="2"/>
        <v>2</v>
      </c>
      <c r="G17" s="17">
        <f t="shared" si="3"/>
        <v>57</v>
      </c>
      <c r="H17" s="17">
        <f t="shared" si="4"/>
        <v>107</v>
      </c>
      <c r="I17" s="17">
        <f t="shared" si="5"/>
        <v>11</v>
      </c>
      <c r="J17" s="17">
        <v>1</v>
      </c>
      <c r="L17" s="19" t="str">
        <f t="shared" si="6"/>
        <v>C57H107O11P1</v>
      </c>
      <c r="M17" s="19">
        <f t="shared" si="7"/>
        <v>998.7550602</v>
      </c>
      <c r="N17" s="19">
        <f t="shared" si="8"/>
        <v>999.76233480000008</v>
      </c>
      <c r="O17" s="19">
        <f t="shared" si="9"/>
        <v>981.75121480000007</v>
      </c>
      <c r="P17" s="19">
        <f t="shared" si="10"/>
        <v>1016.7888802</v>
      </c>
      <c r="Q17" s="19">
        <f t="shared" si="11"/>
        <v>1021.7442802</v>
      </c>
      <c r="R17" s="19">
        <f t="shared" si="12"/>
        <v>1037.7182202000001</v>
      </c>
      <c r="S17" s="19">
        <f t="shared" si="13"/>
        <v>1005.7705202000001</v>
      </c>
      <c r="T17" s="42">
        <f t="shared" si="14"/>
        <v>997.74778559999993</v>
      </c>
      <c r="U17" s="19">
        <f t="shared" si="15"/>
        <v>1043.7532802000001</v>
      </c>
      <c r="V17" s="19">
        <f t="shared" si="16"/>
        <v>1057.7689301999999</v>
      </c>
      <c r="X17"/>
      <c r="Y17"/>
    </row>
    <row r="18" spans="1:25" s="17" customFormat="1" x14ac:dyDescent="0.25">
      <c r="A18" s="17" t="s">
        <v>601</v>
      </c>
      <c r="B18" s="17" t="str">
        <f t="shared" si="0"/>
        <v>AcylPG 51:1</v>
      </c>
      <c r="C18" s="1" t="str">
        <f t="shared" si="1"/>
        <v>51</v>
      </c>
      <c r="D18" s="1" t="str">
        <f t="shared" si="2"/>
        <v>1</v>
      </c>
      <c r="G18" s="17">
        <f t="shared" si="3"/>
        <v>57</v>
      </c>
      <c r="H18" s="17">
        <f t="shared" si="4"/>
        <v>109</v>
      </c>
      <c r="I18" s="17">
        <f t="shared" si="5"/>
        <v>11</v>
      </c>
      <c r="J18" s="17">
        <v>1</v>
      </c>
      <c r="L18" s="19" t="str">
        <f t="shared" si="6"/>
        <v>C57H109O11P1</v>
      </c>
      <c r="M18" s="19">
        <f t="shared" si="7"/>
        <v>1000.7707094</v>
      </c>
      <c r="N18" s="19">
        <f t="shared" si="8"/>
        <v>1001.7779840000001</v>
      </c>
      <c r="O18" s="19">
        <f t="shared" si="9"/>
        <v>983.76686400000006</v>
      </c>
      <c r="P18" s="19">
        <f t="shared" si="10"/>
        <v>1018.8045294</v>
      </c>
      <c r="Q18" s="19">
        <f t="shared" si="11"/>
        <v>1023.7599294</v>
      </c>
      <c r="R18" s="19">
        <f t="shared" si="12"/>
        <v>1039.7338694</v>
      </c>
      <c r="S18" s="19">
        <f t="shared" si="13"/>
        <v>1007.7861694000001</v>
      </c>
      <c r="T18" s="42">
        <f t="shared" si="14"/>
        <v>999.76343479999991</v>
      </c>
      <c r="U18" s="19">
        <f t="shared" si="15"/>
        <v>1045.7689293999999</v>
      </c>
      <c r="V18" s="19">
        <f t="shared" si="16"/>
        <v>1059.7845794</v>
      </c>
      <c r="X18"/>
      <c r="Y18"/>
    </row>
    <row r="19" spans="1:25" x14ac:dyDescent="0.25">
      <c r="A19" s="17" t="s">
        <v>595</v>
      </c>
      <c r="B19" s="17" t="str">
        <f t="shared" ref="B19:B27" si="17">IF(ISNUMBER(SEARCH("(",A19)),IF(ISNUMBER(SEARCH("/",A19)),CONCATENATE(MID(A19,1,2)," ",(SUM(MID(A19,FIND("(",A19)+1,FIND(":",A19)-FIND("(",A19)-1),MID(A19,FIND("/",A19)+1,FIND(":",A19,FIND("/",A19))-FIND("/",A19)-1))),":",SUM(MID(A19,FIND(":",A19)+1,FIND("/",A19)-FIND(":",A19)-1),MID(A19,FIND(":",A19,FIND("/",A19))+1,FIND(")",A19)-FIND(":",A19,FIND("/",A19))-1)),MID(A19,(FIND(")",A19)+1),100)),CONCATENATE(MID(A19,1,2)," ",(SUM(MID(A19,FIND("(",A19)+1,FIND(":",A19)-FIND("(",A19)-1),MID(A19,FIND("_",A19)+1,FIND(":",A19,FIND("_",A19))-FIND("_",A19)-1))),":",SUM(MID(A19,FIND(":",A19)+1,FIND("_",A19)-FIND(":",A19)-1),MID(A19,FIND(":",A19,FIND("_",A19))+1,FIND(")",A19)-FIND(":",A19,FIND("_",A19))-1)),MID(A19,(FIND(")",A19)+1),100))),A19)</f>
        <v>AcylPG 52:3</v>
      </c>
      <c r="C19" s="1" t="str">
        <f t="shared" ref="C19:C27" si="18">MID(B19,8,FIND(":",B19)-FIND(" ",B19)-1)</f>
        <v>52</v>
      </c>
      <c r="D19" s="1" t="str">
        <f t="shared" ref="D19:D27" si="19">IF(ISNUMBER(SEARCH("__",B19)),MID(B19,FIND(":",B19)+1,FIND("__",B19)-FIND(":",B19)-1),MID(B19,FIND(":",B19)+1,7))</f>
        <v>3</v>
      </c>
      <c r="G19" s="17">
        <f t="shared" ref="G19:G27" si="20">C19+6</f>
        <v>58</v>
      </c>
      <c r="H19" s="17">
        <f t="shared" ref="H19:H27" si="21">(-2)+2*G19-(2*D19)-1-((LEN(A19)-LEN(SUBSTITUTE(A19,"_O_","")))/LEN("_O_"))*2-((LEN(A19)-LEN(SUBSTITUTE(A19,"_CHO_","")))/LEN("_CHO_"))*2-((LEN(A19)-LEN(SUBSTITUTE(A19,"_COOH_","")))/LEN("_COOH_"))*2</f>
        <v>107</v>
      </c>
      <c r="I19" s="17">
        <f t="shared" ref="I19:I27" si="22">11+((LEN(A19)-LEN(SUBSTITUTE(A19,"_OH_","")))/LEN("_OH_"))*1+((LEN(A19)-LEN(SUBSTITUTE(A19,"_OOH_","")))/LEN("_OOH_"))*2+((LEN(A19)-LEN(SUBSTITUTE(A19,"_O_","")))/LEN("_O_"))*1+((LEN(A19)-LEN(SUBSTITUTE(A19,"_CHO_","")))/LEN("_CHO_"))*1+((LEN(A19)-LEN(SUBSTITUTE(A19,"_COOH_","")))/LEN("_COOH_"))*2</f>
        <v>11</v>
      </c>
      <c r="J19" s="17">
        <v>1</v>
      </c>
      <c r="L19" s="19" t="str">
        <f t="shared" ref="L19:L27" si="23">CONCATENATE("C",G19,"H",H19,"O",I19,"P",J19)</f>
        <v>C58H107O11P1</v>
      </c>
      <c r="M19" s="19">
        <f t="shared" ref="M19:M27" si="24">(G19*12)+(H19*1.0078246)+(I19*15.994915)+(J19*30.973763)</f>
        <v>1010.7550602</v>
      </c>
      <c r="N19" s="19">
        <f t="shared" ref="N19:N27" si="25">M19+1.0078246-0.00055</f>
        <v>1011.7623348000001</v>
      </c>
      <c r="O19" s="19">
        <f t="shared" ref="O19:O27" si="26">N19-18.01057-0.00055</f>
        <v>993.75121480000007</v>
      </c>
      <c r="P19" s="19">
        <f t="shared" ref="P19:P27" si="27">M19+18.03437-0.00055</f>
        <v>1028.7888802</v>
      </c>
      <c r="Q19" s="19">
        <f t="shared" ref="Q19:Q27" si="28">M19+22.98977-0.00055</f>
        <v>1033.7442802</v>
      </c>
      <c r="R19" s="19">
        <f t="shared" ref="R19:R27" si="29">M19+38.96371-0.00055</f>
        <v>1049.7182202000001</v>
      </c>
      <c r="S19" s="19">
        <f t="shared" ref="S19:S27" si="30">M19+7.01601-0.00055</f>
        <v>1017.7705202000001</v>
      </c>
      <c r="T19" s="42">
        <f t="shared" ref="T19:T27" si="31">M19-1.0078246+0.00055</f>
        <v>1009.7477855999999</v>
      </c>
      <c r="U19" s="19">
        <f t="shared" ref="U19:U27" si="32">M19+44.99767+0.00055</f>
        <v>1055.7532802000001</v>
      </c>
      <c r="V19" s="19">
        <f t="shared" ref="V19:V27" si="33">M19+59.01332+0.00055</f>
        <v>1069.7689301999999</v>
      </c>
    </row>
    <row r="20" spans="1:25" x14ac:dyDescent="0.25">
      <c r="A20" s="17" t="s">
        <v>582</v>
      </c>
      <c r="B20" s="17" t="str">
        <f t="shared" si="17"/>
        <v>AcylPG 52:2</v>
      </c>
      <c r="C20" s="1" t="str">
        <f t="shared" si="18"/>
        <v>52</v>
      </c>
      <c r="D20" s="1" t="str">
        <f t="shared" si="19"/>
        <v>2</v>
      </c>
      <c r="G20" s="17">
        <f t="shared" si="20"/>
        <v>58</v>
      </c>
      <c r="H20" s="17">
        <f t="shared" si="21"/>
        <v>109</v>
      </c>
      <c r="I20" s="17">
        <f t="shared" si="22"/>
        <v>11</v>
      </c>
      <c r="J20" s="17">
        <v>1</v>
      </c>
      <c r="L20" s="19" t="str">
        <f t="shared" si="23"/>
        <v>C58H109O11P1</v>
      </c>
      <c r="M20" s="19">
        <f t="shared" si="24"/>
        <v>1012.7707094</v>
      </c>
      <c r="N20" s="19">
        <f t="shared" si="25"/>
        <v>1013.7779840000001</v>
      </c>
      <c r="O20" s="19">
        <f t="shared" si="26"/>
        <v>995.76686400000006</v>
      </c>
      <c r="P20" s="19">
        <f t="shared" si="27"/>
        <v>1030.8045294000001</v>
      </c>
      <c r="Q20" s="19">
        <f t="shared" si="28"/>
        <v>1035.7599293999999</v>
      </c>
      <c r="R20" s="19">
        <f t="shared" si="29"/>
        <v>1051.7338694</v>
      </c>
      <c r="S20" s="19">
        <f t="shared" si="30"/>
        <v>1019.7861694000001</v>
      </c>
      <c r="T20" s="42">
        <f t="shared" si="31"/>
        <v>1011.7634347999999</v>
      </c>
      <c r="U20" s="19">
        <f t="shared" si="32"/>
        <v>1057.7689293999999</v>
      </c>
      <c r="V20" s="19">
        <f t="shared" si="33"/>
        <v>1071.7845794</v>
      </c>
    </row>
    <row r="21" spans="1:25" s="17" customFormat="1" x14ac:dyDescent="0.25">
      <c r="A21" s="17" t="s">
        <v>668</v>
      </c>
      <c r="B21" s="17" t="str">
        <f t="shared" si="17"/>
        <v>AcylPG 52:1</v>
      </c>
      <c r="C21" s="1" t="str">
        <f t="shared" si="18"/>
        <v>52</v>
      </c>
      <c r="D21" s="1" t="str">
        <f t="shared" si="19"/>
        <v>1</v>
      </c>
      <c r="G21" s="17">
        <f t="shared" si="20"/>
        <v>58</v>
      </c>
      <c r="H21" s="17">
        <f t="shared" si="21"/>
        <v>111</v>
      </c>
      <c r="I21" s="17">
        <f t="shared" si="22"/>
        <v>11</v>
      </c>
      <c r="J21" s="17">
        <v>1</v>
      </c>
      <c r="L21" s="19" t="str">
        <f t="shared" si="23"/>
        <v>C58H111O11P1</v>
      </c>
      <c r="M21" s="19">
        <f t="shared" si="24"/>
        <v>1014.7863586</v>
      </c>
      <c r="N21" s="19">
        <f t="shared" si="25"/>
        <v>1015.7936332</v>
      </c>
      <c r="O21" s="19">
        <f t="shared" si="26"/>
        <v>997.78251320000004</v>
      </c>
      <c r="P21" s="19">
        <f t="shared" si="27"/>
        <v>1032.8201786</v>
      </c>
      <c r="Q21" s="19">
        <f t="shared" si="28"/>
        <v>1037.7755786</v>
      </c>
      <c r="R21" s="19">
        <f t="shared" si="29"/>
        <v>1053.7495186000001</v>
      </c>
      <c r="S21" s="19">
        <f t="shared" si="30"/>
        <v>1021.8018186</v>
      </c>
      <c r="T21" s="42">
        <f t="shared" si="31"/>
        <v>1013.7790839999999</v>
      </c>
      <c r="U21" s="19">
        <f t="shared" si="32"/>
        <v>1059.7845786</v>
      </c>
      <c r="V21" s="19">
        <f t="shared" si="33"/>
        <v>1073.8002285999999</v>
      </c>
      <c r="X21" s="58"/>
      <c r="Y21" s="58"/>
    </row>
    <row r="22" spans="1:25" s="17" customFormat="1" x14ac:dyDescent="0.25">
      <c r="A22" s="17" t="s">
        <v>594</v>
      </c>
      <c r="B22" s="17" t="str">
        <f t="shared" si="17"/>
        <v>AcylPG 53:3</v>
      </c>
      <c r="C22" s="1" t="str">
        <f t="shared" si="18"/>
        <v>53</v>
      </c>
      <c r="D22" s="1" t="str">
        <f t="shared" si="19"/>
        <v>3</v>
      </c>
      <c r="G22" s="17">
        <f t="shared" si="20"/>
        <v>59</v>
      </c>
      <c r="H22" s="17">
        <f t="shared" si="21"/>
        <v>109</v>
      </c>
      <c r="I22" s="17">
        <f t="shared" si="22"/>
        <v>11</v>
      </c>
      <c r="J22" s="17">
        <v>1</v>
      </c>
      <c r="L22" s="19" t="str">
        <f t="shared" si="23"/>
        <v>C59H109O11P1</v>
      </c>
      <c r="M22" s="19">
        <f t="shared" si="24"/>
        <v>1024.7707094</v>
      </c>
      <c r="N22" s="19">
        <f t="shared" si="25"/>
        <v>1025.7779840000001</v>
      </c>
      <c r="O22" s="19">
        <f t="shared" si="26"/>
        <v>1007.7668640000001</v>
      </c>
      <c r="P22" s="19">
        <f t="shared" si="27"/>
        <v>1042.8045294000001</v>
      </c>
      <c r="Q22" s="19">
        <f t="shared" si="28"/>
        <v>1047.7599293999999</v>
      </c>
      <c r="R22" s="19">
        <f t="shared" si="29"/>
        <v>1063.7338694</v>
      </c>
      <c r="S22" s="19">
        <f t="shared" si="30"/>
        <v>1031.7861694000001</v>
      </c>
      <c r="T22" s="42">
        <f t="shared" si="31"/>
        <v>1023.7634347999999</v>
      </c>
      <c r="U22" s="19">
        <f t="shared" si="32"/>
        <v>1069.7689293999999</v>
      </c>
      <c r="V22" s="19">
        <f t="shared" si="33"/>
        <v>1083.7845794</v>
      </c>
      <c r="X22" s="58"/>
      <c r="Y22" s="58"/>
    </row>
    <row r="23" spans="1:25" s="17" customFormat="1" x14ac:dyDescent="0.25">
      <c r="A23" s="17" t="s">
        <v>592</v>
      </c>
      <c r="B23" s="17" t="str">
        <f t="shared" si="17"/>
        <v>AcylPG 53:2</v>
      </c>
      <c r="C23" s="1" t="str">
        <f t="shared" si="18"/>
        <v>53</v>
      </c>
      <c r="D23" s="1" t="str">
        <f t="shared" si="19"/>
        <v>2</v>
      </c>
      <c r="G23" s="17">
        <f t="shared" si="20"/>
        <v>59</v>
      </c>
      <c r="H23" s="17">
        <f t="shared" si="21"/>
        <v>111</v>
      </c>
      <c r="I23" s="17">
        <f t="shared" si="22"/>
        <v>11</v>
      </c>
      <c r="J23" s="17">
        <v>1</v>
      </c>
      <c r="L23" s="19" t="str">
        <f t="shared" si="23"/>
        <v>C59H111O11P1</v>
      </c>
      <c r="M23" s="19">
        <f t="shared" si="24"/>
        <v>1026.7863586000001</v>
      </c>
      <c r="N23" s="19">
        <f t="shared" si="25"/>
        <v>1027.7936332000002</v>
      </c>
      <c r="O23" s="19">
        <f t="shared" si="26"/>
        <v>1009.7825132000002</v>
      </c>
      <c r="P23" s="19">
        <f t="shared" si="27"/>
        <v>1044.8201786000002</v>
      </c>
      <c r="Q23" s="19">
        <f t="shared" si="28"/>
        <v>1049.7755786</v>
      </c>
      <c r="R23" s="19">
        <f t="shared" si="29"/>
        <v>1065.7495186000001</v>
      </c>
      <c r="S23" s="19">
        <f t="shared" si="30"/>
        <v>1033.8018186000002</v>
      </c>
      <c r="T23" s="42">
        <f t="shared" si="31"/>
        <v>1025.779084</v>
      </c>
      <c r="U23" s="19">
        <f t="shared" si="32"/>
        <v>1071.7845786</v>
      </c>
      <c r="V23" s="19">
        <f t="shared" si="33"/>
        <v>1085.8002286000001</v>
      </c>
      <c r="X23" s="58"/>
      <c r="Y23" s="58"/>
    </row>
    <row r="24" spans="1:25" s="17" customFormat="1" x14ac:dyDescent="0.25">
      <c r="A24" s="17" t="s">
        <v>669</v>
      </c>
      <c r="B24" s="17" t="str">
        <f t="shared" si="17"/>
        <v>AcylPG 53:1</v>
      </c>
      <c r="C24" s="1" t="str">
        <f t="shared" si="18"/>
        <v>53</v>
      </c>
      <c r="D24" s="1" t="str">
        <f t="shared" si="19"/>
        <v>1</v>
      </c>
      <c r="G24" s="17">
        <f t="shared" si="20"/>
        <v>59</v>
      </c>
      <c r="H24" s="17">
        <f t="shared" si="21"/>
        <v>113</v>
      </c>
      <c r="I24" s="17">
        <f t="shared" si="22"/>
        <v>11</v>
      </c>
      <c r="J24" s="17">
        <v>1</v>
      </c>
      <c r="L24" s="19" t="str">
        <f t="shared" si="23"/>
        <v>C59H113O11P1</v>
      </c>
      <c r="M24" s="19">
        <f t="shared" si="24"/>
        <v>1028.8020078</v>
      </c>
      <c r="N24" s="19">
        <f t="shared" si="25"/>
        <v>1029.8092824</v>
      </c>
      <c r="O24" s="19">
        <f t="shared" si="26"/>
        <v>1011.7981624</v>
      </c>
      <c r="P24" s="19">
        <f t="shared" si="27"/>
        <v>1046.8358278000001</v>
      </c>
      <c r="Q24" s="19">
        <f t="shared" si="28"/>
        <v>1051.7912277999999</v>
      </c>
      <c r="R24" s="19">
        <f t="shared" si="29"/>
        <v>1067.7651678</v>
      </c>
      <c r="S24" s="19">
        <f t="shared" si="30"/>
        <v>1035.8174678</v>
      </c>
      <c r="T24" s="42">
        <f t="shared" si="31"/>
        <v>1027.7947331999999</v>
      </c>
      <c r="U24" s="19">
        <f t="shared" si="32"/>
        <v>1073.8002277999999</v>
      </c>
      <c r="V24" s="19">
        <f t="shared" si="33"/>
        <v>1087.8158778</v>
      </c>
      <c r="X24" s="58"/>
      <c r="Y24" s="58"/>
    </row>
    <row r="25" spans="1:25" s="17" customFormat="1" x14ac:dyDescent="0.25">
      <c r="A25" s="17" t="s">
        <v>593</v>
      </c>
      <c r="B25" s="17" t="str">
        <f t="shared" si="17"/>
        <v>AcylPG 54:3</v>
      </c>
      <c r="C25" s="1" t="str">
        <f t="shared" si="18"/>
        <v>54</v>
      </c>
      <c r="D25" s="1" t="str">
        <f t="shared" si="19"/>
        <v>3</v>
      </c>
      <c r="G25" s="17">
        <f t="shared" si="20"/>
        <v>60</v>
      </c>
      <c r="H25" s="17">
        <f t="shared" si="21"/>
        <v>111</v>
      </c>
      <c r="I25" s="17">
        <f t="shared" si="22"/>
        <v>11</v>
      </c>
      <c r="J25" s="17">
        <v>1</v>
      </c>
      <c r="L25" s="19" t="str">
        <f t="shared" si="23"/>
        <v>C60H111O11P1</v>
      </c>
      <c r="M25" s="19">
        <f t="shared" si="24"/>
        <v>1038.7863586000001</v>
      </c>
      <c r="N25" s="19">
        <f t="shared" si="25"/>
        <v>1039.7936332000002</v>
      </c>
      <c r="O25" s="19">
        <f t="shared" si="26"/>
        <v>1021.7825132000002</v>
      </c>
      <c r="P25" s="19">
        <f t="shared" si="27"/>
        <v>1056.8201786000002</v>
      </c>
      <c r="Q25" s="19">
        <f t="shared" si="28"/>
        <v>1061.7755786</v>
      </c>
      <c r="R25" s="19">
        <f t="shared" si="29"/>
        <v>1077.7495186000001</v>
      </c>
      <c r="S25" s="19">
        <f t="shared" si="30"/>
        <v>1045.8018186000002</v>
      </c>
      <c r="T25" s="42">
        <f t="shared" si="31"/>
        <v>1037.779084</v>
      </c>
      <c r="U25" s="19">
        <f t="shared" si="32"/>
        <v>1083.7845786</v>
      </c>
      <c r="V25" s="19">
        <f t="shared" si="33"/>
        <v>1097.8002286000001</v>
      </c>
      <c r="X25" s="58"/>
      <c r="Y25" s="58"/>
    </row>
    <row r="26" spans="1:25" s="17" customFormat="1" x14ac:dyDescent="0.25">
      <c r="A26" s="17" t="s">
        <v>581</v>
      </c>
      <c r="B26" s="17" t="str">
        <f t="shared" si="17"/>
        <v>AcylPG 54:2</v>
      </c>
      <c r="C26" s="1" t="str">
        <f t="shared" si="18"/>
        <v>54</v>
      </c>
      <c r="D26" s="1" t="str">
        <f t="shared" si="19"/>
        <v>2</v>
      </c>
      <c r="G26" s="17">
        <f t="shared" si="20"/>
        <v>60</v>
      </c>
      <c r="H26" s="17">
        <f t="shared" si="21"/>
        <v>113</v>
      </c>
      <c r="I26" s="17">
        <f t="shared" si="22"/>
        <v>11</v>
      </c>
      <c r="J26" s="17">
        <v>1</v>
      </c>
      <c r="L26" s="19" t="str">
        <f t="shared" si="23"/>
        <v>C60H113O11P1</v>
      </c>
      <c r="M26" s="19">
        <f t="shared" si="24"/>
        <v>1040.8020078</v>
      </c>
      <c r="N26" s="19">
        <f t="shared" si="25"/>
        <v>1041.8092824</v>
      </c>
      <c r="O26" s="19">
        <f t="shared" si="26"/>
        <v>1023.7981624</v>
      </c>
      <c r="P26" s="19">
        <f t="shared" si="27"/>
        <v>1058.8358278000001</v>
      </c>
      <c r="Q26" s="19">
        <f t="shared" si="28"/>
        <v>1063.7912277999999</v>
      </c>
      <c r="R26" s="19">
        <f t="shared" si="29"/>
        <v>1079.7651678</v>
      </c>
      <c r="S26" s="19">
        <f t="shared" si="30"/>
        <v>1047.8174678</v>
      </c>
      <c r="T26" s="42">
        <f t="shared" si="31"/>
        <v>1039.7947331999999</v>
      </c>
      <c r="U26" s="19">
        <f t="shared" si="32"/>
        <v>1085.8002277999999</v>
      </c>
      <c r="V26" s="19">
        <f t="shared" si="33"/>
        <v>1099.8158778</v>
      </c>
      <c r="X26" s="58"/>
      <c r="Y26" s="58"/>
    </row>
    <row r="27" spans="1:25" s="17" customFormat="1" x14ac:dyDescent="0.25">
      <c r="A27" s="17" t="s">
        <v>580</v>
      </c>
      <c r="B27" s="17" t="str">
        <f t="shared" si="17"/>
        <v>AcylPG 54:1</v>
      </c>
      <c r="C27" s="1" t="str">
        <f t="shared" si="18"/>
        <v>54</v>
      </c>
      <c r="D27" s="1" t="str">
        <f t="shared" si="19"/>
        <v>1</v>
      </c>
      <c r="G27" s="17">
        <f t="shared" si="20"/>
        <v>60</v>
      </c>
      <c r="H27" s="17">
        <f t="shared" si="21"/>
        <v>115</v>
      </c>
      <c r="I27" s="17">
        <f t="shared" si="22"/>
        <v>11</v>
      </c>
      <c r="J27" s="17">
        <v>1</v>
      </c>
      <c r="L27" s="19" t="str">
        <f t="shared" si="23"/>
        <v>C60H115O11P1</v>
      </c>
      <c r="M27" s="19">
        <f t="shared" si="24"/>
        <v>1042.8176570000001</v>
      </c>
      <c r="N27" s="19">
        <f t="shared" si="25"/>
        <v>1043.8249316000001</v>
      </c>
      <c r="O27" s="19">
        <f t="shared" si="26"/>
        <v>1025.8138116000002</v>
      </c>
      <c r="P27" s="19">
        <f t="shared" si="27"/>
        <v>1060.8514770000002</v>
      </c>
      <c r="Q27" s="19">
        <f t="shared" si="28"/>
        <v>1065.806877</v>
      </c>
      <c r="R27" s="19">
        <f t="shared" si="29"/>
        <v>1081.7808170000001</v>
      </c>
      <c r="S27" s="19">
        <f t="shared" si="30"/>
        <v>1049.8331170000001</v>
      </c>
      <c r="T27" s="42">
        <f t="shared" si="31"/>
        <v>1041.8103824</v>
      </c>
      <c r="U27" s="19">
        <f t="shared" si="32"/>
        <v>1087.815877</v>
      </c>
      <c r="V27" s="19">
        <f t="shared" si="33"/>
        <v>1101.8315270000001</v>
      </c>
      <c r="X27" s="58"/>
      <c r="Y27" s="58"/>
    </row>
    <row r="28" spans="1:25" s="17" customFormat="1" ht="15" x14ac:dyDescent="0.2">
      <c r="C28" s="1"/>
      <c r="D28" s="1"/>
      <c r="L28" s="19"/>
      <c r="M28" s="19"/>
      <c r="N28" s="19"/>
      <c r="O28" s="19"/>
      <c r="P28" s="19"/>
      <c r="Q28" s="19"/>
      <c r="R28" s="19"/>
      <c r="S28" s="19"/>
      <c r="T28" s="42"/>
      <c r="U28" s="19"/>
      <c r="V28" s="19"/>
    </row>
    <row r="29" spans="1:25" s="17" customFormat="1" ht="15" x14ac:dyDescent="0.2">
      <c r="C29" s="1"/>
      <c r="D29" s="1"/>
      <c r="L29" s="19"/>
      <c r="M29" s="19"/>
      <c r="N29" s="19"/>
      <c r="O29" s="19"/>
      <c r="P29" s="19"/>
      <c r="Q29" s="19"/>
      <c r="R29" s="19"/>
      <c r="S29" s="19"/>
      <c r="T29" s="42"/>
      <c r="U29" s="19"/>
      <c r="V29" s="19"/>
    </row>
    <row r="30" spans="1:25" s="17" customFormat="1" ht="15" x14ac:dyDescent="0.2">
      <c r="C30" s="1"/>
      <c r="D30" s="1"/>
      <c r="L30" s="19"/>
      <c r="M30" s="19"/>
      <c r="N30" s="19"/>
      <c r="O30" s="19"/>
      <c r="P30" s="19"/>
      <c r="Q30" s="19"/>
      <c r="R30" s="19"/>
      <c r="S30" s="19"/>
      <c r="T30" s="42"/>
      <c r="U30" s="19"/>
      <c r="V30" s="19"/>
    </row>
    <row r="31" spans="1:25" s="17" customFormat="1" ht="15" x14ac:dyDescent="0.2">
      <c r="C31" s="1"/>
      <c r="D31" s="1"/>
      <c r="L31" s="19"/>
      <c r="M31" s="19"/>
      <c r="N31" s="19"/>
      <c r="O31" s="19"/>
      <c r="P31" s="19"/>
      <c r="Q31" s="19"/>
      <c r="R31" s="19"/>
      <c r="S31" s="19"/>
      <c r="T31" s="42"/>
      <c r="U31" s="19"/>
      <c r="V31" s="19"/>
    </row>
    <row r="32" spans="1:25" s="17" customFormat="1" ht="15" x14ac:dyDescent="0.2">
      <c r="C32" s="1"/>
      <c r="D32" s="1"/>
      <c r="L32" s="19"/>
      <c r="M32" s="19"/>
      <c r="N32" s="19"/>
      <c r="O32" s="19"/>
      <c r="P32" s="19"/>
      <c r="Q32" s="19"/>
      <c r="R32" s="19"/>
      <c r="S32" s="19"/>
      <c r="T32" s="42"/>
      <c r="U32" s="19"/>
      <c r="V32" s="19"/>
    </row>
    <row r="33" spans="3:22" s="17" customFormat="1" ht="15" x14ac:dyDescent="0.2">
      <c r="C33" s="1"/>
      <c r="D33" s="1"/>
      <c r="L33" s="19"/>
      <c r="M33" s="19"/>
      <c r="N33" s="19"/>
      <c r="O33" s="19"/>
      <c r="P33" s="19"/>
      <c r="Q33" s="19"/>
      <c r="R33" s="19"/>
      <c r="S33" s="19"/>
      <c r="T33" s="42"/>
      <c r="U33" s="19"/>
      <c r="V33" s="19"/>
    </row>
    <row r="34" spans="3:22" s="17" customFormat="1" ht="15" x14ac:dyDescent="0.2">
      <c r="C34" s="1"/>
      <c r="D34" s="1"/>
      <c r="L34" s="19"/>
      <c r="M34" s="19"/>
      <c r="N34" s="19"/>
      <c r="O34" s="19"/>
      <c r="P34" s="19"/>
      <c r="Q34" s="19"/>
      <c r="R34" s="19"/>
      <c r="S34" s="19"/>
      <c r="T34" s="42"/>
      <c r="U34" s="19"/>
      <c r="V34" s="19"/>
    </row>
    <row r="35" spans="3:22" s="17" customFormat="1" ht="15" x14ac:dyDescent="0.2">
      <c r="C35" s="1"/>
      <c r="D35" s="1"/>
      <c r="L35" s="19"/>
      <c r="M35" s="19"/>
      <c r="N35" s="19"/>
      <c r="O35" s="19"/>
      <c r="P35" s="19"/>
      <c r="Q35" s="19"/>
      <c r="R35" s="19"/>
      <c r="S35" s="19"/>
      <c r="T35" s="42"/>
      <c r="U35" s="19"/>
      <c r="V35" s="19"/>
    </row>
    <row r="36" spans="3:22" s="17" customFormat="1" ht="15" x14ac:dyDescent="0.2">
      <c r="C36" s="1"/>
      <c r="D36" s="1"/>
      <c r="L36" s="19"/>
      <c r="M36" s="19"/>
      <c r="N36" s="19"/>
      <c r="O36" s="19"/>
      <c r="P36" s="19"/>
      <c r="Q36" s="19"/>
      <c r="R36" s="19"/>
      <c r="S36" s="19"/>
      <c r="T36" s="42"/>
      <c r="U36" s="19"/>
      <c r="V36" s="19"/>
    </row>
    <row r="37" spans="3:22" s="17" customFormat="1" ht="15" x14ac:dyDescent="0.2">
      <c r="C37" s="1"/>
      <c r="D37" s="1"/>
      <c r="L37" s="19"/>
      <c r="M37" s="19"/>
      <c r="N37" s="19"/>
      <c r="O37" s="19"/>
      <c r="P37" s="19"/>
      <c r="Q37" s="19"/>
      <c r="R37" s="19"/>
      <c r="S37" s="19"/>
      <c r="T37" s="42"/>
      <c r="U37" s="19"/>
      <c r="V37" s="19"/>
    </row>
    <row r="38" spans="3:22" s="17" customFormat="1" ht="15" x14ac:dyDescent="0.2">
      <c r="C38" s="1"/>
      <c r="D38" s="1"/>
      <c r="L38" s="19"/>
      <c r="M38" s="19"/>
      <c r="N38" s="19"/>
      <c r="O38" s="19"/>
      <c r="P38" s="19"/>
      <c r="Q38" s="19"/>
      <c r="R38" s="19"/>
      <c r="S38" s="19"/>
      <c r="T38" s="42"/>
      <c r="U38" s="19"/>
      <c r="V38" s="19"/>
    </row>
    <row r="39" spans="3:22" s="17" customFormat="1" ht="15" x14ac:dyDescent="0.2">
      <c r="C39" s="1"/>
      <c r="D39" s="1"/>
      <c r="L39" s="19"/>
      <c r="M39" s="19"/>
      <c r="N39" s="19"/>
      <c r="O39" s="19"/>
      <c r="P39" s="19"/>
      <c r="Q39" s="19"/>
      <c r="R39" s="19"/>
      <c r="S39" s="19"/>
      <c r="T39" s="42"/>
      <c r="U39" s="19"/>
      <c r="V39" s="19"/>
    </row>
    <row r="40" spans="3:22" s="17" customFormat="1" ht="15" x14ac:dyDescent="0.2">
      <c r="C40" s="1"/>
      <c r="D40" s="1"/>
      <c r="L40" s="19"/>
      <c r="M40" s="19"/>
      <c r="N40" s="19"/>
      <c r="O40" s="19"/>
      <c r="P40" s="19"/>
      <c r="Q40" s="19"/>
      <c r="R40" s="19"/>
      <c r="S40" s="19"/>
      <c r="T40" s="42"/>
      <c r="U40" s="19"/>
      <c r="V40" s="19"/>
    </row>
    <row r="42" spans="3:22" s="17" customFormat="1" ht="15" x14ac:dyDescent="0.2">
      <c r="C42" s="1"/>
      <c r="D42" s="1"/>
      <c r="L42" s="19"/>
      <c r="M42" s="19"/>
      <c r="N42" s="19"/>
      <c r="O42" s="19"/>
      <c r="P42" s="19"/>
      <c r="Q42" s="19"/>
      <c r="R42" s="19"/>
      <c r="S42" s="19"/>
      <c r="T42" s="42"/>
      <c r="U42" s="19"/>
      <c r="V42" s="19"/>
    </row>
    <row r="43" spans="3:22" s="17" customFormat="1" ht="15" x14ac:dyDescent="0.2">
      <c r="C43" s="1"/>
      <c r="D43" s="1"/>
      <c r="L43" s="19"/>
      <c r="M43" s="19"/>
      <c r="N43" s="19"/>
      <c r="O43" s="19"/>
      <c r="P43" s="19"/>
      <c r="Q43" s="19"/>
      <c r="R43" s="19"/>
      <c r="S43" s="19"/>
      <c r="T43" s="42"/>
      <c r="U43" s="19"/>
      <c r="V43" s="19"/>
    </row>
    <row r="44" spans="3:22" s="17" customFormat="1" ht="15" x14ac:dyDescent="0.2">
      <c r="C44" s="1"/>
      <c r="D44" s="1"/>
      <c r="L44" s="19"/>
      <c r="M44" s="19"/>
      <c r="N44" s="19"/>
      <c r="O44" s="19"/>
      <c r="P44" s="19"/>
      <c r="Q44" s="19"/>
      <c r="R44" s="19"/>
      <c r="S44" s="19"/>
      <c r="T44" s="42"/>
      <c r="U44" s="19"/>
      <c r="V44" s="19"/>
    </row>
    <row r="45" spans="3:22" s="17" customFormat="1" ht="15" x14ac:dyDescent="0.2">
      <c r="C45" s="1"/>
      <c r="D45" s="1"/>
      <c r="L45" s="19"/>
      <c r="M45" s="19"/>
      <c r="N45" s="19"/>
      <c r="O45" s="19"/>
      <c r="P45" s="19"/>
      <c r="Q45" s="19"/>
      <c r="R45" s="19"/>
      <c r="S45" s="19"/>
      <c r="T45" s="42"/>
      <c r="U45" s="19"/>
      <c r="V45" s="19"/>
    </row>
    <row r="46" spans="3:22" s="17" customFormat="1" ht="15" x14ac:dyDescent="0.2">
      <c r="C46" s="1"/>
      <c r="D46" s="1"/>
      <c r="L46" s="19"/>
      <c r="M46" s="19"/>
      <c r="N46" s="19"/>
      <c r="O46" s="19"/>
      <c r="P46" s="19"/>
      <c r="Q46" s="19"/>
      <c r="R46" s="19"/>
      <c r="S46" s="19"/>
      <c r="T46" s="42"/>
      <c r="U46" s="19"/>
      <c r="V46" s="19"/>
    </row>
    <row r="47" spans="3:22" s="17" customFormat="1" ht="15" x14ac:dyDescent="0.2">
      <c r="C47" s="1"/>
      <c r="D47" s="1"/>
      <c r="L47" s="19"/>
      <c r="M47" s="19"/>
      <c r="N47" s="19"/>
      <c r="O47" s="19"/>
      <c r="P47" s="19"/>
      <c r="Q47" s="19"/>
      <c r="R47" s="19"/>
      <c r="S47" s="19"/>
      <c r="T47" s="42"/>
      <c r="U47" s="19"/>
      <c r="V47" s="19"/>
    </row>
    <row r="48" spans="3:22" s="17" customFormat="1" ht="15" x14ac:dyDescent="0.2">
      <c r="C48" s="1"/>
      <c r="D48" s="1"/>
      <c r="L48" s="19"/>
      <c r="M48" s="19"/>
      <c r="N48" s="19"/>
      <c r="O48" s="19"/>
      <c r="P48" s="19"/>
      <c r="Q48" s="19"/>
      <c r="R48" s="19"/>
      <c r="S48" s="19"/>
      <c r="T48" s="42"/>
      <c r="U48" s="19"/>
      <c r="V48" s="19"/>
    </row>
    <row r="49" spans="3:22" s="17" customFormat="1" ht="15" x14ac:dyDescent="0.2">
      <c r="C49" s="1"/>
      <c r="D49" s="1"/>
      <c r="L49" s="19"/>
      <c r="M49" s="19"/>
      <c r="N49" s="19"/>
      <c r="O49" s="19"/>
      <c r="P49" s="19"/>
      <c r="Q49" s="19"/>
      <c r="R49" s="19"/>
      <c r="S49" s="19"/>
      <c r="T49" s="42"/>
      <c r="U49" s="19"/>
      <c r="V49" s="19"/>
    </row>
    <row r="50" spans="3:22" s="17" customFormat="1" ht="15" x14ac:dyDescent="0.2">
      <c r="C50" s="1"/>
      <c r="D50" s="1"/>
      <c r="L50" s="19"/>
      <c r="M50" s="19"/>
      <c r="N50" s="19"/>
      <c r="O50" s="19"/>
      <c r="P50" s="19"/>
      <c r="Q50" s="19"/>
      <c r="R50" s="19"/>
      <c r="S50" s="19"/>
      <c r="T50" s="42"/>
      <c r="U50" s="19"/>
      <c r="V50" s="19"/>
    </row>
    <row r="51" spans="3:22" s="17" customFormat="1" ht="15" x14ac:dyDescent="0.2">
      <c r="C51" s="1"/>
      <c r="D51" s="1"/>
      <c r="L51" s="19"/>
      <c r="M51" s="19"/>
      <c r="N51" s="19"/>
      <c r="O51" s="19"/>
      <c r="P51" s="19"/>
      <c r="Q51" s="19"/>
      <c r="R51" s="19"/>
      <c r="S51" s="19"/>
      <c r="T51" s="42"/>
      <c r="U51" s="19"/>
      <c r="V51" s="19"/>
    </row>
  </sheetData>
  <sortState ref="A4:Y18">
    <sortCondition ref="Q4:Q18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3D3ED-C1A6-4F2D-B6DB-B041422490C1}">
  <sheetPr codeName="Sheet73"/>
  <dimension ref="A1:Z50"/>
  <sheetViews>
    <sheetView showGridLines="0" zoomScaleNormal="100" workbookViewId="0">
      <pane xSplit="1" ySplit="2" topLeftCell="B3" activePane="bottomRight" state="frozen"/>
      <selection pane="topRight"/>
      <selection pane="bottomLeft"/>
      <selection pane="bottomRight" activeCell="O31" sqref="O31"/>
    </sheetView>
  </sheetViews>
  <sheetFormatPr defaultColWidth="9.140625" defaultRowHeight="15.75" x14ac:dyDescent="0.25"/>
  <cols>
    <col min="1" max="1" width="20.5703125" style="17" customWidth="1"/>
    <col min="2" max="2" width="0.140625" style="17" customWidth="1"/>
    <col min="3" max="3" width="3.85546875" style="17" hidden="1" customWidth="1"/>
    <col min="4" max="5" width="2.5703125" style="17" hidden="1" customWidth="1"/>
    <col min="6" max="6" width="13.42578125" style="17" hidden="1" customWidth="1"/>
    <col min="7" max="7" width="10.85546875" style="17" hidden="1" customWidth="1"/>
    <col min="8" max="8" width="12.140625" style="17" hidden="1" customWidth="1"/>
    <col min="9" max="11" width="9.5703125" style="17" hidden="1" customWidth="1"/>
    <col min="12" max="12" width="20" style="19" bestFit="1" customWidth="1"/>
    <col min="13" max="13" width="15.85546875" style="19" bestFit="1" customWidth="1"/>
    <col min="14" max="14" width="13.42578125" style="19" customWidth="1"/>
    <col min="15" max="15" width="14.42578125" style="19" bestFit="1" customWidth="1"/>
    <col min="16" max="18" width="13.5703125" style="19" bestFit="1" customWidth="1"/>
    <col min="19" max="19" width="12.140625" style="19" bestFit="1" customWidth="1"/>
    <col min="20" max="20" width="10.85546875" style="42" bestFit="1" customWidth="1"/>
    <col min="21" max="21" width="13.5703125" style="19" bestFit="1" customWidth="1"/>
    <col min="22" max="22" width="16.5703125" style="19" bestFit="1" customWidth="1"/>
  </cols>
  <sheetData>
    <row r="1" spans="1:26" s="28" customFormat="1" x14ac:dyDescent="0.25">
      <c r="A1" s="27" t="s">
        <v>59</v>
      </c>
      <c r="B1" s="27" t="s">
        <v>5</v>
      </c>
      <c r="C1" s="27"/>
      <c r="D1" s="27"/>
      <c r="E1" s="27"/>
      <c r="F1" s="27"/>
      <c r="G1" s="27" t="s">
        <v>0</v>
      </c>
      <c r="H1" s="27" t="s">
        <v>1</v>
      </c>
      <c r="I1" s="27" t="s">
        <v>8</v>
      </c>
      <c r="J1" s="27" t="s">
        <v>2</v>
      </c>
      <c r="K1" s="27" t="s">
        <v>9</v>
      </c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40" t="s">
        <v>12</v>
      </c>
      <c r="U1" s="29" t="s">
        <v>10</v>
      </c>
      <c r="V1" s="29" t="s">
        <v>11</v>
      </c>
    </row>
    <row r="2" spans="1:26" ht="17.25" hidden="1" customHeight="1" x14ac:dyDescent="0.25">
      <c r="A2" s="17" t="s">
        <v>603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AcylPE 49:1</v>
      </c>
      <c r="C2" s="1" t="str">
        <f>MID(B2,8,FIND(":",B2)-FIND(" ",B2)-1)</f>
        <v>49</v>
      </c>
      <c r="D2" s="1" t="str">
        <f>IF(ISNUMBER(SEARCH("__",B2)),MID(B2,FIND(":",B2)+1,FIND("__",B2)-FIND(":",B2)-1),MID(B2,FIND(":",B2)+1,7))</f>
        <v>1</v>
      </c>
      <c r="E2" s="17" t="str">
        <f>MID(A2,9,1)</f>
        <v>9</v>
      </c>
      <c r="G2" s="17">
        <f t="shared" ref="G2" si="0">C2+5</f>
        <v>54</v>
      </c>
      <c r="H2" s="17">
        <f>(-2)+2*G2-(2*D2)-((LEN(A2)-LEN(SUBSTITUTE(A2,"_O_","")))/LEN("_O_"))*2-((LEN(A2)-LEN(SUBSTITUTE(A2,"_CHO_","")))/LEN("_CHO_"))*2-((LEN(A2)-LEN(SUBSTITUTE(A2,"_COOH_","")))/LEN("_COOH_"))*2</f>
        <v>104</v>
      </c>
      <c r="I2" s="17">
        <v>1</v>
      </c>
      <c r="J2" s="17">
        <f>9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9</v>
      </c>
      <c r="K2" s="17">
        <v>1</v>
      </c>
      <c r="L2" s="19" t="str">
        <f t="shared" ref="L2" si="1">CONCATENATE("C",G2,"H",H2,"N",I2,"O",J2,"P",K2)</f>
        <v>C54H104N1O9P1</v>
      </c>
      <c r="M2" s="19">
        <f t="shared" ref="M2" si="2">(G2*12)+(H2*1.0078246)+(I2*14.003074)+(J2*15.994915)+(K2*30.973763)</f>
        <v>941.74483039999996</v>
      </c>
      <c r="N2" s="19">
        <f>M2+1.0078246-0.00055</f>
        <v>942.75210500000003</v>
      </c>
      <c r="O2" s="19">
        <f>N2-18.01057-0.00055</f>
        <v>924.74098500000002</v>
      </c>
      <c r="P2" s="19">
        <f>M2+18.03437-0.00055</f>
        <v>959.77865039999995</v>
      </c>
      <c r="Q2" s="19">
        <f>M2+22.98977-0.00055</f>
        <v>964.7340504</v>
      </c>
      <c r="R2" s="19">
        <f>M2+38.96371-0.00055</f>
        <v>980.70799039999997</v>
      </c>
      <c r="S2" s="19">
        <f>M2+7.01601-0.00055</f>
        <v>948.76029040000003</v>
      </c>
      <c r="T2" s="42">
        <f>M2-1.0078246+0.00055</f>
        <v>940.73755579999988</v>
      </c>
      <c r="U2" s="19">
        <f>M2+44.99767+0.00055</f>
        <v>986.7430503999999</v>
      </c>
      <c r="V2" s="19">
        <f>M2+59.01332+0.00055</f>
        <v>1000.7587004</v>
      </c>
    </row>
    <row r="3" spans="1:26" x14ac:dyDescent="0.25">
      <c r="C3" s="1"/>
      <c r="D3" s="1"/>
    </row>
    <row r="4" spans="1:26" x14ac:dyDescent="0.25">
      <c r="A4" s="17" t="s">
        <v>670</v>
      </c>
      <c r="B4" s="17" t="str">
        <f t="shared" ref="B4" si="3">IF(ISNUMBER(SEARCH("(",A4)),IF(ISNUMBER(SEARCH("/",A4)),CONCATENATE(MID(A4,1,2)," ",(SUM(MID(A4,FIND("(",A4)+1,FIND(":",A4)-FIND("(",A4)-1),MID(A4,FIND("/",A4)+1,FIND(":",A4,FIND("/",A4))-FIND("/",A4)-1))),":",SUM(MID(A4,FIND(":",A4)+1,FIND("/",A4)-FIND(":",A4)-1),MID(A4,FIND(":",A4,FIND("/",A4))+1,FIND(")",A4)-FIND(":",A4,FIND("/",A4))-1)),MID(A4,(FIND(")",A4)+1),100)),CONCATENATE(MID(A4,1,2)," ",(SUM(MID(A4,FIND("(",A4)+1,FIND(":",A4)-FIND("(",A4)-1),MID(A4,FIND("_",A4)+1,FIND(":",A4,FIND("_",A4))-FIND("_",A4)-1))),":",SUM(MID(A4,FIND(":",A4)+1,FIND("_",A4)-FIND(":",A4)-1),MID(A4,FIND(":",A4,FIND("_",A4))+1,FIND(")",A4)-FIND(":",A4,FIND("_",A4))-1)),MID(A4,(FIND(")",A4)+1),100))),A4)</f>
        <v>AcylPE 45:2</v>
      </c>
      <c r="C4" s="1" t="str">
        <f t="shared" ref="C4" si="4">MID(B4,8,FIND(":",B4)-FIND(" ",B4)-1)</f>
        <v>45</v>
      </c>
      <c r="D4" s="1" t="str">
        <f t="shared" ref="D4" si="5">IF(ISNUMBER(SEARCH("__",B4)),MID(B4,FIND(":",B4)+1,FIND("__",B4)-FIND(":",B4)-1),MID(B4,FIND(":",B4)+1,7))</f>
        <v>2</v>
      </c>
      <c r="E4" s="17" t="str">
        <f t="shared" ref="E4" si="6">MID(A4,9,1)</f>
        <v>5</v>
      </c>
      <c r="G4" s="17">
        <f t="shared" ref="G4:G27" si="7">C4+5</f>
        <v>50</v>
      </c>
      <c r="H4" s="17">
        <f t="shared" ref="H4" si="8">(-2)+2*G4-(2*D4)-((LEN(A4)-LEN(SUBSTITUTE(A4,"_O_","")))/LEN("_O_"))*2-((LEN(A4)-LEN(SUBSTITUTE(A4,"_CHO_","")))/LEN("_CHO_"))*2-((LEN(A4)-LEN(SUBSTITUTE(A4,"_COOH_","")))/LEN("_COOH_"))*2</f>
        <v>94</v>
      </c>
      <c r="I4" s="17">
        <v>1</v>
      </c>
      <c r="J4" s="17">
        <f t="shared" ref="J4" si="9">9+((LEN(A4)-LEN(SUBSTITUTE(A4,"_OH_","")))/LEN("_OH_"))*1+((LEN(A4)-LEN(SUBSTITUTE(A4,"_OOH_","")))/LEN("_OOH_"))*2+((LEN(A4)-LEN(SUBSTITUTE(A4,"_O_","")))/LEN("_O_"))*1+((LEN(A4)-LEN(SUBSTITUTE(A4,"_CHO_","")))/LEN("_CHO_"))*1+((LEN(A4)-LEN(SUBSTITUTE(A4,"_COOH_","")))/LEN("_COOH_"))*2</f>
        <v>9</v>
      </c>
      <c r="K4" s="17">
        <v>1</v>
      </c>
      <c r="L4" s="19" t="str">
        <f t="shared" ref="L4:L27" si="10">CONCATENATE("C",G4,"H",H4,"N",I4,"O",J4,"P",K4)</f>
        <v>C50H94N1O9P1</v>
      </c>
      <c r="M4" s="19">
        <f t="shared" ref="M4:M27" si="11">(G4*12)+(H4*1.0078246)+(I4*14.003074)+(J4*15.994915)+(K4*30.973763)</f>
        <v>883.66658439999992</v>
      </c>
      <c r="N4" s="19">
        <f t="shared" ref="N4" si="12">M4+1.0078246-0.00055</f>
        <v>884.67385899999999</v>
      </c>
      <c r="O4" s="19">
        <f t="shared" ref="O4" si="13">N4-18.01057-0.00055</f>
        <v>866.66273899999999</v>
      </c>
      <c r="P4" s="19">
        <f t="shared" ref="P4" si="14">M4+18.03437-0.00055</f>
        <v>901.70040439999991</v>
      </c>
      <c r="Q4" s="19">
        <f t="shared" ref="Q4" si="15">M4+22.98977-0.00055</f>
        <v>906.65580439999997</v>
      </c>
      <c r="R4" s="19">
        <f t="shared" ref="R4" si="16">M4+38.96371-0.00055</f>
        <v>922.62974439999994</v>
      </c>
      <c r="S4" s="19">
        <f t="shared" ref="S4" si="17">M4+7.01601-0.00055</f>
        <v>890.6820444</v>
      </c>
      <c r="T4" s="42">
        <f t="shared" ref="T4" si="18">M4-1.0078246+0.00055</f>
        <v>882.65930979999985</v>
      </c>
      <c r="U4" s="19">
        <f t="shared" ref="U4" si="19">M4+44.99767+0.00055</f>
        <v>928.66480439999987</v>
      </c>
      <c r="V4" s="19">
        <f t="shared" ref="V4" si="20">M4+59.01332+0.00055</f>
        <v>942.68045439999992</v>
      </c>
      <c r="W4" s="58"/>
      <c r="X4" s="58"/>
      <c r="Y4" s="58"/>
      <c r="Z4" s="58"/>
    </row>
    <row r="5" spans="1:26" x14ac:dyDescent="0.25">
      <c r="A5" s="17" t="s">
        <v>671</v>
      </c>
      <c r="B5" s="17" t="str">
        <f t="shared" ref="B5:B27" si="21">IF(ISNUMBER(SEARCH("(",A5)),IF(ISNUMBER(SEARCH("/",A5)),CONCATENATE(MID(A5,1,2)," ",(SUM(MID(A5,FIND("(",A5)+1,FIND(":",A5)-FIND("(",A5)-1),MID(A5,FIND("/",A5)+1,FIND(":",A5,FIND("/",A5))-FIND("/",A5)-1))),":",SUM(MID(A5,FIND(":",A5)+1,FIND("/",A5)-FIND(":",A5)-1),MID(A5,FIND(":",A5,FIND("/",A5))+1,FIND(")",A5)-FIND(":",A5,FIND("/",A5))-1)),MID(A5,(FIND(")",A5)+1),100)),CONCATENATE(MID(A5,1,2)," ",(SUM(MID(A5,FIND("(",A5)+1,FIND(":",A5)-FIND("(",A5)-1),MID(A5,FIND("_",A5)+1,FIND(":",A5,FIND("_",A5))-FIND("_",A5)-1))),":",SUM(MID(A5,FIND(":",A5)+1,FIND("_",A5)-FIND(":",A5)-1),MID(A5,FIND(":",A5,FIND("_",A5))+1,FIND(")",A5)-FIND(":",A5,FIND("_",A5))-1)),MID(A5,(FIND(")",A5)+1),100))),A5)</f>
        <v>AcylPE 45:1</v>
      </c>
      <c r="C5" s="1" t="str">
        <f t="shared" ref="C5:C27" si="22">MID(B5,8,FIND(":",B5)-FIND(" ",B5)-1)</f>
        <v>45</v>
      </c>
      <c r="D5" s="1" t="str">
        <f t="shared" ref="D5:D27" si="23">IF(ISNUMBER(SEARCH("__",B5)),MID(B5,FIND(":",B5)+1,FIND("__",B5)-FIND(":",B5)-1),MID(B5,FIND(":",B5)+1,7))</f>
        <v>1</v>
      </c>
      <c r="E5" s="17" t="str">
        <f t="shared" ref="E5:E27" si="24">MID(A5,9,1)</f>
        <v>5</v>
      </c>
      <c r="G5" s="17">
        <f t="shared" si="7"/>
        <v>50</v>
      </c>
      <c r="H5" s="17">
        <f t="shared" ref="H5:H27" si="25">(-2)+2*G5-(2*D5)-((LEN(A5)-LEN(SUBSTITUTE(A5,"_O_","")))/LEN("_O_"))*2-((LEN(A5)-LEN(SUBSTITUTE(A5,"_CHO_","")))/LEN("_CHO_"))*2-((LEN(A5)-LEN(SUBSTITUTE(A5,"_COOH_","")))/LEN("_COOH_"))*2</f>
        <v>96</v>
      </c>
      <c r="I5" s="17">
        <v>1</v>
      </c>
      <c r="J5" s="17">
        <f t="shared" ref="J5:J27" si="26">9+((LEN(A5)-LEN(SUBSTITUTE(A5,"_OH_","")))/LEN("_OH_"))*1+((LEN(A5)-LEN(SUBSTITUTE(A5,"_OOH_","")))/LEN("_OOH_"))*2+((LEN(A5)-LEN(SUBSTITUTE(A5,"_O_","")))/LEN("_O_"))*1+((LEN(A5)-LEN(SUBSTITUTE(A5,"_CHO_","")))/LEN("_CHO_"))*1+((LEN(A5)-LEN(SUBSTITUTE(A5,"_COOH_","")))/LEN("_COOH_"))*2</f>
        <v>9</v>
      </c>
      <c r="K5" s="17">
        <v>1</v>
      </c>
      <c r="L5" s="19" t="str">
        <f t="shared" si="10"/>
        <v>C50H96N1O9P1</v>
      </c>
      <c r="M5" s="19">
        <f t="shared" si="11"/>
        <v>885.6822335999999</v>
      </c>
      <c r="N5" s="19">
        <f t="shared" ref="N5:N27" si="27">M5+1.0078246-0.00055</f>
        <v>886.68950819999998</v>
      </c>
      <c r="O5" s="19">
        <f t="shared" ref="O5:O27" si="28">N5-18.01057-0.00055</f>
        <v>868.67838819999997</v>
      </c>
      <c r="P5" s="19">
        <f t="shared" ref="P5:P27" si="29">M5+18.03437-0.00055</f>
        <v>903.7160535999999</v>
      </c>
      <c r="Q5" s="19">
        <f t="shared" ref="Q5:Q27" si="30">M5+22.98977-0.00055</f>
        <v>908.67145359999995</v>
      </c>
      <c r="R5" s="19">
        <f t="shared" ref="R5:R27" si="31">M5+38.96371-0.00055</f>
        <v>924.64539359999992</v>
      </c>
      <c r="S5" s="19">
        <f t="shared" ref="S5:S27" si="32">M5+7.01601-0.00055</f>
        <v>892.69769359999998</v>
      </c>
      <c r="T5" s="42">
        <f t="shared" ref="T5:T27" si="33">M5-1.0078246+0.00055</f>
        <v>884.67495899999983</v>
      </c>
      <c r="U5" s="19">
        <f t="shared" ref="U5:U27" si="34">M5+44.99767+0.00055</f>
        <v>930.68045359999985</v>
      </c>
      <c r="V5" s="19">
        <f t="shared" ref="V5:V27" si="35">M5+59.01332+0.00055</f>
        <v>944.6961035999999</v>
      </c>
      <c r="W5" s="58"/>
      <c r="X5" s="58"/>
      <c r="Y5" s="58"/>
      <c r="Z5" s="58"/>
    </row>
    <row r="6" spans="1:26" x14ac:dyDescent="0.25">
      <c r="A6" s="17" t="s">
        <v>672</v>
      </c>
      <c r="B6" s="17" t="str">
        <f t="shared" si="21"/>
        <v>AcylPE 46:2</v>
      </c>
      <c r="C6" s="1" t="str">
        <f t="shared" si="22"/>
        <v>46</v>
      </c>
      <c r="D6" s="1" t="str">
        <f t="shared" si="23"/>
        <v>2</v>
      </c>
      <c r="E6" s="17" t="str">
        <f t="shared" si="24"/>
        <v>6</v>
      </c>
      <c r="G6" s="17">
        <f t="shared" si="7"/>
        <v>51</v>
      </c>
      <c r="H6" s="17">
        <f t="shared" si="25"/>
        <v>96</v>
      </c>
      <c r="I6" s="17">
        <v>1</v>
      </c>
      <c r="J6" s="17">
        <f t="shared" si="26"/>
        <v>9</v>
      </c>
      <c r="K6" s="17">
        <v>1</v>
      </c>
      <c r="L6" s="19" t="str">
        <f t="shared" si="10"/>
        <v>C51H96N1O9P1</v>
      </c>
      <c r="M6" s="19">
        <f t="shared" si="11"/>
        <v>897.6822335999999</v>
      </c>
      <c r="N6" s="19">
        <f t="shared" si="27"/>
        <v>898.68950819999998</v>
      </c>
      <c r="O6" s="19">
        <f t="shared" si="28"/>
        <v>880.67838819999997</v>
      </c>
      <c r="P6" s="19">
        <f t="shared" si="29"/>
        <v>915.7160535999999</v>
      </c>
      <c r="Q6" s="19">
        <f t="shared" si="30"/>
        <v>920.67145359999995</v>
      </c>
      <c r="R6" s="19">
        <f t="shared" si="31"/>
        <v>936.64539359999992</v>
      </c>
      <c r="S6" s="19">
        <f t="shared" si="32"/>
        <v>904.69769359999998</v>
      </c>
      <c r="T6" s="42">
        <f t="shared" si="33"/>
        <v>896.67495899999983</v>
      </c>
      <c r="U6" s="19">
        <f t="shared" si="34"/>
        <v>942.68045359999985</v>
      </c>
      <c r="V6" s="19">
        <f t="shared" si="35"/>
        <v>956.6961035999999</v>
      </c>
      <c r="W6" s="58"/>
      <c r="X6" s="58"/>
      <c r="Y6" s="58"/>
      <c r="Z6" s="58"/>
    </row>
    <row r="7" spans="1:26" x14ac:dyDescent="0.25">
      <c r="A7" s="17" t="s">
        <v>604</v>
      </c>
      <c r="B7" s="17" t="str">
        <f t="shared" si="21"/>
        <v>AcylPE 46:1</v>
      </c>
      <c r="C7" s="1" t="str">
        <f t="shared" si="22"/>
        <v>46</v>
      </c>
      <c r="D7" s="1" t="str">
        <f t="shared" si="23"/>
        <v>1</v>
      </c>
      <c r="E7" s="17" t="str">
        <f t="shared" si="24"/>
        <v>6</v>
      </c>
      <c r="G7" s="17">
        <f t="shared" si="7"/>
        <v>51</v>
      </c>
      <c r="H7" s="17">
        <f t="shared" si="25"/>
        <v>98</v>
      </c>
      <c r="I7" s="17">
        <v>1</v>
      </c>
      <c r="J7" s="17">
        <f t="shared" si="26"/>
        <v>9</v>
      </c>
      <c r="K7" s="17">
        <v>1</v>
      </c>
      <c r="L7" s="19" t="str">
        <f t="shared" si="10"/>
        <v>C51H98N1O9P1</v>
      </c>
      <c r="M7" s="19">
        <f t="shared" si="11"/>
        <v>899.6978828</v>
      </c>
      <c r="N7" s="19">
        <f t="shared" si="27"/>
        <v>900.70515740000008</v>
      </c>
      <c r="O7" s="19">
        <f t="shared" si="28"/>
        <v>882.69403740000007</v>
      </c>
      <c r="P7" s="19">
        <f t="shared" si="29"/>
        <v>917.73170279999999</v>
      </c>
      <c r="Q7" s="19">
        <f t="shared" si="30"/>
        <v>922.68710280000005</v>
      </c>
      <c r="R7" s="19">
        <f t="shared" si="31"/>
        <v>938.66104280000002</v>
      </c>
      <c r="S7" s="19">
        <f t="shared" si="32"/>
        <v>906.71334280000008</v>
      </c>
      <c r="T7" s="42">
        <f t="shared" si="33"/>
        <v>898.69060819999993</v>
      </c>
      <c r="U7" s="19">
        <f t="shared" si="34"/>
        <v>944.69610279999995</v>
      </c>
      <c r="V7" s="19">
        <f t="shared" si="35"/>
        <v>958.7117528</v>
      </c>
      <c r="W7" s="58"/>
      <c r="X7" s="58"/>
      <c r="Y7" s="58"/>
      <c r="Z7" s="58"/>
    </row>
    <row r="8" spans="1:26" x14ac:dyDescent="0.25">
      <c r="A8" s="17" t="s">
        <v>673</v>
      </c>
      <c r="B8" s="17" t="str">
        <f t="shared" si="21"/>
        <v>AcylPE 47:2</v>
      </c>
      <c r="C8" s="1" t="str">
        <f t="shared" si="22"/>
        <v>47</v>
      </c>
      <c r="D8" s="1" t="str">
        <f t="shared" si="23"/>
        <v>2</v>
      </c>
      <c r="E8" s="17" t="str">
        <f t="shared" si="24"/>
        <v>7</v>
      </c>
      <c r="G8" s="17">
        <f t="shared" si="7"/>
        <v>52</v>
      </c>
      <c r="H8" s="17">
        <f t="shared" si="25"/>
        <v>98</v>
      </c>
      <c r="I8" s="17">
        <v>1</v>
      </c>
      <c r="J8" s="17">
        <f t="shared" si="26"/>
        <v>9</v>
      </c>
      <c r="K8" s="17">
        <v>1</v>
      </c>
      <c r="L8" s="19" t="str">
        <f t="shared" si="10"/>
        <v>C52H98N1O9P1</v>
      </c>
      <c r="M8" s="19">
        <f t="shared" si="11"/>
        <v>911.6978828</v>
      </c>
      <c r="N8" s="19">
        <f t="shared" si="27"/>
        <v>912.70515740000008</v>
      </c>
      <c r="O8" s="19">
        <f t="shared" si="28"/>
        <v>894.69403740000007</v>
      </c>
      <c r="P8" s="19">
        <f t="shared" si="29"/>
        <v>929.73170279999999</v>
      </c>
      <c r="Q8" s="19">
        <f t="shared" si="30"/>
        <v>934.68710280000005</v>
      </c>
      <c r="R8" s="19">
        <f t="shared" si="31"/>
        <v>950.66104280000002</v>
      </c>
      <c r="S8" s="19">
        <f t="shared" si="32"/>
        <v>918.71334280000008</v>
      </c>
      <c r="T8" s="42">
        <f t="shared" si="33"/>
        <v>910.69060819999993</v>
      </c>
      <c r="U8" s="19">
        <f t="shared" si="34"/>
        <v>956.69610279999995</v>
      </c>
      <c r="V8" s="19">
        <f t="shared" si="35"/>
        <v>970.7117528</v>
      </c>
      <c r="W8" s="58"/>
      <c r="X8" s="58"/>
      <c r="Y8" s="58"/>
      <c r="Z8" s="58"/>
    </row>
    <row r="9" spans="1:26" x14ac:dyDescent="0.25">
      <c r="A9" s="17" t="s">
        <v>605</v>
      </c>
      <c r="B9" s="17" t="str">
        <f t="shared" si="21"/>
        <v>AcylPE 47:1</v>
      </c>
      <c r="C9" s="1" t="str">
        <f t="shared" si="22"/>
        <v>47</v>
      </c>
      <c r="D9" s="1" t="str">
        <f t="shared" si="23"/>
        <v>1</v>
      </c>
      <c r="E9" s="17" t="str">
        <f t="shared" si="24"/>
        <v>7</v>
      </c>
      <c r="G9" s="17">
        <f t="shared" si="7"/>
        <v>52</v>
      </c>
      <c r="H9" s="17">
        <f t="shared" si="25"/>
        <v>100</v>
      </c>
      <c r="I9" s="17">
        <v>1</v>
      </c>
      <c r="J9" s="17">
        <f t="shared" si="26"/>
        <v>9</v>
      </c>
      <c r="K9" s="17">
        <v>1</v>
      </c>
      <c r="L9" s="19" t="str">
        <f t="shared" si="10"/>
        <v>C52H100N1O9P1</v>
      </c>
      <c r="M9" s="19">
        <f t="shared" si="11"/>
        <v>913.71353199999999</v>
      </c>
      <c r="N9" s="19">
        <f t="shared" si="27"/>
        <v>914.72080660000006</v>
      </c>
      <c r="O9" s="19">
        <f t="shared" si="28"/>
        <v>896.70968660000005</v>
      </c>
      <c r="P9" s="19">
        <f t="shared" si="29"/>
        <v>931.74735199999998</v>
      </c>
      <c r="Q9" s="19">
        <f t="shared" si="30"/>
        <v>936.70275200000003</v>
      </c>
      <c r="R9" s="19">
        <f t="shared" si="31"/>
        <v>952.676692</v>
      </c>
      <c r="S9" s="19">
        <f t="shared" si="32"/>
        <v>920.72899200000006</v>
      </c>
      <c r="T9" s="42">
        <f t="shared" si="33"/>
        <v>912.70625739999991</v>
      </c>
      <c r="U9" s="19">
        <f t="shared" si="34"/>
        <v>958.71175199999993</v>
      </c>
      <c r="V9" s="19">
        <f t="shared" si="35"/>
        <v>972.72740199999998</v>
      </c>
      <c r="W9" s="58"/>
      <c r="X9" s="58"/>
      <c r="Y9" s="58"/>
      <c r="Z9" s="58"/>
    </row>
    <row r="10" spans="1:26" x14ac:dyDescent="0.25">
      <c r="A10" s="17" t="s">
        <v>674</v>
      </c>
      <c r="B10" s="17" t="str">
        <f t="shared" si="21"/>
        <v>AcylPE 48:2</v>
      </c>
      <c r="C10" s="1" t="str">
        <f t="shared" si="22"/>
        <v>48</v>
      </c>
      <c r="D10" s="1" t="str">
        <f t="shared" si="23"/>
        <v>2</v>
      </c>
      <c r="E10" s="17" t="str">
        <f t="shared" si="24"/>
        <v>8</v>
      </c>
      <c r="G10" s="17">
        <f t="shared" si="7"/>
        <v>53</v>
      </c>
      <c r="H10" s="17">
        <f t="shared" si="25"/>
        <v>100</v>
      </c>
      <c r="I10" s="17">
        <v>1</v>
      </c>
      <c r="J10" s="17">
        <f t="shared" si="26"/>
        <v>9</v>
      </c>
      <c r="K10" s="17">
        <v>1</v>
      </c>
      <c r="L10" s="19" t="str">
        <f t="shared" si="10"/>
        <v>C53H100N1O9P1</v>
      </c>
      <c r="M10" s="19">
        <f t="shared" si="11"/>
        <v>925.71353199999999</v>
      </c>
      <c r="N10" s="19">
        <f t="shared" si="27"/>
        <v>926.72080660000006</v>
      </c>
      <c r="O10" s="19">
        <f t="shared" si="28"/>
        <v>908.70968660000005</v>
      </c>
      <c r="P10" s="19">
        <f t="shared" si="29"/>
        <v>943.74735199999998</v>
      </c>
      <c r="Q10" s="19">
        <f t="shared" si="30"/>
        <v>948.70275200000003</v>
      </c>
      <c r="R10" s="19">
        <f t="shared" si="31"/>
        <v>964.676692</v>
      </c>
      <c r="S10" s="19">
        <f t="shared" si="32"/>
        <v>932.72899200000006</v>
      </c>
      <c r="T10" s="42">
        <f t="shared" si="33"/>
        <v>924.70625739999991</v>
      </c>
      <c r="U10" s="19">
        <f t="shared" si="34"/>
        <v>970.71175199999993</v>
      </c>
      <c r="V10" s="19">
        <f t="shared" si="35"/>
        <v>984.72740199999998</v>
      </c>
      <c r="W10" s="58"/>
      <c r="X10" s="58"/>
      <c r="Y10" s="58"/>
      <c r="Z10" s="58"/>
    </row>
    <row r="11" spans="1:26" x14ac:dyDescent="0.25">
      <c r="A11" s="17" t="s">
        <v>606</v>
      </c>
      <c r="B11" s="17" t="str">
        <f t="shared" si="21"/>
        <v>AcylPE 48:1</v>
      </c>
      <c r="C11" s="1" t="str">
        <f t="shared" si="22"/>
        <v>48</v>
      </c>
      <c r="D11" s="1" t="str">
        <f t="shared" si="23"/>
        <v>1</v>
      </c>
      <c r="E11" s="17" t="str">
        <f t="shared" si="24"/>
        <v>8</v>
      </c>
      <c r="G11" s="17">
        <f t="shared" si="7"/>
        <v>53</v>
      </c>
      <c r="H11" s="17">
        <f t="shared" si="25"/>
        <v>102</v>
      </c>
      <c r="I11" s="17">
        <v>1</v>
      </c>
      <c r="J11" s="17">
        <f t="shared" si="26"/>
        <v>9</v>
      </c>
      <c r="K11" s="17">
        <v>1</v>
      </c>
      <c r="L11" s="19" t="str">
        <f t="shared" si="10"/>
        <v>C53H102N1O9P1</v>
      </c>
      <c r="M11" s="19">
        <f t="shared" si="11"/>
        <v>927.72918119999997</v>
      </c>
      <c r="N11" s="19">
        <f t="shared" si="27"/>
        <v>928.73645580000004</v>
      </c>
      <c r="O11" s="19">
        <f t="shared" si="28"/>
        <v>910.72533580000004</v>
      </c>
      <c r="P11" s="19">
        <f t="shared" si="29"/>
        <v>945.76300119999996</v>
      </c>
      <c r="Q11" s="19">
        <f t="shared" si="30"/>
        <v>950.71840120000002</v>
      </c>
      <c r="R11" s="19">
        <f t="shared" si="31"/>
        <v>966.69234119999999</v>
      </c>
      <c r="S11" s="19">
        <f t="shared" si="32"/>
        <v>934.74464120000005</v>
      </c>
      <c r="T11" s="42">
        <f t="shared" si="33"/>
        <v>926.7219065999999</v>
      </c>
      <c r="U11" s="19">
        <f t="shared" si="34"/>
        <v>972.72740119999992</v>
      </c>
      <c r="V11" s="19">
        <f t="shared" si="35"/>
        <v>986.74305119999997</v>
      </c>
      <c r="W11" s="58"/>
      <c r="X11" s="58"/>
      <c r="Y11" s="58"/>
      <c r="Z11" s="58"/>
    </row>
    <row r="12" spans="1:26" x14ac:dyDescent="0.25">
      <c r="A12" s="17" t="s">
        <v>675</v>
      </c>
      <c r="B12" s="17" t="str">
        <f t="shared" si="21"/>
        <v>AcylPE 49:2</v>
      </c>
      <c r="C12" s="1" t="str">
        <f t="shared" si="22"/>
        <v>49</v>
      </c>
      <c r="D12" s="1" t="str">
        <f t="shared" si="23"/>
        <v>2</v>
      </c>
      <c r="E12" s="17" t="str">
        <f t="shared" si="24"/>
        <v>9</v>
      </c>
      <c r="G12" s="17">
        <f t="shared" si="7"/>
        <v>54</v>
      </c>
      <c r="H12" s="17">
        <f t="shared" si="25"/>
        <v>102</v>
      </c>
      <c r="I12" s="17">
        <v>1</v>
      </c>
      <c r="J12" s="17">
        <f t="shared" si="26"/>
        <v>9</v>
      </c>
      <c r="K12" s="17">
        <v>1</v>
      </c>
      <c r="L12" s="19" t="str">
        <f t="shared" si="10"/>
        <v>C54H102N1O9P1</v>
      </c>
      <c r="M12" s="19">
        <f t="shared" si="11"/>
        <v>939.72918119999997</v>
      </c>
      <c r="N12" s="19">
        <f t="shared" si="27"/>
        <v>940.73645580000004</v>
      </c>
      <c r="O12" s="19">
        <f t="shared" si="28"/>
        <v>922.72533580000004</v>
      </c>
      <c r="P12" s="19">
        <f t="shared" si="29"/>
        <v>957.76300119999996</v>
      </c>
      <c r="Q12" s="19">
        <f t="shared" si="30"/>
        <v>962.71840120000002</v>
      </c>
      <c r="R12" s="19">
        <f t="shared" si="31"/>
        <v>978.69234119999999</v>
      </c>
      <c r="S12" s="19">
        <f t="shared" si="32"/>
        <v>946.74464120000005</v>
      </c>
      <c r="T12" s="42">
        <f t="shared" si="33"/>
        <v>938.7219065999999</v>
      </c>
      <c r="U12" s="19">
        <f t="shared" si="34"/>
        <v>984.72740119999992</v>
      </c>
      <c r="V12" s="19">
        <f t="shared" si="35"/>
        <v>998.74305119999997</v>
      </c>
      <c r="W12" s="58"/>
      <c r="X12" s="58"/>
      <c r="Y12" s="58"/>
      <c r="Z12" s="58"/>
    </row>
    <row r="13" spans="1:26" x14ac:dyDescent="0.25">
      <c r="A13" s="17" t="s">
        <v>603</v>
      </c>
      <c r="B13" s="17" t="str">
        <f t="shared" si="21"/>
        <v>AcylPE 49:1</v>
      </c>
      <c r="C13" s="1" t="str">
        <f t="shared" si="22"/>
        <v>49</v>
      </c>
      <c r="D13" s="1" t="str">
        <f t="shared" si="23"/>
        <v>1</v>
      </c>
      <c r="E13" s="17" t="str">
        <f t="shared" si="24"/>
        <v>9</v>
      </c>
      <c r="G13" s="17">
        <f t="shared" si="7"/>
        <v>54</v>
      </c>
      <c r="H13" s="17">
        <f t="shared" si="25"/>
        <v>104</v>
      </c>
      <c r="I13" s="17">
        <v>1</v>
      </c>
      <c r="J13" s="17">
        <f t="shared" si="26"/>
        <v>9</v>
      </c>
      <c r="K13" s="17">
        <v>1</v>
      </c>
      <c r="L13" s="19" t="str">
        <f t="shared" si="10"/>
        <v>C54H104N1O9P1</v>
      </c>
      <c r="M13" s="19">
        <f t="shared" si="11"/>
        <v>941.74483039999996</v>
      </c>
      <c r="N13" s="19">
        <f t="shared" si="27"/>
        <v>942.75210500000003</v>
      </c>
      <c r="O13" s="19">
        <f t="shared" si="28"/>
        <v>924.74098500000002</v>
      </c>
      <c r="P13" s="19">
        <f t="shared" si="29"/>
        <v>959.77865039999995</v>
      </c>
      <c r="Q13" s="19">
        <f t="shared" si="30"/>
        <v>964.7340504</v>
      </c>
      <c r="R13" s="19">
        <f t="shared" si="31"/>
        <v>980.70799039999997</v>
      </c>
      <c r="S13" s="19">
        <f t="shared" si="32"/>
        <v>948.76029040000003</v>
      </c>
      <c r="T13" s="42">
        <f t="shared" si="33"/>
        <v>940.73755579999988</v>
      </c>
      <c r="U13" s="19">
        <f t="shared" si="34"/>
        <v>986.7430503999999</v>
      </c>
      <c r="V13" s="19">
        <f t="shared" si="35"/>
        <v>1000.7587004</v>
      </c>
      <c r="W13" s="58"/>
      <c r="X13" s="58"/>
      <c r="Y13" s="58"/>
      <c r="Z13" s="58"/>
    </row>
    <row r="14" spans="1:26" x14ac:dyDescent="0.25">
      <c r="A14" s="17" t="s">
        <v>612</v>
      </c>
      <c r="B14" s="17" t="str">
        <f t="shared" si="21"/>
        <v>AcylPE 50:2</v>
      </c>
      <c r="C14" s="1" t="str">
        <f t="shared" si="22"/>
        <v>50</v>
      </c>
      <c r="D14" s="1" t="str">
        <f t="shared" si="23"/>
        <v>2</v>
      </c>
      <c r="E14" s="17" t="str">
        <f t="shared" si="24"/>
        <v>0</v>
      </c>
      <c r="G14" s="17">
        <f t="shared" si="7"/>
        <v>55</v>
      </c>
      <c r="H14" s="17">
        <f t="shared" si="25"/>
        <v>104</v>
      </c>
      <c r="I14" s="17">
        <v>1</v>
      </c>
      <c r="J14" s="17">
        <f t="shared" si="26"/>
        <v>9</v>
      </c>
      <c r="K14" s="17">
        <v>1</v>
      </c>
      <c r="L14" s="19" t="str">
        <f t="shared" si="10"/>
        <v>C55H104N1O9P1</v>
      </c>
      <c r="M14" s="19">
        <f t="shared" si="11"/>
        <v>953.74483039999996</v>
      </c>
      <c r="N14" s="19">
        <f t="shared" si="27"/>
        <v>954.75210500000003</v>
      </c>
      <c r="O14" s="19">
        <f t="shared" si="28"/>
        <v>936.74098500000002</v>
      </c>
      <c r="P14" s="19">
        <f t="shared" si="29"/>
        <v>971.77865039999995</v>
      </c>
      <c r="Q14" s="19">
        <f t="shared" si="30"/>
        <v>976.7340504</v>
      </c>
      <c r="R14" s="19">
        <f t="shared" si="31"/>
        <v>992.70799039999997</v>
      </c>
      <c r="S14" s="19">
        <f t="shared" si="32"/>
        <v>960.76029040000003</v>
      </c>
      <c r="T14" s="42">
        <f t="shared" si="33"/>
        <v>952.73755579999988</v>
      </c>
      <c r="U14" s="19">
        <f t="shared" si="34"/>
        <v>998.7430503999999</v>
      </c>
      <c r="V14" s="19">
        <f t="shared" si="35"/>
        <v>1012.7587004</v>
      </c>
      <c r="W14" s="58"/>
      <c r="X14" s="58"/>
      <c r="Y14" s="58"/>
      <c r="Z14" s="58"/>
    </row>
    <row r="15" spans="1:26" x14ac:dyDescent="0.25">
      <c r="A15" s="17" t="s">
        <v>607</v>
      </c>
      <c r="B15" s="17" t="str">
        <f t="shared" si="21"/>
        <v>AcylPE 50:1</v>
      </c>
      <c r="C15" s="1" t="str">
        <f t="shared" si="22"/>
        <v>50</v>
      </c>
      <c r="D15" s="1" t="str">
        <f t="shared" si="23"/>
        <v>1</v>
      </c>
      <c r="E15" s="17" t="str">
        <f t="shared" si="24"/>
        <v>0</v>
      </c>
      <c r="G15" s="17">
        <f t="shared" si="7"/>
        <v>55</v>
      </c>
      <c r="H15" s="17">
        <f t="shared" si="25"/>
        <v>106</v>
      </c>
      <c r="I15" s="17">
        <v>1</v>
      </c>
      <c r="J15" s="17">
        <f t="shared" si="26"/>
        <v>9</v>
      </c>
      <c r="K15" s="17">
        <v>1</v>
      </c>
      <c r="L15" s="19" t="str">
        <f t="shared" si="10"/>
        <v>C55H106N1O9P1</v>
      </c>
      <c r="M15" s="19">
        <f t="shared" si="11"/>
        <v>955.76047959999994</v>
      </c>
      <c r="N15" s="19">
        <f t="shared" si="27"/>
        <v>956.76775420000001</v>
      </c>
      <c r="O15" s="19">
        <f t="shared" si="28"/>
        <v>938.75663420000001</v>
      </c>
      <c r="P15" s="19">
        <f t="shared" si="29"/>
        <v>973.79429959999993</v>
      </c>
      <c r="Q15" s="19">
        <f t="shared" si="30"/>
        <v>978.74969959999999</v>
      </c>
      <c r="R15" s="19">
        <f t="shared" si="31"/>
        <v>994.72363959999996</v>
      </c>
      <c r="S15" s="19">
        <f t="shared" si="32"/>
        <v>962.77593960000002</v>
      </c>
      <c r="T15" s="42">
        <f t="shared" si="33"/>
        <v>954.75320499999987</v>
      </c>
      <c r="U15" s="19">
        <f t="shared" si="34"/>
        <v>1000.7586995999999</v>
      </c>
      <c r="V15" s="19">
        <f t="shared" si="35"/>
        <v>1014.7743495999999</v>
      </c>
      <c r="W15" s="58"/>
      <c r="X15" s="58"/>
      <c r="Y15" s="58"/>
      <c r="Z15" s="58"/>
    </row>
    <row r="16" spans="1:26" x14ac:dyDescent="0.25">
      <c r="A16" s="17" t="s">
        <v>676</v>
      </c>
      <c r="B16" s="17" t="str">
        <f t="shared" si="21"/>
        <v>AcylPE 51:3</v>
      </c>
      <c r="C16" s="1" t="str">
        <f t="shared" si="22"/>
        <v>51</v>
      </c>
      <c r="D16" s="1" t="str">
        <f t="shared" si="23"/>
        <v>3</v>
      </c>
      <c r="E16" s="17" t="str">
        <f t="shared" si="24"/>
        <v>1</v>
      </c>
      <c r="G16" s="17">
        <f t="shared" si="7"/>
        <v>56</v>
      </c>
      <c r="H16" s="17">
        <f t="shared" si="25"/>
        <v>104</v>
      </c>
      <c r="I16" s="17">
        <v>1</v>
      </c>
      <c r="J16" s="17">
        <f t="shared" si="26"/>
        <v>9</v>
      </c>
      <c r="K16" s="17">
        <v>1</v>
      </c>
      <c r="L16" s="19" t="str">
        <f t="shared" si="10"/>
        <v>C56H104N1O9P1</v>
      </c>
      <c r="M16" s="19">
        <f t="shared" si="11"/>
        <v>965.74483039999996</v>
      </c>
      <c r="N16" s="19">
        <f t="shared" si="27"/>
        <v>966.75210500000003</v>
      </c>
      <c r="O16" s="19">
        <f t="shared" si="28"/>
        <v>948.74098500000002</v>
      </c>
      <c r="P16" s="19">
        <f t="shared" si="29"/>
        <v>983.77865039999995</v>
      </c>
      <c r="Q16" s="19">
        <f t="shared" si="30"/>
        <v>988.7340504</v>
      </c>
      <c r="R16" s="19">
        <f t="shared" si="31"/>
        <v>1004.7079904</v>
      </c>
      <c r="S16" s="19">
        <f t="shared" si="32"/>
        <v>972.76029040000003</v>
      </c>
      <c r="T16" s="42">
        <f t="shared" si="33"/>
        <v>964.73755579999988</v>
      </c>
      <c r="U16" s="19">
        <f t="shared" si="34"/>
        <v>1010.7430503999999</v>
      </c>
      <c r="V16" s="19">
        <f t="shared" si="35"/>
        <v>1024.7587004</v>
      </c>
      <c r="W16" s="58"/>
      <c r="X16" s="58"/>
      <c r="Y16" s="58"/>
      <c r="Z16" s="58"/>
    </row>
    <row r="17" spans="1:26" x14ac:dyDescent="0.25">
      <c r="A17" s="17" t="s">
        <v>611</v>
      </c>
      <c r="B17" s="17" t="str">
        <f t="shared" si="21"/>
        <v>AcylPE 51:2</v>
      </c>
      <c r="C17" s="1" t="str">
        <f t="shared" si="22"/>
        <v>51</v>
      </c>
      <c r="D17" s="1" t="str">
        <f t="shared" si="23"/>
        <v>2</v>
      </c>
      <c r="E17" s="17" t="str">
        <f t="shared" si="24"/>
        <v>1</v>
      </c>
      <c r="G17" s="17">
        <f t="shared" si="7"/>
        <v>56</v>
      </c>
      <c r="H17" s="17">
        <f t="shared" si="25"/>
        <v>106</v>
      </c>
      <c r="I17" s="17">
        <v>1</v>
      </c>
      <c r="J17" s="17">
        <f t="shared" si="26"/>
        <v>9</v>
      </c>
      <c r="K17" s="17">
        <v>1</v>
      </c>
      <c r="L17" s="19" t="str">
        <f t="shared" si="10"/>
        <v>C56H106N1O9P1</v>
      </c>
      <c r="M17" s="19">
        <f t="shared" si="11"/>
        <v>967.76047959999994</v>
      </c>
      <c r="N17" s="19">
        <f t="shared" si="27"/>
        <v>968.76775420000001</v>
      </c>
      <c r="O17" s="19">
        <f t="shared" si="28"/>
        <v>950.75663420000001</v>
      </c>
      <c r="P17" s="19">
        <f t="shared" si="29"/>
        <v>985.79429959999993</v>
      </c>
      <c r="Q17" s="19">
        <f t="shared" si="30"/>
        <v>990.74969959999999</v>
      </c>
      <c r="R17" s="19">
        <f t="shared" si="31"/>
        <v>1006.7236396</v>
      </c>
      <c r="S17" s="19">
        <f t="shared" si="32"/>
        <v>974.77593960000002</v>
      </c>
      <c r="T17" s="42">
        <f t="shared" si="33"/>
        <v>966.75320499999987</v>
      </c>
      <c r="U17" s="19">
        <f t="shared" si="34"/>
        <v>1012.7586995999999</v>
      </c>
      <c r="V17" s="19">
        <f t="shared" si="35"/>
        <v>1026.7743495999998</v>
      </c>
      <c r="W17" s="58"/>
      <c r="X17" s="58"/>
      <c r="Y17" s="58"/>
      <c r="Z17" s="58"/>
    </row>
    <row r="18" spans="1:26" x14ac:dyDescent="0.25">
      <c r="A18" s="17" t="s">
        <v>608</v>
      </c>
      <c r="B18" s="17" t="str">
        <f t="shared" si="21"/>
        <v>AcylPE 51:1</v>
      </c>
      <c r="C18" s="1" t="str">
        <f t="shared" si="22"/>
        <v>51</v>
      </c>
      <c r="D18" s="1" t="str">
        <f t="shared" si="23"/>
        <v>1</v>
      </c>
      <c r="E18" s="17" t="str">
        <f t="shared" si="24"/>
        <v>1</v>
      </c>
      <c r="G18" s="17">
        <f t="shared" si="7"/>
        <v>56</v>
      </c>
      <c r="H18" s="17">
        <f t="shared" si="25"/>
        <v>108</v>
      </c>
      <c r="I18" s="17">
        <v>1</v>
      </c>
      <c r="J18" s="17">
        <f t="shared" si="26"/>
        <v>9</v>
      </c>
      <c r="K18" s="17">
        <v>1</v>
      </c>
      <c r="L18" s="19" t="str">
        <f t="shared" si="10"/>
        <v>C56H108N1O9P1</v>
      </c>
      <c r="M18" s="19">
        <f t="shared" si="11"/>
        <v>969.77612879999992</v>
      </c>
      <c r="N18" s="19">
        <f t="shared" si="27"/>
        <v>970.7834034</v>
      </c>
      <c r="O18" s="19">
        <f t="shared" si="28"/>
        <v>952.77228339999999</v>
      </c>
      <c r="P18" s="19">
        <f t="shared" si="29"/>
        <v>987.80994879999992</v>
      </c>
      <c r="Q18" s="19">
        <f t="shared" si="30"/>
        <v>992.76534879999997</v>
      </c>
      <c r="R18" s="19">
        <f t="shared" si="31"/>
        <v>1008.7392887999999</v>
      </c>
      <c r="S18" s="19">
        <f t="shared" si="32"/>
        <v>976.7915888</v>
      </c>
      <c r="T18" s="42">
        <f t="shared" si="33"/>
        <v>968.76885419999985</v>
      </c>
      <c r="U18" s="19">
        <f t="shared" si="34"/>
        <v>1014.7743487999999</v>
      </c>
      <c r="V18" s="19">
        <f t="shared" si="35"/>
        <v>1028.7899987999999</v>
      </c>
      <c r="W18" s="58"/>
      <c r="X18" s="58"/>
      <c r="Y18" s="58"/>
      <c r="Z18" s="58"/>
    </row>
    <row r="19" spans="1:26" x14ac:dyDescent="0.25">
      <c r="A19" s="17" t="s">
        <v>677</v>
      </c>
      <c r="B19" s="17" t="str">
        <f t="shared" si="21"/>
        <v>AcylPE 52:3</v>
      </c>
      <c r="C19" s="1" t="str">
        <f t="shared" si="22"/>
        <v>52</v>
      </c>
      <c r="D19" s="1" t="str">
        <f t="shared" si="23"/>
        <v>3</v>
      </c>
      <c r="E19" s="17" t="str">
        <f t="shared" si="24"/>
        <v>2</v>
      </c>
      <c r="G19" s="17">
        <f t="shared" si="7"/>
        <v>57</v>
      </c>
      <c r="H19" s="17">
        <f t="shared" si="25"/>
        <v>106</v>
      </c>
      <c r="I19" s="17">
        <v>1</v>
      </c>
      <c r="J19" s="17">
        <f t="shared" si="26"/>
        <v>9</v>
      </c>
      <c r="K19" s="17">
        <v>1</v>
      </c>
      <c r="L19" s="19" t="str">
        <f t="shared" si="10"/>
        <v>C57H106N1O9P1</v>
      </c>
      <c r="M19" s="19">
        <f t="shared" si="11"/>
        <v>979.76047959999994</v>
      </c>
      <c r="N19" s="19">
        <f t="shared" si="27"/>
        <v>980.76775420000001</v>
      </c>
      <c r="O19" s="19">
        <f t="shared" si="28"/>
        <v>962.75663420000001</v>
      </c>
      <c r="P19" s="19">
        <f t="shared" si="29"/>
        <v>997.79429959999993</v>
      </c>
      <c r="Q19" s="19">
        <f t="shared" si="30"/>
        <v>1002.7496996</v>
      </c>
      <c r="R19" s="19">
        <f t="shared" si="31"/>
        <v>1018.7236396</v>
      </c>
      <c r="S19" s="19">
        <f t="shared" si="32"/>
        <v>986.77593960000002</v>
      </c>
      <c r="T19" s="42">
        <f t="shared" si="33"/>
        <v>978.75320499999987</v>
      </c>
      <c r="U19" s="19">
        <f t="shared" si="34"/>
        <v>1024.7586996</v>
      </c>
      <c r="V19" s="19">
        <f t="shared" si="35"/>
        <v>1038.7743495999998</v>
      </c>
      <c r="W19" s="58"/>
      <c r="X19" s="58"/>
      <c r="Y19" s="58"/>
      <c r="Z19" s="58"/>
    </row>
    <row r="20" spans="1:26" x14ac:dyDescent="0.25">
      <c r="A20" s="17" t="s">
        <v>610</v>
      </c>
      <c r="B20" s="17" t="str">
        <f t="shared" si="21"/>
        <v>AcylPE 52:2</v>
      </c>
      <c r="C20" s="1" t="str">
        <f t="shared" si="22"/>
        <v>52</v>
      </c>
      <c r="D20" s="1" t="str">
        <f t="shared" si="23"/>
        <v>2</v>
      </c>
      <c r="E20" s="17" t="str">
        <f t="shared" si="24"/>
        <v>2</v>
      </c>
      <c r="G20" s="17">
        <f t="shared" si="7"/>
        <v>57</v>
      </c>
      <c r="H20" s="17">
        <f t="shared" si="25"/>
        <v>108</v>
      </c>
      <c r="I20" s="17">
        <v>1</v>
      </c>
      <c r="J20" s="17">
        <f t="shared" si="26"/>
        <v>9</v>
      </c>
      <c r="K20" s="17">
        <v>1</v>
      </c>
      <c r="L20" s="19" t="str">
        <f t="shared" si="10"/>
        <v>C57H108N1O9P1</v>
      </c>
      <c r="M20" s="19">
        <f t="shared" si="11"/>
        <v>981.77612879999992</v>
      </c>
      <c r="N20" s="19">
        <f t="shared" si="27"/>
        <v>982.7834034</v>
      </c>
      <c r="O20" s="19">
        <f t="shared" si="28"/>
        <v>964.77228339999999</v>
      </c>
      <c r="P20" s="19">
        <f t="shared" si="29"/>
        <v>999.80994879999992</v>
      </c>
      <c r="Q20" s="19">
        <f t="shared" si="30"/>
        <v>1004.7653488</v>
      </c>
      <c r="R20" s="19">
        <f t="shared" si="31"/>
        <v>1020.7392887999999</v>
      </c>
      <c r="S20" s="19">
        <f t="shared" si="32"/>
        <v>988.7915888</v>
      </c>
      <c r="T20" s="42">
        <f t="shared" si="33"/>
        <v>980.76885419999985</v>
      </c>
      <c r="U20" s="19">
        <f t="shared" si="34"/>
        <v>1026.7743487999999</v>
      </c>
      <c r="V20" s="19">
        <f t="shared" si="35"/>
        <v>1040.7899987999999</v>
      </c>
      <c r="W20" s="58"/>
      <c r="X20" s="58"/>
      <c r="Y20" s="58"/>
      <c r="Z20" s="58"/>
    </row>
    <row r="21" spans="1:26" x14ac:dyDescent="0.25">
      <c r="A21" s="17" t="s">
        <v>609</v>
      </c>
      <c r="B21" s="17" t="str">
        <f t="shared" si="21"/>
        <v>AcylPE 52:1</v>
      </c>
      <c r="C21" s="1" t="str">
        <f t="shared" si="22"/>
        <v>52</v>
      </c>
      <c r="D21" s="1" t="str">
        <f t="shared" si="23"/>
        <v>1</v>
      </c>
      <c r="E21" s="17" t="str">
        <f t="shared" si="24"/>
        <v>2</v>
      </c>
      <c r="G21" s="17">
        <f t="shared" si="7"/>
        <v>57</v>
      </c>
      <c r="H21" s="17">
        <f t="shared" si="25"/>
        <v>110</v>
      </c>
      <c r="I21" s="17">
        <v>1</v>
      </c>
      <c r="J21" s="17">
        <f t="shared" si="26"/>
        <v>9</v>
      </c>
      <c r="K21" s="17">
        <v>1</v>
      </c>
      <c r="L21" s="19" t="str">
        <f t="shared" si="10"/>
        <v>C57H110N1O9P1</v>
      </c>
      <c r="M21" s="19">
        <f t="shared" si="11"/>
        <v>983.79177799999991</v>
      </c>
      <c r="N21" s="19">
        <f t="shared" si="27"/>
        <v>984.79905259999998</v>
      </c>
      <c r="O21" s="19">
        <f t="shared" si="28"/>
        <v>966.78793259999998</v>
      </c>
      <c r="P21" s="19">
        <f t="shared" si="29"/>
        <v>1001.8255979999999</v>
      </c>
      <c r="Q21" s="19">
        <f t="shared" si="30"/>
        <v>1006.780998</v>
      </c>
      <c r="R21" s="19">
        <f t="shared" si="31"/>
        <v>1022.7549379999999</v>
      </c>
      <c r="S21" s="19">
        <f t="shared" si="32"/>
        <v>990.80723799999998</v>
      </c>
      <c r="T21" s="42">
        <f t="shared" si="33"/>
        <v>982.78450339999983</v>
      </c>
      <c r="U21" s="19">
        <f t="shared" si="34"/>
        <v>1028.789998</v>
      </c>
      <c r="V21" s="19">
        <f t="shared" si="35"/>
        <v>1042.8056479999998</v>
      </c>
      <c r="W21" s="58"/>
      <c r="X21" s="58"/>
      <c r="Y21" s="58"/>
      <c r="Z21" s="58"/>
    </row>
    <row r="22" spans="1:26" x14ac:dyDescent="0.25">
      <c r="A22" s="17" t="s">
        <v>678</v>
      </c>
      <c r="B22" s="17" t="str">
        <f t="shared" si="21"/>
        <v>AcylPE 53:3</v>
      </c>
      <c r="C22" s="1" t="str">
        <f t="shared" si="22"/>
        <v>53</v>
      </c>
      <c r="D22" s="1" t="str">
        <f t="shared" si="23"/>
        <v>3</v>
      </c>
      <c r="E22" s="17" t="str">
        <f t="shared" si="24"/>
        <v>3</v>
      </c>
      <c r="G22" s="17">
        <f t="shared" si="7"/>
        <v>58</v>
      </c>
      <c r="H22" s="17">
        <f t="shared" si="25"/>
        <v>108</v>
      </c>
      <c r="I22" s="17">
        <v>1</v>
      </c>
      <c r="J22" s="17">
        <f t="shared" si="26"/>
        <v>9</v>
      </c>
      <c r="K22" s="17">
        <v>1</v>
      </c>
      <c r="L22" s="19" t="str">
        <f t="shared" si="10"/>
        <v>C58H108N1O9P1</v>
      </c>
      <c r="M22" s="19">
        <f t="shared" si="11"/>
        <v>993.77612879999992</v>
      </c>
      <c r="N22" s="19">
        <f t="shared" si="27"/>
        <v>994.7834034</v>
      </c>
      <c r="O22" s="19">
        <f t="shared" si="28"/>
        <v>976.77228339999999</v>
      </c>
      <c r="P22" s="19">
        <f t="shared" si="29"/>
        <v>1011.8099487999999</v>
      </c>
      <c r="Q22" s="19">
        <f t="shared" si="30"/>
        <v>1016.7653488</v>
      </c>
      <c r="R22" s="19">
        <f t="shared" si="31"/>
        <v>1032.7392887999999</v>
      </c>
      <c r="S22" s="19">
        <f t="shared" si="32"/>
        <v>1000.7915888</v>
      </c>
      <c r="T22" s="42">
        <f t="shared" si="33"/>
        <v>992.76885419999985</v>
      </c>
      <c r="U22" s="19">
        <f t="shared" si="34"/>
        <v>1038.7743487999999</v>
      </c>
      <c r="V22" s="19">
        <f t="shared" si="35"/>
        <v>1052.7899987999999</v>
      </c>
      <c r="W22" s="58"/>
      <c r="X22" s="58"/>
      <c r="Y22" s="58"/>
      <c r="Z22" s="58"/>
    </row>
    <row r="23" spans="1:26" x14ac:dyDescent="0.25">
      <c r="A23" s="17" t="s">
        <v>679</v>
      </c>
      <c r="B23" s="17" t="str">
        <f t="shared" si="21"/>
        <v>AcylPE 53:2</v>
      </c>
      <c r="C23" s="1" t="str">
        <f t="shared" si="22"/>
        <v>53</v>
      </c>
      <c r="D23" s="1" t="str">
        <f t="shared" si="23"/>
        <v>2</v>
      </c>
      <c r="E23" s="17" t="str">
        <f t="shared" si="24"/>
        <v>3</v>
      </c>
      <c r="G23" s="17">
        <f t="shared" si="7"/>
        <v>58</v>
      </c>
      <c r="H23" s="17">
        <f t="shared" si="25"/>
        <v>110</v>
      </c>
      <c r="I23" s="17">
        <v>1</v>
      </c>
      <c r="J23" s="17">
        <f t="shared" si="26"/>
        <v>9</v>
      </c>
      <c r="K23" s="17">
        <v>1</v>
      </c>
      <c r="L23" s="19" t="str">
        <f t="shared" si="10"/>
        <v>C58H110N1O9P1</v>
      </c>
      <c r="M23" s="19">
        <f t="shared" si="11"/>
        <v>995.79177799999991</v>
      </c>
      <c r="N23" s="19">
        <f t="shared" si="27"/>
        <v>996.79905259999998</v>
      </c>
      <c r="O23" s="19">
        <f t="shared" si="28"/>
        <v>978.78793259999998</v>
      </c>
      <c r="P23" s="19">
        <f t="shared" si="29"/>
        <v>1013.8255979999999</v>
      </c>
      <c r="Q23" s="19">
        <f t="shared" si="30"/>
        <v>1018.780998</v>
      </c>
      <c r="R23" s="19">
        <f t="shared" si="31"/>
        <v>1034.754938</v>
      </c>
      <c r="S23" s="19">
        <f t="shared" si="32"/>
        <v>1002.807238</v>
      </c>
      <c r="T23" s="42">
        <f t="shared" si="33"/>
        <v>994.78450339999983</v>
      </c>
      <c r="U23" s="19">
        <f t="shared" si="34"/>
        <v>1040.789998</v>
      </c>
      <c r="V23" s="19">
        <f t="shared" si="35"/>
        <v>1054.8056479999998</v>
      </c>
      <c r="W23" s="58"/>
      <c r="X23" s="58"/>
      <c r="Y23" s="58"/>
      <c r="Z23" s="58"/>
    </row>
    <row r="24" spans="1:26" x14ac:dyDescent="0.25">
      <c r="A24" s="17" t="s">
        <v>680</v>
      </c>
      <c r="B24" s="17" t="str">
        <f t="shared" si="21"/>
        <v>AcylPE 53:1</v>
      </c>
      <c r="C24" s="1" t="str">
        <f t="shared" si="22"/>
        <v>53</v>
      </c>
      <c r="D24" s="1" t="str">
        <f t="shared" si="23"/>
        <v>1</v>
      </c>
      <c r="E24" s="17" t="str">
        <f t="shared" si="24"/>
        <v>3</v>
      </c>
      <c r="G24" s="17">
        <f t="shared" si="7"/>
        <v>58</v>
      </c>
      <c r="H24" s="17">
        <f t="shared" si="25"/>
        <v>112</v>
      </c>
      <c r="I24" s="17">
        <v>1</v>
      </c>
      <c r="J24" s="17">
        <f t="shared" si="26"/>
        <v>9</v>
      </c>
      <c r="K24" s="17">
        <v>1</v>
      </c>
      <c r="L24" s="19" t="str">
        <f t="shared" si="10"/>
        <v>C58H112N1O9P1</v>
      </c>
      <c r="M24" s="19">
        <f t="shared" si="11"/>
        <v>997.80742720000001</v>
      </c>
      <c r="N24" s="19">
        <f t="shared" si="27"/>
        <v>998.81470180000008</v>
      </c>
      <c r="O24" s="19">
        <f t="shared" si="28"/>
        <v>980.80358180000007</v>
      </c>
      <c r="P24" s="19">
        <f t="shared" si="29"/>
        <v>1015.8412472</v>
      </c>
      <c r="Q24" s="19">
        <f t="shared" si="30"/>
        <v>1020.7966472000001</v>
      </c>
      <c r="R24" s="19">
        <f t="shared" si="31"/>
        <v>1036.7705872000001</v>
      </c>
      <c r="S24" s="19">
        <f t="shared" si="32"/>
        <v>1004.8228872000001</v>
      </c>
      <c r="T24" s="42">
        <f t="shared" si="33"/>
        <v>996.80015259999993</v>
      </c>
      <c r="U24" s="19">
        <f t="shared" si="34"/>
        <v>1042.8056472000001</v>
      </c>
      <c r="V24" s="19">
        <f t="shared" si="35"/>
        <v>1056.8212971999999</v>
      </c>
      <c r="W24" s="58"/>
      <c r="X24" s="58"/>
      <c r="Y24" s="58"/>
      <c r="Z24" s="58"/>
    </row>
    <row r="25" spans="1:26" x14ac:dyDescent="0.25">
      <c r="A25" s="17" t="s">
        <v>681</v>
      </c>
      <c r="B25" s="17" t="str">
        <f t="shared" si="21"/>
        <v>AcylPE 54:3</v>
      </c>
      <c r="C25" s="1" t="str">
        <f t="shared" si="22"/>
        <v>54</v>
      </c>
      <c r="D25" s="1" t="str">
        <f t="shared" si="23"/>
        <v>3</v>
      </c>
      <c r="E25" s="17" t="str">
        <f t="shared" si="24"/>
        <v>4</v>
      </c>
      <c r="G25" s="17">
        <f t="shared" si="7"/>
        <v>59</v>
      </c>
      <c r="H25" s="17">
        <f t="shared" si="25"/>
        <v>110</v>
      </c>
      <c r="I25" s="17">
        <v>1</v>
      </c>
      <c r="J25" s="17">
        <f t="shared" si="26"/>
        <v>9</v>
      </c>
      <c r="K25" s="17">
        <v>1</v>
      </c>
      <c r="L25" s="19" t="str">
        <f t="shared" si="10"/>
        <v>C59H110N1O9P1</v>
      </c>
      <c r="M25" s="19">
        <f t="shared" si="11"/>
        <v>1007.7917779999999</v>
      </c>
      <c r="N25" s="19">
        <f t="shared" si="27"/>
        <v>1008.7990526</v>
      </c>
      <c r="O25" s="19">
        <f t="shared" si="28"/>
        <v>990.78793259999998</v>
      </c>
      <c r="P25" s="19">
        <f t="shared" si="29"/>
        <v>1025.8255979999999</v>
      </c>
      <c r="Q25" s="19">
        <f t="shared" si="30"/>
        <v>1030.780998</v>
      </c>
      <c r="R25" s="19">
        <f t="shared" si="31"/>
        <v>1046.754938</v>
      </c>
      <c r="S25" s="19">
        <f t="shared" si="32"/>
        <v>1014.807238</v>
      </c>
      <c r="T25" s="42">
        <f t="shared" si="33"/>
        <v>1006.7845033999998</v>
      </c>
      <c r="U25" s="19">
        <f t="shared" si="34"/>
        <v>1052.789998</v>
      </c>
      <c r="V25" s="19">
        <f t="shared" si="35"/>
        <v>1066.8056479999998</v>
      </c>
      <c r="W25" s="58"/>
      <c r="X25" s="58"/>
      <c r="Y25" s="58"/>
      <c r="Z25" s="58"/>
    </row>
    <row r="26" spans="1:26" x14ac:dyDescent="0.25">
      <c r="A26" s="17" t="s">
        <v>682</v>
      </c>
      <c r="B26" s="17" t="str">
        <f t="shared" si="21"/>
        <v>AcylPE 54:2</v>
      </c>
      <c r="C26" s="1" t="str">
        <f t="shared" si="22"/>
        <v>54</v>
      </c>
      <c r="D26" s="1" t="str">
        <f t="shared" si="23"/>
        <v>2</v>
      </c>
      <c r="E26" s="17" t="str">
        <f t="shared" si="24"/>
        <v>4</v>
      </c>
      <c r="G26" s="17">
        <f t="shared" si="7"/>
        <v>59</v>
      </c>
      <c r="H26" s="17">
        <f t="shared" si="25"/>
        <v>112</v>
      </c>
      <c r="I26" s="17">
        <v>1</v>
      </c>
      <c r="J26" s="17">
        <f t="shared" si="26"/>
        <v>9</v>
      </c>
      <c r="K26" s="17">
        <v>1</v>
      </c>
      <c r="L26" s="19" t="str">
        <f t="shared" si="10"/>
        <v>C59H112N1O9P1</v>
      </c>
      <c r="M26" s="19">
        <f t="shared" si="11"/>
        <v>1009.8074272</v>
      </c>
      <c r="N26" s="19">
        <f t="shared" si="27"/>
        <v>1010.8147018000001</v>
      </c>
      <c r="O26" s="19">
        <f t="shared" si="28"/>
        <v>992.80358180000007</v>
      </c>
      <c r="P26" s="19">
        <f t="shared" si="29"/>
        <v>1027.8412472</v>
      </c>
      <c r="Q26" s="19">
        <f t="shared" si="30"/>
        <v>1032.7966472000001</v>
      </c>
      <c r="R26" s="19">
        <f t="shared" si="31"/>
        <v>1048.7705872000001</v>
      </c>
      <c r="S26" s="19">
        <f t="shared" si="32"/>
        <v>1016.8228872000001</v>
      </c>
      <c r="T26" s="42">
        <f t="shared" si="33"/>
        <v>1008.8001525999999</v>
      </c>
      <c r="U26" s="19">
        <f t="shared" si="34"/>
        <v>1054.8056472000001</v>
      </c>
      <c r="V26" s="19">
        <f t="shared" si="35"/>
        <v>1068.8212971999999</v>
      </c>
      <c r="W26" s="58"/>
      <c r="X26" s="58"/>
      <c r="Y26" s="58"/>
      <c r="Z26" s="58"/>
    </row>
    <row r="27" spans="1:26" x14ac:dyDescent="0.25">
      <c r="A27" s="17" t="s">
        <v>683</v>
      </c>
      <c r="B27" s="17" t="str">
        <f t="shared" si="21"/>
        <v>AcylPE 54:1</v>
      </c>
      <c r="C27" s="1" t="str">
        <f t="shared" si="22"/>
        <v>54</v>
      </c>
      <c r="D27" s="1" t="str">
        <f t="shared" si="23"/>
        <v>1</v>
      </c>
      <c r="E27" s="17" t="str">
        <f t="shared" si="24"/>
        <v>4</v>
      </c>
      <c r="G27" s="17">
        <f t="shared" si="7"/>
        <v>59</v>
      </c>
      <c r="H27" s="17">
        <f t="shared" si="25"/>
        <v>114</v>
      </c>
      <c r="I27" s="17">
        <v>1</v>
      </c>
      <c r="J27" s="17">
        <f t="shared" si="26"/>
        <v>9</v>
      </c>
      <c r="K27" s="17">
        <v>1</v>
      </c>
      <c r="L27" s="19" t="str">
        <f t="shared" si="10"/>
        <v>C59H114N1O9P1</v>
      </c>
      <c r="M27" s="19">
        <f t="shared" si="11"/>
        <v>1011.8230764</v>
      </c>
      <c r="N27" s="19">
        <f t="shared" si="27"/>
        <v>1012.8303510000001</v>
      </c>
      <c r="O27" s="19">
        <f t="shared" si="28"/>
        <v>994.81923100000006</v>
      </c>
      <c r="P27" s="19">
        <f t="shared" si="29"/>
        <v>1029.8568964000001</v>
      </c>
      <c r="Q27" s="19">
        <f t="shared" si="30"/>
        <v>1034.8122963999999</v>
      </c>
      <c r="R27" s="19">
        <f t="shared" si="31"/>
        <v>1050.7862364</v>
      </c>
      <c r="S27" s="19">
        <f t="shared" si="32"/>
        <v>1018.8385364000001</v>
      </c>
      <c r="T27" s="42">
        <f t="shared" si="33"/>
        <v>1010.8158017999999</v>
      </c>
      <c r="U27" s="19">
        <f t="shared" si="34"/>
        <v>1056.8212963999999</v>
      </c>
      <c r="V27" s="19">
        <f t="shared" si="35"/>
        <v>1070.8369464</v>
      </c>
      <c r="W27" s="58"/>
      <c r="X27" s="58"/>
      <c r="Y27" s="58"/>
      <c r="Z27" s="58"/>
    </row>
    <row r="28" spans="1:26" x14ac:dyDescent="0.25">
      <c r="C28" s="1"/>
      <c r="D28" s="1"/>
    </row>
    <row r="29" spans="1:26" x14ac:dyDescent="0.25">
      <c r="C29" s="1"/>
      <c r="D29" s="1"/>
    </row>
    <row r="30" spans="1:26" x14ac:dyDescent="0.25">
      <c r="C30" s="1"/>
      <c r="D30" s="1"/>
    </row>
    <row r="31" spans="1:26" x14ac:dyDescent="0.25">
      <c r="C31" s="1"/>
      <c r="D31" s="1"/>
    </row>
    <row r="32" spans="1:26" x14ac:dyDescent="0.25">
      <c r="C32" s="1"/>
      <c r="D32" s="1"/>
    </row>
    <row r="33" spans="3:4" x14ac:dyDescent="0.25">
      <c r="C33" s="1"/>
      <c r="D33" s="1"/>
    </row>
    <row r="34" spans="3:4" x14ac:dyDescent="0.25">
      <c r="C34" s="1"/>
      <c r="D34" s="1"/>
    </row>
    <row r="35" spans="3:4" x14ac:dyDescent="0.25">
      <c r="C35" s="1"/>
      <c r="D35" s="1"/>
    </row>
    <row r="36" spans="3:4" x14ac:dyDescent="0.25">
      <c r="C36" s="1"/>
      <c r="D36" s="1"/>
    </row>
    <row r="37" spans="3:4" x14ac:dyDescent="0.25">
      <c r="C37" s="1"/>
      <c r="D37" s="1"/>
    </row>
    <row r="38" spans="3:4" x14ac:dyDescent="0.25">
      <c r="C38" s="1"/>
      <c r="D38" s="1"/>
    </row>
    <row r="39" spans="3:4" x14ac:dyDescent="0.25">
      <c r="C39" s="1"/>
      <c r="D39" s="1"/>
    </row>
    <row r="40" spans="3:4" x14ac:dyDescent="0.25">
      <c r="C40" s="1"/>
      <c r="D40" s="1"/>
    </row>
    <row r="41" spans="3:4" x14ac:dyDescent="0.25">
      <c r="C41" s="1"/>
      <c r="D41" s="1"/>
    </row>
    <row r="42" spans="3:4" x14ac:dyDescent="0.25">
      <c r="C42" s="1"/>
      <c r="D42" s="1"/>
    </row>
    <row r="45" spans="3:4" x14ac:dyDescent="0.25">
      <c r="C45" s="1"/>
      <c r="D45" s="1"/>
    </row>
    <row r="46" spans="3:4" x14ac:dyDescent="0.25">
      <c r="C46" s="1"/>
      <c r="D46" s="1"/>
    </row>
    <row r="47" spans="3:4" x14ac:dyDescent="0.25">
      <c r="C47" s="1"/>
      <c r="D47" s="1"/>
    </row>
    <row r="48" spans="3:4" x14ac:dyDescent="0.25">
      <c r="C48" s="1"/>
      <c r="D48" s="1"/>
    </row>
    <row r="49" spans="3:4" x14ac:dyDescent="0.25">
      <c r="C49" s="1"/>
      <c r="D49" s="1"/>
    </row>
    <row r="50" spans="3:4" x14ac:dyDescent="0.25">
      <c r="C50" s="1"/>
      <c r="D50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"/>
  <dimension ref="A1:V54"/>
  <sheetViews>
    <sheetView showGridLines="0" zoomScaleNormal="100" workbookViewId="0">
      <pane xSplit="1" ySplit="2" topLeftCell="B3" activePane="bottomRight" state="frozen"/>
      <selection pane="topRight"/>
      <selection pane="bottomLeft"/>
      <selection pane="bottomRight" activeCell="L8" sqref="L8"/>
    </sheetView>
  </sheetViews>
  <sheetFormatPr defaultColWidth="9.140625" defaultRowHeight="15.75" x14ac:dyDescent="0.25"/>
  <cols>
    <col min="1" max="1" width="22.85546875" style="17" customWidth="1"/>
    <col min="2" max="2" width="0.42578125" style="17" customWidth="1"/>
    <col min="3" max="3" width="3.85546875" style="17" hidden="1" customWidth="1"/>
    <col min="4" max="5" width="2.5703125" style="17" hidden="1" customWidth="1"/>
    <col min="6" max="6" width="9.140625" style="17" hidden="1" customWidth="1"/>
    <col min="7" max="8" width="10.85546875" style="17" hidden="1" customWidth="1"/>
    <col min="9" max="11" width="9.5703125" style="17" hidden="1" customWidth="1"/>
    <col min="12" max="12" width="18.7109375" style="19" bestFit="1" customWidth="1"/>
    <col min="13" max="13" width="15.85546875" style="19" bestFit="1" customWidth="1"/>
    <col min="14" max="19" width="16.7109375" style="19" customWidth="1"/>
    <col min="20" max="20" width="16.7109375" style="42" customWidth="1"/>
    <col min="21" max="22" width="16.7109375" style="19" customWidth="1"/>
  </cols>
  <sheetData>
    <row r="1" spans="1:22" s="28" customFormat="1" x14ac:dyDescent="0.25">
      <c r="A1" s="27" t="s">
        <v>59</v>
      </c>
      <c r="B1" s="27" t="s">
        <v>5</v>
      </c>
      <c r="C1" s="27"/>
      <c r="D1" s="27"/>
      <c r="E1" s="27"/>
      <c r="F1" s="27"/>
      <c r="G1" s="27" t="s">
        <v>0</v>
      </c>
      <c r="H1" s="27" t="s">
        <v>1</v>
      </c>
      <c r="I1" s="27" t="s">
        <v>8</v>
      </c>
      <c r="J1" s="27" t="s">
        <v>2</v>
      </c>
      <c r="K1" s="27" t="s">
        <v>9</v>
      </c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40" t="s">
        <v>12</v>
      </c>
      <c r="U1" s="29" t="s">
        <v>10</v>
      </c>
      <c r="V1" s="29" t="s">
        <v>11</v>
      </c>
    </row>
    <row r="2" spans="1:22" hidden="1" x14ac:dyDescent="0.25">
      <c r="A2" s="17" t="s">
        <v>90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PE 19:2</v>
      </c>
      <c r="C2" s="1" t="str">
        <f>MID(B2,4,FIND(":",B2)-FIND(" ",B2)-1)</f>
        <v>19</v>
      </c>
      <c r="D2" s="1" t="str">
        <f>IF(ISNUMBER(SEARCH("__",B2)),MID(B2,FIND(":",B2)+1,FIND("__",B2)-FIND(":",B2)-1),MID(B2,FIND(":",B2)+1,7))</f>
        <v>2</v>
      </c>
      <c r="E2" s="17" t="str">
        <f t="shared" ref="E2" si="0">MID(A2,5,1)</f>
        <v>9</v>
      </c>
      <c r="G2" s="17">
        <f t="shared" ref="G2" si="1">C2+5</f>
        <v>24</v>
      </c>
      <c r="H2" s="17">
        <f>2*G2-(2*D2)-((LEN(A2)-LEN(SUBSTITUTE(A2,"_O_","")))/LEN("_O_"))*2-((LEN(A2)-LEN(SUBSTITUTE(A2,"_CHO_","")))/LEN("_CHO_"))*2-((LEN(A2)-LEN(SUBSTITUTE(A2,"_COOH_","")))/LEN("_COOH_"))*2</f>
        <v>44</v>
      </c>
      <c r="I2" s="17">
        <v>1</v>
      </c>
      <c r="J2" s="17">
        <f>8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8</v>
      </c>
      <c r="K2" s="17">
        <v>1</v>
      </c>
      <c r="L2" s="19" t="str">
        <f t="shared" ref="L2" si="2">CONCATENATE("C",G2,"H",H2,"N",I2,"O",J2,"P",K2)</f>
        <v>C24H44N1O8P1</v>
      </c>
      <c r="M2" s="19">
        <f t="shared" ref="M2" si="3">(G2*12)+(H2*1.0078246)+(I2*14.003074)+(J2*15.994915)+(K2*30.973763)</f>
        <v>505.28043940000003</v>
      </c>
      <c r="N2" s="19">
        <f>M2+1.0078246-0.00055</f>
        <v>506.28771400000005</v>
      </c>
      <c r="O2" s="19">
        <f>N2-18.01057-0.00055</f>
        <v>488.27659400000005</v>
      </c>
      <c r="P2" s="19">
        <f>M2+18.03437-0.00055</f>
        <v>523.31425940000008</v>
      </c>
      <c r="Q2" s="19">
        <f>M2+22.98977-0.00055</f>
        <v>528.26965940000002</v>
      </c>
      <c r="R2" s="19">
        <f>M2+38.96371-0.00055</f>
        <v>544.24359940000011</v>
      </c>
      <c r="S2" s="19">
        <f>M2+7.01601-0.00055</f>
        <v>512.29589940000005</v>
      </c>
      <c r="T2" s="42">
        <f>M2-1.0078246+0.00055</f>
        <v>504.27316480000002</v>
      </c>
      <c r="U2" s="19">
        <f>M2+44.99767+0.00055</f>
        <v>550.27865940000004</v>
      </c>
      <c r="V2" s="19">
        <f>M2+59.01332+0.00055</f>
        <v>564.29430939999997</v>
      </c>
    </row>
    <row r="3" spans="1:22" x14ac:dyDescent="0.25">
      <c r="A3" s="17" t="s">
        <v>106</v>
      </c>
      <c r="B3" s="17" t="str">
        <f>IF(ISNUMBER(SEARCH("(",A3)),IF(ISNUMBER(SEARCH("/",A3)),CONCATENATE(MID(A3,1,2),"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3,1,2)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>PE 36:2__CHO__</v>
      </c>
      <c r="C3" s="1" t="str">
        <f>MID(B3,4,FIND(":",B3)-FIND(" ",B3)-1)</f>
        <v>36</v>
      </c>
      <c r="D3" s="1" t="str">
        <f>IF(ISNUMBER(SEARCH("__",B3)),MID(B3,FIND(":",B3)+1,FIND("__",B3)-FIND(":",B3)-1),MID(B3,FIND(":",B3)+1,7))</f>
        <v>2</v>
      </c>
      <c r="E3" s="17" t="str">
        <f t="shared" ref="E3" si="4">MID(A3,5,1)</f>
        <v>8</v>
      </c>
      <c r="G3" s="17">
        <f t="shared" ref="G3" si="5">C3+5</f>
        <v>41</v>
      </c>
      <c r="H3" s="17">
        <f>2*G3-(2*D3)-((LEN(A3)-LEN(SUBSTITUTE(A3,"_O_","")))/LEN("_O_"))*2-((LEN(A3)-LEN(SUBSTITUTE(A3,"_CHO_","")))/LEN("_CHO_"))*2-((LEN(A3)-LEN(SUBSTITUTE(A3,"_COOH_","")))/LEN("_COOH_"))*2</f>
        <v>76</v>
      </c>
      <c r="I3" s="17">
        <v>1</v>
      </c>
      <c r="J3" s="17">
        <f>8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9</v>
      </c>
      <c r="K3" s="17">
        <v>1</v>
      </c>
      <c r="L3" s="19" t="str">
        <f t="shared" ref="L3" si="6">CONCATENATE("C",G3,"H",H3,"N",I3,"O",J3,"P",K3)</f>
        <v>C41H76N1O9P1</v>
      </c>
      <c r="M3" s="19">
        <f t="shared" ref="M3" si="7">(G3*12)+(H3*1.0078246)+(I3*14.003074)+(J3*15.994915)+(K3*30.973763)</f>
        <v>757.52574159999995</v>
      </c>
      <c r="N3" s="19">
        <f>M3+1.0078246-0.00055</f>
        <v>758.53301620000002</v>
      </c>
      <c r="O3" s="19">
        <f>N3-18.01057-0.00055</f>
        <v>740.52189620000001</v>
      </c>
      <c r="P3" s="19">
        <f>M3+18.03437-0.00055</f>
        <v>775.55956159999994</v>
      </c>
      <c r="Q3" s="19">
        <f>M3+22.98977-0.00055</f>
        <v>780.51496159999999</v>
      </c>
      <c r="R3" s="19">
        <f>M3+38.96371-0.00055</f>
        <v>796.48890159999996</v>
      </c>
      <c r="S3" s="19">
        <f>M3+7.01601-0.00055</f>
        <v>764.54120160000002</v>
      </c>
      <c r="T3" s="42">
        <f>M3-1.0078246+0.00055</f>
        <v>756.51846699999987</v>
      </c>
      <c r="U3" s="19">
        <f>M3+44.99767+0.00055</f>
        <v>802.52396159999989</v>
      </c>
      <c r="V3" s="19">
        <f>M3+59.01332+0.00055</f>
        <v>816.53961159999994</v>
      </c>
    </row>
    <row r="4" spans="1:22" x14ac:dyDescent="0.25">
      <c r="A4" s="17" t="s">
        <v>99</v>
      </c>
      <c r="B4" s="17" t="str">
        <f>IF(ISNUMBER(SEARCH("(",A4)),IF(ISNUMBER(SEARCH("/",A4)),CONCATENATE(MID(A4,1,2)," ",(SUM(MID(A4,FIND("(",A4)+1,FIND(":",A4)-FIND("(",A4)-1),MID(A4,FIND("/",A4)+1,FIND(":",A4,FIND("/",A4))-FIND("/",A4)-1))),":",SUM(MID(A4,FIND(":",A4)+1,FIND("/",A4)-FIND(":",A4)-1),MID(A4,FIND(":",A4,FIND("/",A4))+1,FIND(")",A4)-FIND(":",A4,FIND("/",A4))-1)),MID(A4,(FIND(")",A4)+1),100)),CONCATENATE(MID(A4,1,2)," ",(SUM(MID(A4,FIND("(",A4)+1,FIND(":",A4)-FIND("(",A4)-1),MID(A4,FIND("_",A4)+1,FIND(":",A4,FIND("_",A4))-FIND("_",A4)-1))),":",SUM(MID(A4,FIND(":",A4)+1,FIND("_",A4)-FIND(":",A4)-1),MID(A4,FIND(":",A4,FIND("_",A4))+1,FIND(")",A4)-FIND(":",A4,FIND("_",A4))-1)),MID(A4,(FIND(")",A4)+1),100))),A4)</f>
        <v>PE 34:1</v>
      </c>
      <c r="C4" s="1" t="str">
        <f>MID(B4,4,FIND(":",B4)-FIND(" ",B4)-1)</f>
        <v>34</v>
      </c>
      <c r="D4" s="1" t="str">
        <f>IF(ISNUMBER(SEARCH("__",B4)),MID(B4,FIND(":",B4)+1,FIND("__",B4)-FIND(":",B4)-1),MID(B4,FIND(":",B4)+1,7))</f>
        <v>1</v>
      </c>
      <c r="E4" s="17" t="str">
        <f t="shared" ref="E4" si="8">MID(A4,5,1)</f>
        <v>6</v>
      </c>
      <c r="G4" s="17">
        <f t="shared" ref="G4" si="9">C4+5</f>
        <v>39</v>
      </c>
      <c r="H4" s="17">
        <f>2*G4-(2*D4)-((LEN(A4)-LEN(SUBSTITUTE(A4,"_O_","")))/LEN("_O_"))*2-((LEN(A4)-LEN(SUBSTITUTE(A4,"_CHO_","")))/LEN("_CHO_"))*2-((LEN(A4)-LEN(SUBSTITUTE(A4,"_COOH_","")))/LEN("_COOH_"))*2</f>
        <v>76</v>
      </c>
      <c r="I4" s="17">
        <v>1</v>
      </c>
      <c r="J4" s="17">
        <f>8+((LEN(A4)-LEN(SUBSTITUTE(A4,"_OH_","")))/LEN("_OH_"))*1+((LEN(A4)-LEN(SUBSTITUTE(A4,"_OOH_","")))/LEN("_OOH_"))*2+((LEN(A4)-LEN(SUBSTITUTE(A4,"_O_","")))/LEN("_O_"))*1+((LEN(A4)-LEN(SUBSTITUTE(A4,"_CHO_","")))/LEN("_CHO_"))*1+((LEN(A4)-LEN(SUBSTITUTE(A4,"_COOH_","")))/LEN("_COOH_"))*2</f>
        <v>8</v>
      </c>
      <c r="K4" s="17">
        <v>1</v>
      </c>
      <c r="L4" s="19" t="str">
        <f t="shared" ref="L4" si="10">CONCATENATE("C",G4,"H",H4,"N",I4,"O",J4,"P",K4)</f>
        <v>C39H76N1O8P1</v>
      </c>
      <c r="M4" s="19">
        <f t="shared" ref="M4" si="11">(G4*12)+(H4*1.0078246)+(I4*14.003074)+(J4*15.994915)+(K4*30.973763)</f>
        <v>717.53082659999995</v>
      </c>
      <c r="N4" s="19">
        <f>M4+1.0078246-0.00055</f>
        <v>718.53810120000003</v>
      </c>
      <c r="O4" s="19">
        <f>N4-18.01057-0.00055</f>
        <v>700.52698120000002</v>
      </c>
      <c r="P4" s="19">
        <f>M4+18.03437-0.00055</f>
        <v>735.56464659999995</v>
      </c>
      <c r="Q4" s="19">
        <f>M4+22.98977-0.00055</f>
        <v>740.5200466</v>
      </c>
      <c r="R4" s="19">
        <f>M4+38.96371-0.00055</f>
        <v>756.49398659999997</v>
      </c>
      <c r="S4" s="19">
        <f>M4+7.01601-0.00055</f>
        <v>724.54628660000003</v>
      </c>
      <c r="T4" s="42">
        <f>M4-1.0078246+0.00055</f>
        <v>716.52355199999988</v>
      </c>
      <c r="U4" s="19">
        <f>M4+44.99767+0.00055</f>
        <v>762.5290465999999</v>
      </c>
      <c r="V4" s="19">
        <f>M4+59.01332+0.00055</f>
        <v>776.54469659999995</v>
      </c>
    </row>
    <row r="6" spans="1:22" x14ac:dyDescent="0.25">
      <c r="A6" s="17" t="s">
        <v>386</v>
      </c>
      <c r="B6" s="17" t="str">
        <f t="shared" ref="B6:B46" si="12">IF(ISNUMBER(SEARCH("(",A6)),IF(ISNUMBER(SEARCH("/",A6)),CONCATENATE(MID(A6,1,2)," ",(SUM(MID(A6,FIND("(",A6)+1,FIND(":",A6)-FIND("(",A6)-1),MID(A6,FIND("/",A6)+1,FIND(":",A6,FIND("/",A6))-FIND("/",A6)-1))),":",SUM(MID(A6,FIND(":",A6)+1,FIND("/",A6)-FIND(":",A6)-1),MID(A6,FIND(":",A6,FIND("/",A6))+1,FIND(")",A6)-FIND(":",A6,FIND("/",A6))-1)),MID(A6,(FIND(")",A6)+1),100)),CONCATENATE(MID(A6,1,2)," ",(SUM(MID(A6,FIND("(",A6)+1,FIND(":",A6)-FIND("(",A6)-1),MID(A6,FIND("_",A6)+1,FIND(":",A6,FIND("_",A6))-FIND("_",A6)-1))),":",SUM(MID(A6,FIND(":",A6)+1,FIND("_",A6)-FIND(":",A6)-1),MID(A6,FIND(":",A6,FIND("_",A6))+1,FIND(")",A6)-FIND(":",A6,FIND("_",A6))-1)),MID(A6,(FIND(")",A6)+1),100))),A6)</f>
        <v>PE 24:0</v>
      </c>
      <c r="C6" s="1" t="str">
        <f t="shared" ref="C6:C46" si="13">MID(B6,4,FIND(":",B6)-FIND(" ",B6)-1)</f>
        <v>24</v>
      </c>
      <c r="D6" s="1" t="str">
        <f t="shared" ref="D6:D46" si="14">IF(ISNUMBER(SEARCH("__",B6)),MID(B6,FIND(":",B6)+1,FIND("__",B6)-FIND(":",B6)-1),MID(B6,FIND(":",B6)+1,7))</f>
        <v>0</v>
      </c>
      <c r="E6" s="17" t="str">
        <f t="shared" ref="E6:E46" si="15">MID(A6,5,1)</f>
        <v>4</v>
      </c>
      <c r="G6" s="17">
        <f t="shared" ref="G6:G46" si="16">C6+5</f>
        <v>29</v>
      </c>
      <c r="H6" s="17">
        <f t="shared" ref="H6:H46" si="17">2*G6-(2*D6)-((LEN(A6)-LEN(SUBSTITUTE(A6,"_O_","")))/LEN("_O_"))*2-((LEN(A6)-LEN(SUBSTITUTE(A6,"_CHO_","")))/LEN("_CHO_"))*2-((LEN(A6)-LEN(SUBSTITUTE(A6,"_COOH_","")))/LEN("_COOH_"))*2</f>
        <v>58</v>
      </c>
      <c r="I6" s="17">
        <v>1</v>
      </c>
      <c r="J6" s="17">
        <f t="shared" ref="J6:J46" si="18">8+((LEN(A6)-LEN(SUBSTITUTE(A6,"_OH_","")))/LEN("_OH_"))*1+((LEN(A6)-LEN(SUBSTITUTE(A6,"_OOH_","")))/LEN("_OOH_"))*2+((LEN(A6)-LEN(SUBSTITUTE(A6,"_O_","")))/LEN("_O_"))*1+((LEN(A6)-LEN(SUBSTITUTE(A6,"_CHO_","")))/LEN("_CHO_"))*1+((LEN(A6)-LEN(SUBSTITUTE(A6,"_COOH_","")))/LEN("_COOH_"))*2</f>
        <v>8</v>
      </c>
      <c r="K6" s="17">
        <v>1</v>
      </c>
      <c r="L6" s="19" t="str">
        <f t="shared" ref="L6:L46" si="19">CONCATENATE("C",G6,"H",H6,"N",I6,"O",J6,"P",K6)</f>
        <v>C29H58N1O8P1</v>
      </c>
      <c r="M6" s="19">
        <f t="shared" ref="M6:M46" si="20">(G6*12)+(H6*1.0078246)+(I6*14.003074)+(J6*15.994915)+(K6*30.973763)</f>
        <v>579.38998379999998</v>
      </c>
      <c r="N6" s="19">
        <f t="shared" ref="N6:N46" si="21">M6+1.0078246-0.00055</f>
        <v>580.39725840000006</v>
      </c>
      <c r="O6" s="19">
        <f t="shared" ref="O6:O46" si="22">N6-18.01057-0.00055</f>
        <v>562.38613840000005</v>
      </c>
      <c r="P6" s="19">
        <f t="shared" ref="P6:P46" si="23">M6+18.03437-0.00055</f>
        <v>597.42380379999997</v>
      </c>
      <c r="Q6" s="19">
        <f t="shared" ref="Q6:Q46" si="24">M6+22.98977-0.00055</f>
        <v>602.37920380000003</v>
      </c>
      <c r="R6" s="19">
        <f t="shared" ref="R6:R46" si="25">M6+38.96371-0.00055</f>
        <v>618.3531438</v>
      </c>
      <c r="S6" s="19">
        <f t="shared" ref="S6:S46" si="26">M6+7.01601-0.00055</f>
        <v>586.40544380000006</v>
      </c>
      <c r="T6" s="42">
        <f t="shared" ref="T6:T46" si="27">M6-1.0078246+0.00055</f>
        <v>578.38270919999991</v>
      </c>
      <c r="U6" s="19">
        <f t="shared" ref="U6:U46" si="28">M6+44.99767+0.00055</f>
        <v>624.38820379999993</v>
      </c>
      <c r="V6" s="19">
        <f t="shared" ref="V6:V46" si="29">M6+59.01332+0.00055</f>
        <v>638.40385379999998</v>
      </c>
    </row>
    <row r="7" spans="1:22" x14ac:dyDescent="0.25">
      <c r="A7" s="17" t="s">
        <v>387</v>
      </c>
      <c r="B7" s="17" t="str">
        <f t="shared" si="12"/>
        <v>PE 25:0</v>
      </c>
      <c r="C7" s="1" t="str">
        <f t="shared" si="13"/>
        <v>25</v>
      </c>
      <c r="D7" s="1" t="str">
        <f t="shared" si="14"/>
        <v>0</v>
      </c>
      <c r="E7" s="17" t="str">
        <f t="shared" si="15"/>
        <v>5</v>
      </c>
      <c r="G7" s="17">
        <f t="shared" si="16"/>
        <v>30</v>
      </c>
      <c r="H7" s="17">
        <f t="shared" si="17"/>
        <v>60</v>
      </c>
      <c r="I7" s="17">
        <v>1</v>
      </c>
      <c r="J7" s="17">
        <f t="shared" si="18"/>
        <v>8</v>
      </c>
      <c r="K7" s="17">
        <v>1</v>
      </c>
      <c r="L7" s="19" t="str">
        <f t="shared" si="19"/>
        <v>C30H60N1O8P1</v>
      </c>
      <c r="M7" s="19">
        <f t="shared" si="20"/>
        <v>593.40563299999997</v>
      </c>
      <c r="N7" s="19">
        <f t="shared" si="21"/>
        <v>594.41290760000004</v>
      </c>
      <c r="O7" s="19">
        <f t="shared" si="22"/>
        <v>576.40178760000003</v>
      </c>
      <c r="P7" s="19">
        <f t="shared" si="23"/>
        <v>611.43945299999996</v>
      </c>
      <c r="Q7" s="19">
        <f t="shared" si="24"/>
        <v>616.39485300000001</v>
      </c>
      <c r="R7" s="19">
        <f t="shared" si="25"/>
        <v>632.36879299999998</v>
      </c>
      <c r="S7" s="19">
        <f t="shared" si="26"/>
        <v>600.42109300000004</v>
      </c>
      <c r="T7" s="42">
        <f t="shared" si="27"/>
        <v>592.39835839999989</v>
      </c>
      <c r="U7" s="19">
        <f t="shared" si="28"/>
        <v>638.40385299999991</v>
      </c>
      <c r="V7" s="19">
        <f t="shared" si="29"/>
        <v>652.41950299999996</v>
      </c>
    </row>
    <row r="8" spans="1:22" x14ac:dyDescent="0.25">
      <c r="A8" s="17" t="s">
        <v>388</v>
      </c>
      <c r="B8" s="17" t="str">
        <f t="shared" si="12"/>
        <v>PE 26:0</v>
      </c>
      <c r="C8" s="1" t="str">
        <f t="shared" si="13"/>
        <v>26</v>
      </c>
      <c r="D8" s="1" t="str">
        <f t="shared" si="14"/>
        <v>0</v>
      </c>
      <c r="E8" s="17" t="str">
        <f t="shared" si="15"/>
        <v>6</v>
      </c>
      <c r="G8" s="17">
        <f t="shared" si="16"/>
        <v>31</v>
      </c>
      <c r="H8" s="17">
        <f t="shared" si="17"/>
        <v>62</v>
      </c>
      <c r="I8" s="17">
        <v>1</v>
      </c>
      <c r="J8" s="17">
        <f t="shared" si="18"/>
        <v>8</v>
      </c>
      <c r="K8" s="17">
        <v>1</v>
      </c>
      <c r="L8" s="19" t="str">
        <f t="shared" si="19"/>
        <v>C31H62N1O8P1</v>
      </c>
      <c r="M8" s="19">
        <f t="shared" si="20"/>
        <v>607.42128219999995</v>
      </c>
      <c r="N8" s="19">
        <f t="shared" si="21"/>
        <v>608.42855680000002</v>
      </c>
      <c r="O8" s="19">
        <f t="shared" si="22"/>
        <v>590.41743680000002</v>
      </c>
      <c r="P8" s="19">
        <f t="shared" si="23"/>
        <v>625.45510219999994</v>
      </c>
      <c r="Q8" s="19">
        <f t="shared" si="24"/>
        <v>630.4105022</v>
      </c>
      <c r="R8" s="19">
        <f t="shared" si="25"/>
        <v>646.38444219999997</v>
      </c>
      <c r="S8" s="19">
        <f t="shared" si="26"/>
        <v>614.43674220000003</v>
      </c>
      <c r="T8" s="42">
        <f t="shared" si="27"/>
        <v>606.41400759999988</v>
      </c>
      <c r="U8" s="19">
        <f t="shared" si="28"/>
        <v>652.4195021999999</v>
      </c>
      <c r="V8" s="19">
        <f t="shared" si="29"/>
        <v>666.43515219999995</v>
      </c>
    </row>
    <row r="9" spans="1:22" x14ac:dyDescent="0.25">
      <c r="A9" s="17" t="s">
        <v>389</v>
      </c>
      <c r="B9" s="17" t="str">
        <f t="shared" si="12"/>
        <v>PE 27:0</v>
      </c>
      <c r="C9" s="1" t="str">
        <f t="shared" si="13"/>
        <v>27</v>
      </c>
      <c r="D9" s="1" t="str">
        <f t="shared" si="14"/>
        <v>0</v>
      </c>
      <c r="E9" s="17" t="str">
        <f t="shared" si="15"/>
        <v>7</v>
      </c>
      <c r="G9" s="17">
        <f t="shared" si="16"/>
        <v>32</v>
      </c>
      <c r="H9" s="17">
        <f t="shared" si="17"/>
        <v>64</v>
      </c>
      <c r="I9" s="17">
        <v>1</v>
      </c>
      <c r="J9" s="17">
        <f t="shared" si="18"/>
        <v>8</v>
      </c>
      <c r="K9" s="17">
        <v>1</v>
      </c>
      <c r="L9" s="19" t="str">
        <f t="shared" si="19"/>
        <v>C32H64N1O8P1</v>
      </c>
      <c r="M9" s="19">
        <f t="shared" si="20"/>
        <v>621.43693140000005</v>
      </c>
      <c r="N9" s="19">
        <f t="shared" si="21"/>
        <v>622.44420600000012</v>
      </c>
      <c r="O9" s="19">
        <f t="shared" si="22"/>
        <v>604.43308600000012</v>
      </c>
      <c r="P9" s="19">
        <f t="shared" si="23"/>
        <v>639.47075140000004</v>
      </c>
      <c r="Q9" s="19">
        <f t="shared" si="24"/>
        <v>644.42615140000009</v>
      </c>
      <c r="R9" s="19">
        <f t="shared" si="25"/>
        <v>660.40009140000006</v>
      </c>
      <c r="S9" s="19">
        <f t="shared" si="26"/>
        <v>628.45239140000012</v>
      </c>
      <c r="T9" s="42">
        <f t="shared" si="27"/>
        <v>620.42965679999998</v>
      </c>
      <c r="U9" s="19">
        <f t="shared" si="28"/>
        <v>666.4351514</v>
      </c>
      <c r="V9" s="19">
        <f t="shared" si="29"/>
        <v>680.45080140000005</v>
      </c>
    </row>
    <row r="10" spans="1:22" x14ac:dyDescent="0.25">
      <c r="A10" s="17" t="s">
        <v>481</v>
      </c>
      <c r="B10" s="17" t="str">
        <f>IF(ISNUMBER(SEARCH("(",A10)),IF(ISNUMBER(SEARCH("/",A10)),CONCATENATE(MID(A10,1,2)," ",(SUM(MID(A10,FIND("(",A10)+1,FIND(":",A10)-FIND("(",A10)-1),MID(A10,FIND("/",A10)+1,FIND(":",A10,FIND("/",A10))-FIND("/",A10)-1))),":",SUM(MID(A10,FIND(":",A10)+1,FIND("/",A10)-FIND(":",A10)-1),MID(A10,FIND(":",A10,FIND("/",A10))+1,FIND(")",A10)-FIND(":",A10,FIND("/",A10))-1)),MID(A10,(FIND(")",A10)+1),100)),CONCATENATE(MID(A10,1,2)," ",(SUM(MID(A10,FIND("(",A10)+1,FIND(":",A10)-FIND("(",A10)-1),MID(A10,FIND("_",A10)+1,FIND(":",A10,FIND("_",A10))-FIND("_",A10)-1))),":",SUM(MID(A10,FIND(":",A10)+1,FIND("_",A10)-FIND(":",A10)-1),MID(A10,FIND(":",A10,FIND("_",A10))+1,FIND(")",A10)-FIND(":",A10,FIND("_",A10))-1)),MID(A10,(FIND(")",A10)+1),100))),A10)</f>
        <v>PE 28:2</v>
      </c>
      <c r="C10" s="1" t="str">
        <f>MID(B10,4,FIND(":",B10)-FIND(" ",B10)-1)</f>
        <v>28</v>
      </c>
      <c r="D10" s="1" t="str">
        <f>IF(ISNUMBER(SEARCH("__",B10)),MID(B10,FIND(":",B10)+1,FIND("__",B10)-FIND(":",B10)-1),MID(B10,FIND(":",B10)+1,7))</f>
        <v>2</v>
      </c>
      <c r="E10" s="17" t="str">
        <f t="shared" si="15"/>
        <v>8</v>
      </c>
      <c r="G10" s="17">
        <f t="shared" si="16"/>
        <v>33</v>
      </c>
      <c r="H10" s="17">
        <f>2*G10-(2*D10)-((LEN(A10)-LEN(SUBSTITUTE(A10,"_O_","")))/LEN("_O_"))*2-((LEN(A10)-LEN(SUBSTITUTE(A10,"_CHO_","")))/LEN("_CHO_"))*2-((LEN(A10)-LEN(SUBSTITUTE(A10,"_COOH_","")))/LEN("_COOH_"))*2</f>
        <v>62</v>
      </c>
      <c r="I10" s="17">
        <v>1</v>
      </c>
      <c r="J10" s="17">
        <f>8+((LEN(A10)-LEN(SUBSTITUTE(A10,"_OH_","")))/LEN("_OH_"))*1+((LEN(A10)-LEN(SUBSTITUTE(A10,"_OOH_","")))/LEN("_OOH_"))*2+((LEN(A10)-LEN(SUBSTITUTE(A10,"_O_","")))/LEN("_O_"))*1+((LEN(A10)-LEN(SUBSTITUTE(A10,"_CHO_","")))/LEN("_CHO_"))*1+((LEN(A10)-LEN(SUBSTITUTE(A10,"_COOH_","")))/LEN("_COOH_"))*2</f>
        <v>8</v>
      </c>
      <c r="K10" s="17">
        <v>1</v>
      </c>
      <c r="L10" s="19" t="str">
        <f t="shared" si="19"/>
        <v>C33H62N1O8P1</v>
      </c>
      <c r="M10" s="19">
        <f t="shared" si="20"/>
        <v>631.42128219999995</v>
      </c>
      <c r="N10" s="19">
        <f>M10+1.0078246-0.00055</f>
        <v>632.42855680000002</v>
      </c>
      <c r="O10" s="19">
        <f>N10-18.01057-0.00055</f>
        <v>614.41743680000002</v>
      </c>
      <c r="P10" s="19">
        <f>M10+18.03437-0.00055</f>
        <v>649.45510219999994</v>
      </c>
      <c r="Q10" s="19">
        <f>M10+22.98977-0.00055</f>
        <v>654.4105022</v>
      </c>
      <c r="R10" s="19">
        <f>M10+38.96371-0.00055</f>
        <v>670.38444219999997</v>
      </c>
      <c r="S10" s="19">
        <f>M10+7.01601-0.00055</f>
        <v>638.43674220000003</v>
      </c>
      <c r="T10" s="42">
        <f>M10-1.0078246+0.00055</f>
        <v>630.41400759999988</v>
      </c>
      <c r="U10" s="19">
        <f>M10+44.99767+0.00055</f>
        <v>676.4195021999999</v>
      </c>
      <c r="V10" s="19">
        <f>M10+59.01332+0.00055</f>
        <v>690.43515219999995</v>
      </c>
    </row>
    <row r="11" spans="1:22" x14ac:dyDescent="0.25">
      <c r="A11" s="17" t="s">
        <v>482</v>
      </c>
      <c r="B11" s="17" t="str">
        <f>IF(ISNUMBER(SEARCH("(",A11)),IF(ISNUMBER(SEARCH("/",A11)),CONCATENATE(MID(A11,1,2)," ",(SUM(MID(A11,FIND("(",A11)+1,FIND(":",A11)-FIND("(",A11)-1),MID(A11,FIND("/",A11)+1,FIND(":",A11,FIND("/",A11))-FIND("/",A11)-1))),":",SUM(MID(A11,FIND(":",A11)+1,FIND("/",A11)-FIND(":",A11)-1),MID(A11,FIND(":",A11,FIND("/",A11))+1,FIND(")",A11)-FIND(":",A11,FIND("/",A11))-1)),MID(A11,(FIND(")",A11)+1),100)),CONCATENATE(MID(A11,1,2)," ",(SUM(MID(A11,FIND("(",A11)+1,FIND(":",A11)-FIND("(",A11)-1),MID(A11,FIND("_",A11)+1,FIND(":",A11,FIND("_",A11))-FIND("_",A11)-1))),":",SUM(MID(A11,FIND(":",A11)+1,FIND("_",A11)-FIND(":",A11)-1),MID(A11,FIND(":",A11,FIND("_",A11))+1,FIND(")",A11)-FIND(":",A11,FIND("_",A11))-1)),MID(A11,(FIND(")",A11)+1),100))),A11)</f>
        <v>PE 28:1</v>
      </c>
      <c r="C11" s="1" t="str">
        <f>MID(B11,4,FIND(":",B11)-FIND(" ",B11)-1)</f>
        <v>28</v>
      </c>
      <c r="D11" s="1" t="str">
        <f>IF(ISNUMBER(SEARCH("__",B11)),MID(B11,FIND(":",B11)+1,FIND("__",B11)-FIND(":",B11)-1),MID(B11,FIND(":",B11)+1,7))</f>
        <v>1</v>
      </c>
      <c r="E11" s="17" t="str">
        <f t="shared" si="15"/>
        <v>8</v>
      </c>
      <c r="G11" s="17">
        <f t="shared" si="16"/>
        <v>33</v>
      </c>
      <c r="H11" s="17">
        <f>2*G11-(2*D11)-((LEN(A11)-LEN(SUBSTITUTE(A11,"_O_","")))/LEN("_O_"))*2-((LEN(A11)-LEN(SUBSTITUTE(A11,"_CHO_","")))/LEN("_CHO_"))*2-((LEN(A11)-LEN(SUBSTITUTE(A11,"_COOH_","")))/LEN("_COOH_"))*2</f>
        <v>64</v>
      </c>
      <c r="I11" s="17">
        <v>1</v>
      </c>
      <c r="J11" s="17">
        <f>8+((LEN(A11)-LEN(SUBSTITUTE(A11,"_OH_","")))/LEN("_OH_"))*1+((LEN(A11)-LEN(SUBSTITUTE(A11,"_OOH_","")))/LEN("_OOH_"))*2+((LEN(A11)-LEN(SUBSTITUTE(A11,"_O_","")))/LEN("_O_"))*1+((LEN(A11)-LEN(SUBSTITUTE(A11,"_CHO_","")))/LEN("_CHO_"))*1+((LEN(A11)-LEN(SUBSTITUTE(A11,"_COOH_","")))/LEN("_COOH_"))*2</f>
        <v>8</v>
      </c>
      <c r="K11" s="17">
        <v>1</v>
      </c>
      <c r="L11" s="19" t="str">
        <f t="shared" si="19"/>
        <v>C33H64N1O8P1</v>
      </c>
      <c r="M11" s="19">
        <f t="shared" si="20"/>
        <v>633.43693140000005</v>
      </c>
      <c r="N11" s="19">
        <f>M11+1.0078246-0.00055</f>
        <v>634.44420600000012</v>
      </c>
      <c r="O11" s="19">
        <f>N11-18.01057-0.00055</f>
        <v>616.43308600000012</v>
      </c>
      <c r="P11" s="19">
        <f>M11+18.03437-0.00055</f>
        <v>651.47075140000004</v>
      </c>
      <c r="Q11" s="19">
        <f>M11+22.98977-0.00055</f>
        <v>656.42615140000009</v>
      </c>
      <c r="R11" s="19">
        <f>M11+38.96371-0.00055</f>
        <v>672.40009140000006</v>
      </c>
      <c r="S11" s="19">
        <f>M11+7.01601-0.00055</f>
        <v>640.45239140000012</v>
      </c>
      <c r="T11" s="42">
        <f>M11-1.0078246+0.00055</f>
        <v>632.42965679999998</v>
      </c>
      <c r="U11" s="19">
        <f>M11+44.99767+0.00055</f>
        <v>678.4351514</v>
      </c>
      <c r="V11" s="19">
        <f>M11+59.01332+0.00055</f>
        <v>692.45080140000005</v>
      </c>
    </row>
    <row r="12" spans="1:22" x14ac:dyDescent="0.25">
      <c r="A12" s="17" t="s">
        <v>390</v>
      </c>
      <c r="B12" s="17" t="str">
        <f t="shared" si="12"/>
        <v>PE 28:0</v>
      </c>
      <c r="C12" s="1" t="str">
        <f t="shared" si="13"/>
        <v>28</v>
      </c>
      <c r="D12" s="1" t="str">
        <f t="shared" si="14"/>
        <v>0</v>
      </c>
      <c r="E12" s="17" t="str">
        <f t="shared" si="15"/>
        <v>8</v>
      </c>
      <c r="G12" s="17">
        <f t="shared" si="16"/>
        <v>33</v>
      </c>
      <c r="H12" s="17">
        <f t="shared" si="17"/>
        <v>66</v>
      </c>
      <c r="I12" s="17">
        <v>1</v>
      </c>
      <c r="J12" s="17">
        <f t="shared" si="18"/>
        <v>8</v>
      </c>
      <c r="K12" s="17">
        <v>1</v>
      </c>
      <c r="L12" s="19" t="str">
        <f t="shared" si="19"/>
        <v>C33H66N1O8P1</v>
      </c>
      <c r="M12" s="19">
        <f t="shared" si="20"/>
        <v>635.45258060000003</v>
      </c>
      <c r="N12" s="19">
        <f t="shared" si="21"/>
        <v>636.45985520000011</v>
      </c>
      <c r="O12" s="19">
        <f t="shared" si="22"/>
        <v>618.4487352000001</v>
      </c>
      <c r="P12" s="19">
        <f t="shared" si="23"/>
        <v>653.48640060000002</v>
      </c>
      <c r="Q12" s="19">
        <f t="shared" si="24"/>
        <v>658.44180060000008</v>
      </c>
      <c r="R12" s="19">
        <f t="shared" si="25"/>
        <v>674.41574060000005</v>
      </c>
      <c r="S12" s="19">
        <f t="shared" si="26"/>
        <v>642.46804060000011</v>
      </c>
      <c r="T12" s="42">
        <f t="shared" si="27"/>
        <v>634.44530599999996</v>
      </c>
      <c r="U12" s="19">
        <f t="shared" si="28"/>
        <v>680.45080059999998</v>
      </c>
      <c r="V12" s="19">
        <f t="shared" si="29"/>
        <v>694.46645060000003</v>
      </c>
    </row>
    <row r="13" spans="1:22" x14ac:dyDescent="0.25">
      <c r="A13" s="17" t="s">
        <v>483</v>
      </c>
      <c r="B13" s="17" t="str">
        <f>IF(ISNUMBER(SEARCH("(",A13)),IF(ISNUMBER(SEARCH("/",A13)),CONCATENATE(MID(A13,1,2)," ",(SUM(MID(A13,FIND("(",A13)+1,FIND(":",A13)-FIND("(",A13)-1),MID(A13,FIND("/",A13)+1,FIND(":",A13,FIND("/",A13))-FIND("/",A13)-1))),":",SUM(MID(A13,FIND(":",A13)+1,FIND("/",A13)-FIND(":",A13)-1),MID(A13,FIND(":",A13,FIND("/",A13))+1,FIND(")",A13)-FIND(":",A13,FIND("/",A13))-1)),MID(A13,(FIND(")",A13)+1),100)),CONCATENATE(MID(A13,1,2)," ",(SUM(MID(A13,FIND("(",A13)+1,FIND(":",A13)-FIND("(",A13)-1),MID(A13,FIND("_",A13)+1,FIND(":",A13,FIND("_",A13))-FIND("_",A13)-1))),":",SUM(MID(A13,FIND(":",A13)+1,FIND("_",A13)-FIND(":",A13)-1),MID(A13,FIND(":",A13,FIND("_",A13))+1,FIND(")",A13)-FIND(":",A13,FIND("_",A13))-1)),MID(A13,(FIND(")",A13)+1),100))),A13)</f>
        <v>PE 29:2</v>
      </c>
      <c r="C13" s="1" t="str">
        <f>MID(B13,4,FIND(":",B13)-FIND(" ",B13)-1)</f>
        <v>29</v>
      </c>
      <c r="D13" s="1" t="str">
        <f>IF(ISNUMBER(SEARCH("__",B13)),MID(B13,FIND(":",B13)+1,FIND("__",B13)-FIND(":",B13)-1),MID(B13,FIND(":",B13)+1,7))</f>
        <v>2</v>
      </c>
      <c r="E13" s="17" t="str">
        <f t="shared" si="15"/>
        <v>9</v>
      </c>
      <c r="G13" s="17">
        <f t="shared" si="16"/>
        <v>34</v>
      </c>
      <c r="H13" s="17">
        <f>2*G13-(2*D13)-((LEN(A13)-LEN(SUBSTITUTE(A13,"_O_","")))/LEN("_O_"))*2-((LEN(A13)-LEN(SUBSTITUTE(A13,"_CHO_","")))/LEN("_CHO_"))*2-((LEN(A13)-LEN(SUBSTITUTE(A13,"_COOH_","")))/LEN("_COOH_"))*2</f>
        <v>64</v>
      </c>
      <c r="I13" s="17">
        <v>1</v>
      </c>
      <c r="J13" s="17">
        <f>8+((LEN(A13)-LEN(SUBSTITUTE(A13,"_OH_","")))/LEN("_OH_"))*1+((LEN(A13)-LEN(SUBSTITUTE(A13,"_OOH_","")))/LEN("_OOH_"))*2+((LEN(A13)-LEN(SUBSTITUTE(A13,"_O_","")))/LEN("_O_"))*1+((LEN(A13)-LEN(SUBSTITUTE(A13,"_CHO_","")))/LEN("_CHO_"))*1+((LEN(A13)-LEN(SUBSTITUTE(A13,"_COOH_","")))/LEN("_COOH_"))*2</f>
        <v>8</v>
      </c>
      <c r="K13" s="17">
        <v>1</v>
      </c>
      <c r="L13" s="19" t="str">
        <f t="shared" si="19"/>
        <v>C34H64N1O8P1</v>
      </c>
      <c r="M13" s="19">
        <f t="shared" si="20"/>
        <v>645.43693140000005</v>
      </c>
      <c r="N13" s="19">
        <f>M13+1.0078246-0.00055</f>
        <v>646.44420600000012</v>
      </c>
      <c r="O13" s="19">
        <f>N13-18.01057-0.00055</f>
        <v>628.43308600000012</v>
      </c>
      <c r="P13" s="19">
        <f>M13+18.03437-0.00055</f>
        <v>663.47075140000004</v>
      </c>
      <c r="Q13" s="19">
        <f>M13+22.98977-0.00055</f>
        <v>668.42615140000009</v>
      </c>
      <c r="R13" s="19">
        <f>M13+38.96371-0.00055</f>
        <v>684.40009140000006</v>
      </c>
      <c r="S13" s="19">
        <f>M13+7.01601-0.00055</f>
        <v>652.45239140000012</v>
      </c>
      <c r="T13" s="42">
        <f>M13-1.0078246+0.00055</f>
        <v>644.42965679999998</v>
      </c>
      <c r="U13" s="19">
        <f>M13+44.99767+0.00055</f>
        <v>690.4351514</v>
      </c>
      <c r="V13" s="19">
        <f>M13+59.01332+0.00055</f>
        <v>704.45080140000005</v>
      </c>
    </row>
    <row r="14" spans="1:22" x14ac:dyDescent="0.25">
      <c r="A14" s="17" t="s">
        <v>484</v>
      </c>
      <c r="B14" s="17" t="str">
        <f>IF(ISNUMBER(SEARCH("(",A14)),IF(ISNUMBER(SEARCH("/",A14)),CONCATENATE(MID(A14,1,2)," ",(SUM(MID(A14,FIND("(",A14)+1,FIND(":",A14)-FIND("(",A14)-1),MID(A14,FIND("/",A14)+1,FIND(":",A14,FIND("/",A14))-FIND("/",A14)-1))),":",SUM(MID(A14,FIND(":",A14)+1,FIND("/",A14)-FIND(":",A14)-1),MID(A14,FIND(":",A14,FIND("/",A14))+1,FIND(")",A14)-FIND(":",A14,FIND("/",A14))-1)),MID(A14,(FIND(")",A14)+1),100)),CONCATENATE(MID(A14,1,2)," ",(SUM(MID(A14,FIND("(",A14)+1,FIND(":",A14)-FIND("(",A14)-1),MID(A14,FIND("_",A14)+1,FIND(":",A14,FIND("_",A14))-FIND("_",A14)-1))),":",SUM(MID(A14,FIND(":",A14)+1,FIND("_",A14)-FIND(":",A14)-1),MID(A14,FIND(":",A14,FIND("_",A14))+1,FIND(")",A14)-FIND(":",A14,FIND("_",A14))-1)),MID(A14,(FIND(")",A14)+1),100))),A14)</f>
        <v>PE 29:1</v>
      </c>
      <c r="C14" s="1" t="str">
        <f>MID(B14,4,FIND(":",B14)-FIND(" ",B14)-1)</f>
        <v>29</v>
      </c>
      <c r="D14" s="1" t="str">
        <f>IF(ISNUMBER(SEARCH("__",B14)),MID(B14,FIND(":",B14)+1,FIND("__",B14)-FIND(":",B14)-1),MID(B14,FIND(":",B14)+1,7))</f>
        <v>1</v>
      </c>
      <c r="E14" s="17" t="str">
        <f t="shared" si="15"/>
        <v>9</v>
      </c>
      <c r="G14" s="17">
        <f t="shared" si="16"/>
        <v>34</v>
      </c>
      <c r="H14" s="17">
        <f>2*G14-(2*D14)-((LEN(A14)-LEN(SUBSTITUTE(A14,"_O_","")))/LEN("_O_"))*2-((LEN(A14)-LEN(SUBSTITUTE(A14,"_CHO_","")))/LEN("_CHO_"))*2-((LEN(A14)-LEN(SUBSTITUTE(A14,"_COOH_","")))/LEN("_COOH_"))*2</f>
        <v>66</v>
      </c>
      <c r="I14" s="17">
        <v>1</v>
      </c>
      <c r="J14" s="17">
        <f>8+((LEN(A14)-LEN(SUBSTITUTE(A14,"_OH_","")))/LEN("_OH_"))*1+((LEN(A14)-LEN(SUBSTITUTE(A14,"_OOH_","")))/LEN("_OOH_"))*2+((LEN(A14)-LEN(SUBSTITUTE(A14,"_O_","")))/LEN("_O_"))*1+((LEN(A14)-LEN(SUBSTITUTE(A14,"_CHO_","")))/LEN("_CHO_"))*1+((LEN(A14)-LEN(SUBSTITUTE(A14,"_COOH_","")))/LEN("_COOH_"))*2</f>
        <v>8</v>
      </c>
      <c r="K14" s="17">
        <v>1</v>
      </c>
      <c r="L14" s="19" t="str">
        <f t="shared" si="19"/>
        <v>C34H66N1O8P1</v>
      </c>
      <c r="M14" s="19">
        <f t="shared" si="20"/>
        <v>647.45258060000003</v>
      </c>
      <c r="N14" s="19">
        <f>M14+1.0078246-0.00055</f>
        <v>648.45985520000011</v>
      </c>
      <c r="O14" s="19">
        <f>N14-18.01057-0.00055</f>
        <v>630.4487352000001</v>
      </c>
      <c r="P14" s="19">
        <f>M14+18.03437-0.00055</f>
        <v>665.48640060000002</v>
      </c>
      <c r="Q14" s="19">
        <f>M14+22.98977-0.00055</f>
        <v>670.44180060000008</v>
      </c>
      <c r="R14" s="19">
        <f>M14+38.96371-0.00055</f>
        <v>686.41574060000005</v>
      </c>
      <c r="S14" s="19">
        <f>M14+7.01601-0.00055</f>
        <v>654.46804060000011</v>
      </c>
      <c r="T14" s="42">
        <f>M14-1.0078246+0.00055</f>
        <v>646.44530599999996</v>
      </c>
      <c r="U14" s="19">
        <f>M14+44.99767+0.00055</f>
        <v>692.45080059999998</v>
      </c>
      <c r="V14" s="19">
        <f>M14+59.01332+0.00055</f>
        <v>706.46645060000003</v>
      </c>
    </row>
    <row r="15" spans="1:22" x14ac:dyDescent="0.25">
      <c r="A15" s="17" t="s">
        <v>391</v>
      </c>
      <c r="B15" s="17" t="str">
        <f t="shared" si="12"/>
        <v>PE 29:0</v>
      </c>
      <c r="C15" s="1" t="str">
        <f t="shared" si="13"/>
        <v>29</v>
      </c>
      <c r="D15" s="1" t="str">
        <f t="shared" si="14"/>
        <v>0</v>
      </c>
      <c r="E15" s="17" t="str">
        <f t="shared" si="15"/>
        <v>9</v>
      </c>
      <c r="G15" s="17">
        <f t="shared" si="16"/>
        <v>34</v>
      </c>
      <c r="H15" s="17">
        <f t="shared" si="17"/>
        <v>68</v>
      </c>
      <c r="I15" s="17">
        <v>1</v>
      </c>
      <c r="J15" s="17">
        <f t="shared" si="18"/>
        <v>8</v>
      </c>
      <c r="K15" s="17">
        <v>1</v>
      </c>
      <c r="L15" s="19" t="str">
        <f t="shared" si="19"/>
        <v>C34H68N1O8P1</v>
      </c>
      <c r="M15" s="19">
        <f t="shared" si="20"/>
        <v>649.46822980000002</v>
      </c>
      <c r="N15" s="19">
        <f t="shared" si="21"/>
        <v>650.47550440000009</v>
      </c>
      <c r="O15" s="19">
        <f t="shared" si="22"/>
        <v>632.46438440000009</v>
      </c>
      <c r="P15" s="19">
        <f t="shared" si="23"/>
        <v>667.50204980000001</v>
      </c>
      <c r="Q15" s="19">
        <f t="shared" si="24"/>
        <v>672.45744980000006</v>
      </c>
      <c r="R15" s="19">
        <f t="shared" si="25"/>
        <v>688.43138980000003</v>
      </c>
      <c r="S15" s="19">
        <f t="shared" si="26"/>
        <v>656.48368980000009</v>
      </c>
      <c r="T15" s="42">
        <f t="shared" si="27"/>
        <v>648.46095519999994</v>
      </c>
      <c r="U15" s="19">
        <f t="shared" si="28"/>
        <v>694.46644979999996</v>
      </c>
      <c r="V15" s="19">
        <f t="shared" si="29"/>
        <v>708.48209980000001</v>
      </c>
    </row>
    <row r="16" spans="1:22" x14ac:dyDescent="0.25">
      <c r="A16" s="17" t="s">
        <v>485</v>
      </c>
      <c r="B16" s="17" t="str">
        <f>IF(ISNUMBER(SEARCH("(",A16)),IF(ISNUMBER(SEARCH("/",A16)),CONCATENATE(MID(A16,1,2)," ",(SUM(MID(A16,FIND("(",A16)+1,FIND(":",A16)-FIND("(",A16)-1),MID(A16,FIND("/",A16)+1,FIND(":",A16,FIND("/",A16))-FIND("/",A16)-1))),":",SUM(MID(A16,FIND(":",A16)+1,FIND("/",A16)-FIND(":",A16)-1),MID(A16,FIND(":",A16,FIND("/",A16))+1,FIND(")",A16)-FIND(":",A16,FIND("/",A16))-1)),MID(A16,(FIND(")",A16)+1),100)),CONCATENATE(MID(A16,1,2)," ",(SUM(MID(A16,FIND("(",A16)+1,FIND(":",A16)-FIND("(",A16)-1),MID(A16,FIND("_",A16)+1,FIND(":",A16,FIND("_",A16))-FIND("_",A16)-1))),":",SUM(MID(A16,FIND(":",A16)+1,FIND("_",A16)-FIND(":",A16)-1),MID(A16,FIND(":",A16,FIND("_",A16))+1,FIND(")",A16)-FIND(":",A16,FIND("_",A16))-1)),MID(A16,(FIND(")",A16)+1),100))),A16)</f>
        <v>PE 30:2</v>
      </c>
      <c r="C16" s="1" t="str">
        <f>MID(B16,4,FIND(":",B16)-FIND(" ",B16)-1)</f>
        <v>30</v>
      </c>
      <c r="D16" s="1" t="str">
        <f>IF(ISNUMBER(SEARCH("__",B16)),MID(B16,FIND(":",B16)+1,FIND("__",B16)-FIND(":",B16)-1),MID(B16,FIND(":",B16)+1,7))</f>
        <v>2</v>
      </c>
      <c r="E16" s="17" t="str">
        <f t="shared" si="15"/>
        <v>0</v>
      </c>
      <c r="G16" s="17">
        <f t="shared" si="16"/>
        <v>35</v>
      </c>
      <c r="H16" s="17">
        <f>2*G16-(2*D16)-((LEN(A16)-LEN(SUBSTITUTE(A16,"_O_","")))/LEN("_O_"))*2-((LEN(A16)-LEN(SUBSTITUTE(A16,"_CHO_","")))/LEN("_CHO_"))*2-((LEN(A16)-LEN(SUBSTITUTE(A16,"_COOH_","")))/LEN("_COOH_"))*2</f>
        <v>66</v>
      </c>
      <c r="I16" s="17">
        <v>1</v>
      </c>
      <c r="J16" s="17">
        <f>8+((LEN(A16)-LEN(SUBSTITUTE(A16,"_OH_","")))/LEN("_OH_"))*1+((LEN(A16)-LEN(SUBSTITUTE(A16,"_OOH_","")))/LEN("_OOH_"))*2+((LEN(A16)-LEN(SUBSTITUTE(A16,"_O_","")))/LEN("_O_"))*1+((LEN(A16)-LEN(SUBSTITUTE(A16,"_CHO_","")))/LEN("_CHO_"))*1+((LEN(A16)-LEN(SUBSTITUTE(A16,"_COOH_","")))/LEN("_COOH_"))*2</f>
        <v>8</v>
      </c>
      <c r="K16" s="17">
        <v>1</v>
      </c>
      <c r="L16" s="19" t="str">
        <f t="shared" si="19"/>
        <v>C35H66N1O8P1</v>
      </c>
      <c r="M16" s="19">
        <f t="shared" si="20"/>
        <v>659.45258060000003</v>
      </c>
      <c r="N16" s="19">
        <f>M16+1.0078246-0.00055</f>
        <v>660.45985520000011</v>
      </c>
      <c r="O16" s="19">
        <f>N16-18.01057-0.00055</f>
        <v>642.4487352000001</v>
      </c>
      <c r="P16" s="19">
        <f>M16+18.03437-0.00055</f>
        <v>677.48640060000002</v>
      </c>
      <c r="Q16" s="19">
        <f>M16+22.98977-0.00055</f>
        <v>682.44180060000008</v>
      </c>
      <c r="R16" s="19">
        <f>M16+38.96371-0.00055</f>
        <v>698.41574060000005</v>
      </c>
      <c r="S16" s="19">
        <f>M16+7.01601-0.00055</f>
        <v>666.46804060000011</v>
      </c>
      <c r="T16" s="42">
        <f>M16-1.0078246+0.00055</f>
        <v>658.44530599999996</v>
      </c>
      <c r="U16" s="19">
        <f>M16+44.99767+0.00055</f>
        <v>704.45080059999998</v>
      </c>
      <c r="V16" s="19">
        <f>M16+59.01332+0.00055</f>
        <v>718.46645060000003</v>
      </c>
    </row>
    <row r="17" spans="1:22" x14ac:dyDescent="0.25">
      <c r="A17" s="17" t="s">
        <v>486</v>
      </c>
      <c r="B17" s="17" t="str">
        <f>IF(ISNUMBER(SEARCH("(",A17)),IF(ISNUMBER(SEARCH("/",A17)),CONCATENATE(MID(A17,1,2)," ",(SUM(MID(A17,FIND("(",A17)+1,FIND(":",A17)-FIND("(",A17)-1),MID(A17,FIND("/",A17)+1,FIND(":",A17,FIND("/",A17))-FIND("/",A17)-1))),":",SUM(MID(A17,FIND(":",A17)+1,FIND("/",A17)-FIND(":",A17)-1),MID(A17,FIND(":",A17,FIND("/",A17))+1,FIND(")",A17)-FIND(":",A17,FIND("/",A17))-1)),MID(A17,(FIND(")",A17)+1),100)),CONCATENATE(MID(A17,1,2)," ",(SUM(MID(A17,FIND("(",A17)+1,FIND(":",A17)-FIND("(",A17)-1),MID(A17,FIND("_",A17)+1,FIND(":",A17,FIND("_",A17))-FIND("_",A17)-1))),":",SUM(MID(A17,FIND(":",A17)+1,FIND("_",A17)-FIND(":",A17)-1),MID(A17,FIND(":",A17,FIND("_",A17))+1,FIND(")",A17)-FIND(":",A17,FIND("_",A17))-1)),MID(A17,(FIND(")",A17)+1),100))),A17)</f>
        <v>PE 30:1</v>
      </c>
      <c r="C17" s="1" t="str">
        <f>MID(B17,4,FIND(":",B17)-FIND(" ",B17)-1)</f>
        <v>30</v>
      </c>
      <c r="D17" s="1" t="str">
        <f>IF(ISNUMBER(SEARCH("__",B17)),MID(B17,FIND(":",B17)+1,FIND("__",B17)-FIND(":",B17)-1),MID(B17,FIND(":",B17)+1,7))</f>
        <v>1</v>
      </c>
      <c r="E17" s="17" t="str">
        <f t="shared" si="15"/>
        <v>0</v>
      </c>
      <c r="G17" s="17">
        <f t="shared" si="16"/>
        <v>35</v>
      </c>
      <c r="H17" s="17">
        <f>2*G17-(2*D17)-((LEN(A17)-LEN(SUBSTITUTE(A17,"_O_","")))/LEN("_O_"))*2-((LEN(A17)-LEN(SUBSTITUTE(A17,"_CHO_","")))/LEN("_CHO_"))*2-((LEN(A17)-LEN(SUBSTITUTE(A17,"_COOH_","")))/LEN("_COOH_"))*2</f>
        <v>68</v>
      </c>
      <c r="I17" s="17">
        <v>1</v>
      </c>
      <c r="J17" s="17">
        <f>8+((LEN(A17)-LEN(SUBSTITUTE(A17,"_OH_","")))/LEN("_OH_"))*1+((LEN(A17)-LEN(SUBSTITUTE(A17,"_OOH_","")))/LEN("_OOH_"))*2+((LEN(A17)-LEN(SUBSTITUTE(A17,"_O_","")))/LEN("_O_"))*1+((LEN(A17)-LEN(SUBSTITUTE(A17,"_CHO_","")))/LEN("_CHO_"))*1+((LEN(A17)-LEN(SUBSTITUTE(A17,"_COOH_","")))/LEN("_COOH_"))*2</f>
        <v>8</v>
      </c>
      <c r="K17" s="17">
        <v>1</v>
      </c>
      <c r="L17" s="19" t="str">
        <f t="shared" si="19"/>
        <v>C35H68N1O8P1</v>
      </c>
      <c r="M17" s="19">
        <f t="shared" si="20"/>
        <v>661.46822980000002</v>
      </c>
      <c r="N17" s="19">
        <f>M17+1.0078246-0.00055</f>
        <v>662.47550440000009</v>
      </c>
      <c r="O17" s="19">
        <f>N17-18.01057-0.00055</f>
        <v>644.46438440000009</v>
      </c>
      <c r="P17" s="19">
        <f>M17+18.03437-0.00055</f>
        <v>679.50204980000001</v>
      </c>
      <c r="Q17" s="19">
        <f>M17+22.98977-0.00055</f>
        <v>684.45744980000006</v>
      </c>
      <c r="R17" s="19">
        <f>M17+38.96371-0.00055</f>
        <v>700.43138980000003</v>
      </c>
      <c r="S17" s="19">
        <f>M17+7.01601-0.00055</f>
        <v>668.48368980000009</v>
      </c>
      <c r="T17" s="42">
        <f>M17-1.0078246+0.00055</f>
        <v>660.46095519999994</v>
      </c>
      <c r="U17" s="19">
        <f>M17+44.99767+0.00055</f>
        <v>706.46644979999996</v>
      </c>
      <c r="V17" s="19">
        <f>M17+59.01332+0.00055</f>
        <v>720.48209980000001</v>
      </c>
    </row>
    <row r="18" spans="1:22" x14ac:dyDescent="0.25">
      <c r="A18" s="17" t="s">
        <v>392</v>
      </c>
      <c r="B18" s="17" t="str">
        <f t="shared" si="12"/>
        <v>PE 30:0</v>
      </c>
      <c r="C18" s="1" t="str">
        <f t="shared" si="13"/>
        <v>30</v>
      </c>
      <c r="D18" s="1" t="str">
        <f t="shared" si="14"/>
        <v>0</v>
      </c>
      <c r="E18" s="17" t="str">
        <f t="shared" si="15"/>
        <v>0</v>
      </c>
      <c r="G18" s="17">
        <f t="shared" si="16"/>
        <v>35</v>
      </c>
      <c r="H18" s="17">
        <f t="shared" si="17"/>
        <v>70</v>
      </c>
      <c r="I18" s="17">
        <v>1</v>
      </c>
      <c r="J18" s="17">
        <f t="shared" si="18"/>
        <v>8</v>
      </c>
      <c r="K18" s="17">
        <v>1</v>
      </c>
      <c r="L18" s="19" t="str">
        <f t="shared" si="19"/>
        <v>C35H70N1O8P1</v>
      </c>
      <c r="M18" s="19">
        <f t="shared" si="20"/>
        <v>663.483879</v>
      </c>
      <c r="N18" s="19">
        <f t="shared" si="21"/>
        <v>664.49115360000008</v>
      </c>
      <c r="O18" s="19">
        <f t="shared" si="22"/>
        <v>646.48003360000007</v>
      </c>
      <c r="P18" s="19">
        <f t="shared" si="23"/>
        <v>681.51769899999999</v>
      </c>
      <c r="Q18" s="19">
        <f t="shared" si="24"/>
        <v>686.47309900000005</v>
      </c>
      <c r="R18" s="19">
        <f t="shared" si="25"/>
        <v>702.44703900000002</v>
      </c>
      <c r="S18" s="19">
        <f t="shared" si="26"/>
        <v>670.49933900000008</v>
      </c>
      <c r="T18" s="42">
        <f t="shared" si="27"/>
        <v>662.47660439999993</v>
      </c>
      <c r="U18" s="19">
        <f t="shared" si="28"/>
        <v>708.48209899999995</v>
      </c>
      <c r="V18" s="19">
        <f t="shared" si="29"/>
        <v>722.497749</v>
      </c>
    </row>
    <row r="19" spans="1:22" x14ac:dyDescent="0.25">
      <c r="A19" s="17" t="s">
        <v>487</v>
      </c>
      <c r="B19" s="17" t="str">
        <f>IF(ISNUMBER(SEARCH("(",A19)),IF(ISNUMBER(SEARCH("/",A19)),CONCATENATE(MID(A19,1,2)," ",(SUM(MID(A19,FIND("(",A19)+1,FIND(":",A19)-FIND("(",A19)-1),MID(A19,FIND("/",A19)+1,FIND(":",A19,FIND("/",A19))-FIND("/",A19)-1))),":",SUM(MID(A19,FIND(":",A19)+1,FIND("/",A19)-FIND(":",A19)-1),MID(A19,FIND(":",A19,FIND("/",A19))+1,FIND(")",A19)-FIND(":",A19,FIND("/",A19))-1)),MID(A19,(FIND(")",A19)+1),100)),CONCATENATE(MID(A19,1,2)," ",(SUM(MID(A19,FIND("(",A19)+1,FIND(":",A19)-FIND("(",A19)-1),MID(A19,FIND("_",A19)+1,FIND(":",A19,FIND("_",A19))-FIND("_",A19)-1))),":",SUM(MID(A19,FIND(":",A19)+1,FIND("_",A19)-FIND(":",A19)-1),MID(A19,FIND(":",A19,FIND("_",A19))+1,FIND(")",A19)-FIND(":",A19,FIND("_",A19))-1)),MID(A19,(FIND(")",A19)+1),100))),A19)</f>
        <v>PE 31:2</v>
      </c>
      <c r="C19" s="1" t="str">
        <f>MID(B19,4,FIND(":",B19)-FIND(" ",B19)-1)</f>
        <v>31</v>
      </c>
      <c r="D19" s="1" t="str">
        <f>IF(ISNUMBER(SEARCH("__",B19)),MID(B19,FIND(":",B19)+1,FIND("__",B19)-FIND(":",B19)-1),MID(B19,FIND(":",B19)+1,7))</f>
        <v>2</v>
      </c>
      <c r="E19" s="17" t="str">
        <f t="shared" si="15"/>
        <v>1</v>
      </c>
      <c r="G19" s="17">
        <f t="shared" si="16"/>
        <v>36</v>
      </c>
      <c r="H19" s="17">
        <f>2*G19-(2*D19)-((LEN(A19)-LEN(SUBSTITUTE(A19,"_O_","")))/LEN("_O_"))*2-((LEN(A19)-LEN(SUBSTITUTE(A19,"_CHO_","")))/LEN("_CHO_"))*2-((LEN(A19)-LEN(SUBSTITUTE(A19,"_COOH_","")))/LEN("_COOH_"))*2</f>
        <v>68</v>
      </c>
      <c r="I19" s="17">
        <v>1</v>
      </c>
      <c r="J19" s="17">
        <f>8+((LEN(A19)-LEN(SUBSTITUTE(A19,"_OH_","")))/LEN("_OH_"))*1+((LEN(A19)-LEN(SUBSTITUTE(A19,"_OOH_","")))/LEN("_OOH_"))*2+((LEN(A19)-LEN(SUBSTITUTE(A19,"_O_","")))/LEN("_O_"))*1+((LEN(A19)-LEN(SUBSTITUTE(A19,"_CHO_","")))/LEN("_CHO_"))*1+((LEN(A19)-LEN(SUBSTITUTE(A19,"_COOH_","")))/LEN("_COOH_"))*2</f>
        <v>8</v>
      </c>
      <c r="K19" s="17">
        <v>1</v>
      </c>
      <c r="L19" s="19" t="str">
        <f t="shared" si="19"/>
        <v>C36H68N1O8P1</v>
      </c>
      <c r="M19" s="19">
        <f t="shared" si="20"/>
        <v>673.46822980000002</v>
      </c>
      <c r="N19" s="19">
        <f>M19+1.0078246-0.00055</f>
        <v>674.47550440000009</v>
      </c>
      <c r="O19" s="19">
        <f>N19-18.01057-0.00055</f>
        <v>656.46438440000009</v>
      </c>
      <c r="P19" s="19">
        <f>M19+18.03437-0.00055</f>
        <v>691.50204980000001</v>
      </c>
      <c r="Q19" s="19">
        <f>M19+22.98977-0.00055</f>
        <v>696.45744980000006</v>
      </c>
      <c r="R19" s="19">
        <f>M19+38.96371-0.00055</f>
        <v>712.43138980000003</v>
      </c>
      <c r="S19" s="19">
        <f>M19+7.01601-0.00055</f>
        <v>680.48368980000009</v>
      </c>
      <c r="T19" s="42">
        <f>M19-1.0078246+0.00055</f>
        <v>672.46095519999994</v>
      </c>
      <c r="U19" s="19">
        <f>M19+44.99767+0.00055</f>
        <v>718.46644979999996</v>
      </c>
      <c r="V19" s="19">
        <f>M19+59.01332+0.00055</f>
        <v>732.48209980000001</v>
      </c>
    </row>
    <row r="20" spans="1:22" x14ac:dyDescent="0.25">
      <c r="A20" s="17" t="s">
        <v>488</v>
      </c>
      <c r="B20" s="17" t="str">
        <f>IF(ISNUMBER(SEARCH("(",A20)),IF(ISNUMBER(SEARCH("/",A20)),CONCATENATE(MID(A20,1,2)," ",(SUM(MID(A20,FIND("(",A20)+1,FIND(":",A20)-FIND("(",A20)-1),MID(A20,FIND("/",A20)+1,FIND(":",A20,FIND("/",A20))-FIND("/",A20)-1))),":",SUM(MID(A20,FIND(":",A20)+1,FIND("/",A20)-FIND(":",A20)-1),MID(A20,FIND(":",A20,FIND("/",A20))+1,FIND(")",A20)-FIND(":",A20,FIND("/",A20))-1)),MID(A20,(FIND(")",A20)+1),100)),CONCATENATE(MID(A20,1,2)," ",(SUM(MID(A20,FIND("(",A20)+1,FIND(":",A20)-FIND("(",A20)-1),MID(A20,FIND("_",A20)+1,FIND(":",A20,FIND("_",A20))-FIND("_",A20)-1))),":",SUM(MID(A20,FIND(":",A20)+1,FIND("_",A20)-FIND(":",A20)-1),MID(A20,FIND(":",A20,FIND("_",A20))+1,FIND(")",A20)-FIND(":",A20,FIND("_",A20))-1)),MID(A20,(FIND(")",A20)+1),100))),A20)</f>
        <v>PE 31:1</v>
      </c>
      <c r="C20" s="1" t="str">
        <f>MID(B20,4,FIND(":",B20)-FIND(" ",B20)-1)</f>
        <v>31</v>
      </c>
      <c r="D20" s="1" t="str">
        <f>IF(ISNUMBER(SEARCH("__",B20)),MID(B20,FIND(":",B20)+1,FIND("__",B20)-FIND(":",B20)-1),MID(B20,FIND(":",B20)+1,7))</f>
        <v>1</v>
      </c>
      <c r="E20" s="17" t="str">
        <f t="shared" si="15"/>
        <v>1</v>
      </c>
      <c r="G20" s="17">
        <f t="shared" si="16"/>
        <v>36</v>
      </c>
      <c r="H20" s="17">
        <f>2*G20-(2*D20)-((LEN(A20)-LEN(SUBSTITUTE(A20,"_O_","")))/LEN("_O_"))*2-((LEN(A20)-LEN(SUBSTITUTE(A20,"_CHO_","")))/LEN("_CHO_"))*2-((LEN(A20)-LEN(SUBSTITUTE(A20,"_COOH_","")))/LEN("_COOH_"))*2</f>
        <v>70</v>
      </c>
      <c r="I20" s="17">
        <v>1</v>
      </c>
      <c r="J20" s="17">
        <f>8+((LEN(A20)-LEN(SUBSTITUTE(A20,"_OH_","")))/LEN("_OH_"))*1+((LEN(A20)-LEN(SUBSTITUTE(A20,"_OOH_","")))/LEN("_OOH_"))*2+((LEN(A20)-LEN(SUBSTITUTE(A20,"_O_","")))/LEN("_O_"))*1+((LEN(A20)-LEN(SUBSTITUTE(A20,"_CHO_","")))/LEN("_CHO_"))*1+((LEN(A20)-LEN(SUBSTITUTE(A20,"_COOH_","")))/LEN("_COOH_"))*2</f>
        <v>8</v>
      </c>
      <c r="K20" s="17">
        <v>1</v>
      </c>
      <c r="L20" s="19" t="str">
        <f t="shared" si="19"/>
        <v>C36H70N1O8P1</v>
      </c>
      <c r="M20" s="19">
        <f t="shared" si="20"/>
        <v>675.483879</v>
      </c>
      <c r="N20" s="19">
        <f>M20+1.0078246-0.00055</f>
        <v>676.49115360000008</v>
      </c>
      <c r="O20" s="19">
        <f>N20-18.01057-0.00055</f>
        <v>658.48003360000007</v>
      </c>
      <c r="P20" s="19">
        <f>M20+18.03437-0.00055</f>
        <v>693.51769899999999</v>
      </c>
      <c r="Q20" s="19">
        <f>M20+22.98977-0.00055</f>
        <v>698.47309900000005</v>
      </c>
      <c r="R20" s="19">
        <f>M20+38.96371-0.00055</f>
        <v>714.44703900000002</v>
      </c>
      <c r="S20" s="19">
        <f>M20+7.01601-0.00055</f>
        <v>682.49933900000008</v>
      </c>
      <c r="T20" s="42">
        <f>M20-1.0078246+0.00055</f>
        <v>674.47660439999993</v>
      </c>
      <c r="U20" s="19">
        <f>M20+44.99767+0.00055</f>
        <v>720.48209899999995</v>
      </c>
      <c r="V20" s="19">
        <f>M20+59.01332+0.00055</f>
        <v>734.497749</v>
      </c>
    </row>
    <row r="21" spans="1:22" x14ac:dyDescent="0.25">
      <c r="A21" s="17" t="s">
        <v>393</v>
      </c>
      <c r="B21" s="17" t="str">
        <f t="shared" si="12"/>
        <v>PE 31:0</v>
      </c>
      <c r="C21" s="1" t="str">
        <f t="shared" si="13"/>
        <v>31</v>
      </c>
      <c r="D21" s="1" t="str">
        <f t="shared" si="14"/>
        <v>0</v>
      </c>
      <c r="E21" s="17" t="str">
        <f t="shared" si="15"/>
        <v>1</v>
      </c>
      <c r="G21" s="17">
        <f t="shared" si="16"/>
        <v>36</v>
      </c>
      <c r="H21" s="17">
        <f t="shared" si="17"/>
        <v>72</v>
      </c>
      <c r="I21" s="17">
        <v>1</v>
      </c>
      <c r="J21" s="17">
        <f t="shared" si="18"/>
        <v>8</v>
      </c>
      <c r="K21" s="17">
        <v>1</v>
      </c>
      <c r="L21" s="19" t="str">
        <f t="shared" si="19"/>
        <v>C36H72N1O8P1</v>
      </c>
      <c r="M21" s="19">
        <f t="shared" si="20"/>
        <v>677.49952819999999</v>
      </c>
      <c r="N21" s="19">
        <f t="shared" si="21"/>
        <v>678.50680280000006</v>
      </c>
      <c r="O21" s="19">
        <f t="shared" si="22"/>
        <v>660.49568280000005</v>
      </c>
      <c r="P21" s="19">
        <f t="shared" si="23"/>
        <v>695.53334819999998</v>
      </c>
      <c r="Q21" s="19">
        <f t="shared" si="24"/>
        <v>700.48874820000003</v>
      </c>
      <c r="R21" s="19">
        <f t="shared" si="25"/>
        <v>716.4626882</v>
      </c>
      <c r="S21" s="19">
        <f t="shared" si="26"/>
        <v>684.51498820000006</v>
      </c>
      <c r="T21" s="42">
        <f t="shared" si="27"/>
        <v>676.49225359999991</v>
      </c>
      <c r="U21" s="19">
        <f t="shared" si="28"/>
        <v>722.49774819999993</v>
      </c>
      <c r="V21" s="19">
        <f t="shared" si="29"/>
        <v>736.51339819999998</v>
      </c>
    </row>
    <row r="22" spans="1:22" x14ac:dyDescent="0.25">
      <c r="A22" s="17" t="s">
        <v>613</v>
      </c>
      <c r="B22" s="17" t="str">
        <f>IF(ISNUMBER(SEARCH("(",A22)),IF(ISNUMBER(SEARCH("/",A22)),CONCATENATE(MID(A22,1,2)," ",(SUM(MID(A22,FIND("(",A22)+1,FIND(":",A22)-FIND("(",A22)-1),MID(A22,FIND("/",A22)+1,FIND(":",A22,FIND("/",A22))-FIND("/",A22)-1))),":",SUM(MID(A22,FIND(":",A22)+1,FIND("/",A22)-FIND(":",A22)-1),MID(A22,FIND(":",A22,FIND("/",A22))+1,FIND(")",A22)-FIND(":",A22,FIND("/",A22))-1)),MID(A22,(FIND(")",A22)+1),100)),CONCATENATE(MID(A22,1,2)," ",(SUM(MID(A22,FIND("(",A22)+1,FIND(":",A22)-FIND("(",A22)-1),MID(A22,FIND("_",A22)+1,FIND(":",A22,FIND("_",A22))-FIND("_",A22)-1))),":",SUM(MID(A22,FIND(":",A22)+1,FIND("_",A22)-FIND(":",A22)-1),MID(A22,FIND(":",A22,FIND("_",A22))+1,FIND(")",A22)-FIND(":",A22,FIND("_",A22))-1)),MID(A22,(FIND(")",A22)+1),100))),A22)</f>
        <v>PE 32:3</v>
      </c>
      <c r="C22" s="1" t="str">
        <f>MID(B22,4,FIND(":",B22)-FIND(" ",B22)-1)</f>
        <v>32</v>
      </c>
      <c r="D22" s="1" t="str">
        <f>IF(ISNUMBER(SEARCH("__",B22)),MID(B22,FIND(":",B22)+1,FIND("__",B22)-FIND(":",B22)-1),MID(B22,FIND(":",B22)+1,7))</f>
        <v>3</v>
      </c>
      <c r="E22" s="17" t="str">
        <f t="shared" si="15"/>
        <v>2</v>
      </c>
      <c r="G22" s="17">
        <f t="shared" si="16"/>
        <v>37</v>
      </c>
      <c r="H22" s="17">
        <f>2*G22-(2*D22)-((LEN(A22)-LEN(SUBSTITUTE(A22,"_O_","")))/LEN("_O_"))*2-((LEN(A22)-LEN(SUBSTITUTE(A22,"_CHO_","")))/LEN("_CHO_"))*2-((LEN(A22)-LEN(SUBSTITUTE(A22,"_COOH_","")))/LEN("_COOH_"))*2</f>
        <v>68</v>
      </c>
      <c r="I22" s="17">
        <v>1</v>
      </c>
      <c r="J22" s="17">
        <f>8+((LEN(A22)-LEN(SUBSTITUTE(A22,"_OH_","")))/LEN("_OH_"))*1+((LEN(A22)-LEN(SUBSTITUTE(A22,"_OOH_","")))/LEN("_OOH_"))*2+((LEN(A22)-LEN(SUBSTITUTE(A22,"_O_","")))/LEN("_O_"))*1+((LEN(A22)-LEN(SUBSTITUTE(A22,"_CHO_","")))/LEN("_CHO_"))*1+((LEN(A22)-LEN(SUBSTITUTE(A22,"_COOH_","")))/LEN("_COOH_"))*2</f>
        <v>8</v>
      </c>
      <c r="K22" s="17">
        <v>1</v>
      </c>
      <c r="L22" s="19" t="str">
        <f t="shared" si="19"/>
        <v>C37H68N1O8P1</v>
      </c>
      <c r="M22" s="19">
        <f t="shared" si="20"/>
        <v>685.46822980000002</v>
      </c>
      <c r="N22" s="19">
        <f>M22+1.0078246-0.00055</f>
        <v>686.47550440000009</v>
      </c>
      <c r="O22" s="19">
        <f>N22-18.01057-0.00055</f>
        <v>668.46438440000009</v>
      </c>
      <c r="P22" s="19">
        <f>M22+18.03437-0.00055</f>
        <v>703.50204980000001</v>
      </c>
      <c r="Q22" s="19">
        <f>M22+22.98977-0.00055</f>
        <v>708.45744980000006</v>
      </c>
      <c r="R22" s="19">
        <f>M22+38.96371-0.00055</f>
        <v>724.43138980000003</v>
      </c>
      <c r="S22" s="19">
        <f>M22+7.01601-0.00055</f>
        <v>692.48368980000009</v>
      </c>
      <c r="T22" s="42">
        <f>M22-1.0078246+0.00055</f>
        <v>684.46095519999994</v>
      </c>
      <c r="U22" s="19">
        <f>M22+44.99767+0.00055</f>
        <v>730.46644979999996</v>
      </c>
      <c r="V22" s="19">
        <f>M22+59.01332+0.00055</f>
        <v>744.48209980000001</v>
      </c>
    </row>
    <row r="23" spans="1:22" x14ac:dyDescent="0.25">
      <c r="A23" s="17" t="s">
        <v>489</v>
      </c>
      <c r="B23" s="17" t="str">
        <f>IF(ISNUMBER(SEARCH("(",A23)),IF(ISNUMBER(SEARCH("/",A23)),CONCATENATE(MID(A23,1,2)," ",(SUM(MID(A23,FIND("(",A23)+1,FIND(":",A23)-FIND("(",A23)-1),MID(A23,FIND("/",A23)+1,FIND(":",A23,FIND("/",A23))-FIND("/",A23)-1))),":",SUM(MID(A23,FIND(":",A23)+1,FIND("/",A23)-FIND(":",A23)-1),MID(A23,FIND(":",A23,FIND("/",A23))+1,FIND(")",A23)-FIND(":",A23,FIND("/",A23))-1)),MID(A23,(FIND(")",A23)+1),100)),CONCATENATE(MID(A23,1,2)," ",(SUM(MID(A23,FIND("(",A23)+1,FIND(":",A23)-FIND("(",A23)-1),MID(A23,FIND("_",A23)+1,FIND(":",A23,FIND("_",A23))-FIND("_",A23)-1))),":",SUM(MID(A23,FIND(":",A23)+1,FIND("_",A23)-FIND(":",A23)-1),MID(A23,FIND(":",A23,FIND("_",A23))+1,FIND(")",A23)-FIND(":",A23,FIND("_",A23))-1)),MID(A23,(FIND(")",A23)+1),100))),A23)</f>
        <v>PE 32:2</v>
      </c>
      <c r="C23" s="1" t="str">
        <f>MID(B23,4,FIND(":",B23)-FIND(" ",B23)-1)</f>
        <v>32</v>
      </c>
      <c r="D23" s="1" t="str">
        <f>IF(ISNUMBER(SEARCH("__",B23)),MID(B23,FIND(":",B23)+1,FIND("__",B23)-FIND(":",B23)-1),MID(B23,FIND(":",B23)+1,7))</f>
        <v>2</v>
      </c>
      <c r="E23" s="17" t="str">
        <f t="shared" si="15"/>
        <v>2</v>
      </c>
      <c r="G23" s="17">
        <f t="shared" si="16"/>
        <v>37</v>
      </c>
      <c r="H23" s="17">
        <f>2*G23-(2*D23)-((LEN(A23)-LEN(SUBSTITUTE(A23,"_O_","")))/LEN("_O_"))*2-((LEN(A23)-LEN(SUBSTITUTE(A23,"_CHO_","")))/LEN("_CHO_"))*2-((LEN(A23)-LEN(SUBSTITUTE(A23,"_COOH_","")))/LEN("_COOH_"))*2</f>
        <v>70</v>
      </c>
      <c r="I23" s="17">
        <v>1</v>
      </c>
      <c r="J23" s="17">
        <f>8+((LEN(A23)-LEN(SUBSTITUTE(A23,"_OH_","")))/LEN("_OH_"))*1+((LEN(A23)-LEN(SUBSTITUTE(A23,"_OOH_","")))/LEN("_OOH_"))*2+((LEN(A23)-LEN(SUBSTITUTE(A23,"_O_","")))/LEN("_O_"))*1+((LEN(A23)-LEN(SUBSTITUTE(A23,"_CHO_","")))/LEN("_CHO_"))*1+((LEN(A23)-LEN(SUBSTITUTE(A23,"_COOH_","")))/LEN("_COOH_"))*2</f>
        <v>8</v>
      </c>
      <c r="K23" s="17">
        <v>1</v>
      </c>
      <c r="L23" s="19" t="str">
        <f t="shared" si="19"/>
        <v>C37H70N1O8P1</v>
      </c>
      <c r="M23" s="19">
        <f t="shared" si="20"/>
        <v>687.483879</v>
      </c>
      <c r="N23" s="19">
        <f>M23+1.0078246-0.00055</f>
        <v>688.49115360000008</v>
      </c>
      <c r="O23" s="19">
        <f>N23-18.01057-0.00055</f>
        <v>670.48003360000007</v>
      </c>
      <c r="P23" s="19">
        <f>M23+18.03437-0.00055</f>
        <v>705.51769899999999</v>
      </c>
      <c r="Q23" s="19">
        <f>M23+22.98977-0.00055</f>
        <v>710.47309900000005</v>
      </c>
      <c r="R23" s="19">
        <f>M23+38.96371-0.00055</f>
        <v>726.44703900000002</v>
      </c>
      <c r="S23" s="19">
        <f>M23+7.01601-0.00055</f>
        <v>694.49933900000008</v>
      </c>
      <c r="T23" s="42">
        <f>M23-1.0078246+0.00055</f>
        <v>686.47660439999993</v>
      </c>
      <c r="U23" s="19">
        <f>M23+44.99767+0.00055</f>
        <v>732.48209899999995</v>
      </c>
      <c r="V23" s="19">
        <f>M23+59.01332+0.00055</f>
        <v>746.497749</v>
      </c>
    </row>
    <row r="24" spans="1:22" x14ac:dyDescent="0.25">
      <c r="A24" s="17" t="s">
        <v>450</v>
      </c>
      <c r="B24" s="17" t="str">
        <f>IF(ISNUMBER(SEARCH("(",A24)),IF(ISNUMBER(SEARCH("/",A24)),CONCATENATE(MID(A24,1,2)," ",(SUM(MID(A24,FIND("(",A24)+1,FIND(":",A24)-FIND("(",A24)-1),MID(A24,FIND("/",A24)+1,FIND(":",A24,FIND("/",A24))-FIND("/",A24)-1))),":",SUM(MID(A24,FIND(":",A24)+1,FIND("/",A24)-FIND(":",A24)-1),MID(A24,FIND(":",A24,FIND("/",A24))+1,FIND(")",A24)-FIND(":",A24,FIND("/",A24))-1)),MID(A24,(FIND(")",A24)+1),100)),CONCATENATE(MID(A24,1,2)," ",(SUM(MID(A24,FIND("(",A24)+1,FIND(":",A24)-FIND("(",A24)-1),MID(A24,FIND("_",A24)+1,FIND(":",A24,FIND("_",A24))-FIND("_",A24)-1))),":",SUM(MID(A24,FIND(":",A24)+1,FIND("_",A24)-FIND(":",A24)-1),MID(A24,FIND(":",A24,FIND("_",A24))+1,FIND(")",A24)-FIND(":",A24,FIND("_",A24))-1)),MID(A24,(FIND(")",A24)+1),100))),A24)</f>
        <v>PE 32:1</v>
      </c>
      <c r="C24" s="1" t="str">
        <f>MID(B24,4,FIND(":",B24)-FIND(" ",B24)-1)</f>
        <v>32</v>
      </c>
      <c r="D24" s="1" t="str">
        <f>IF(ISNUMBER(SEARCH("__",B24)),MID(B24,FIND(":",B24)+1,FIND("__",B24)-FIND(":",B24)-1),MID(B24,FIND(":",B24)+1,7))</f>
        <v>1</v>
      </c>
      <c r="E24" s="17" t="str">
        <f t="shared" si="15"/>
        <v>2</v>
      </c>
      <c r="G24" s="17">
        <f t="shared" si="16"/>
        <v>37</v>
      </c>
      <c r="H24" s="17">
        <f>2*G24-(2*D24)-((LEN(A24)-LEN(SUBSTITUTE(A24,"_O_","")))/LEN("_O_"))*2-((LEN(A24)-LEN(SUBSTITUTE(A24,"_CHO_","")))/LEN("_CHO_"))*2-((LEN(A24)-LEN(SUBSTITUTE(A24,"_COOH_","")))/LEN("_COOH_"))*2</f>
        <v>72</v>
      </c>
      <c r="I24" s="17">
        <v>1</v>
      </c>
      <c r="J24" s="17">
        <f>8+((LEN(A24)-LEN(SUBSTITUTE(A24,"_OH_","")))/LEN("_OH_"))*1+((LEN(A24)-LEN(SUBSTITUTE(A24,"_OOH_","")))/LEN("_OOH_"))*2+((LEN(A24)-LEN(SUBSTITUTE(A24,"_O_","")))/LEN("_O_"))*1+((LEN(A24)-LEN(SUBSTITUTE(A24,"_CHO_","")))/LEN("_CHO_"))*1+((LEN(A24)-LEN(SUBSTITUTE(A24,"_COOH_","")))/LEN("_COOH_"))*2</f>
        <v>8</v>
      </c>
      <c r="K24" s="17">
        <v>1</v>
      </c>
      <c r="L24" s="19" t="str">
        <f t="shared" si="19"/>
        <v>C37H72N1O8P1</v>
      </c>
      <c r="M24" s="19">
        <f t="shared" si="20"/>
        <v>689.49952819999999</v>
      </c>
      <c r="N24" s="19">
        <f>M24+1.0078246-0.00055</f>
        <v>690.50680280000006</v>
      </c>
      <c r="O24" s="19">
        <f>N24-18.01057-0.00055</f>
        <v>672.49568280000005</v>
      </c>
      <c r="P24" s="19">
        <f>M24+18.03437-0.00055</f>
        <v>707.53334819999998</v>
      </c>
      <c r="Q24" s="19">
        <f>M24+22.98977-0.00055</f>
        <v>712.48874820000003</v>
      </c>
      <c r="R24" s="19">
        <f>M24+38.96371-0.00055</f>
        <v>728.4626882</v>
      </c>
      <c r="S24" s="19">
        <f>M24+7.01601-0.00055</f>
        <v>696.51498820000006</v>
      </c>
      <c r="T24" s="42">
        <f>M24-1.0078246+0.00055</f>
        <v>688.49225359999991</v>
      </c>
      <c r="U24" s="19">
        <f>M24+44.99767+0.00055</f>
        <v>734.49774819999993</v>
      </c>
      <c r="V24" s="19">
        <f>M24+59.01332+0.00055</f>
        <v>748.51339819999998</v>
      </c>
    </row>
    <row r="25" spans="1:22" x14ac:dyDescent="0.25">
      <c r="A25" s="17" t="s">
        <v>394</v>
      </c>
      <c r="B25" s="17" t="str">
        <f t="shared" si="12"/>
        <v>PE 32:0</v>
      </c>
      <c r="C25" s="1" t="str">
        <f t="shared" si="13"/>
        <v>32</v>
      </c>
      <c r="D25" s="1" t="str">
        <f t="shared" si="14"/>
        <v>0</v>
      </c>
      <c r="E25" s="17" t="str">
        <f t="shared" si="15"/>
        <v>2</v>
      </c>
      <c r="G25" s="17">
        <f t="shared" si="16"/>
        <v>37</v>
      </c>
      <c r="H25" s="17">
        <f t="shared" si="17"/>
        <v>74</v>
      </c>
      <c r="I25" s="17">
        <v>1</v>
      </c>
      <c r="J25" s="17">
        <f t="shared" si="18"/>
        <v>8</v>
      </c>
      <c r="K25" s="17">
        <v>1</v>
      </c>
      <c r="L25" s="19" t="str">
        <f t="shared" si="19"/>
        <v>C37H74N1O8P1</v>
      </c>
      <c r="M25" s="19">
        <f t="shared" si="20"/>
        <v>691.51517739999997</v>
      </c>
      <c r="N25" s="19">
        <f t="shared" si="21"/>
        <v>692.52245200000004</v>
      </c>
      <c r="O25" s="19">
        <f t="shared" si="22"/>
        <v>674.51133200000004</v>
      </c>
      <c r="P25" s="19">
        <f t="shared" si="23"/>
        <v>709.54899739999996</v>
      </c>
      <c r="Q25" s="19">
        <f t="shared" si="24"/>
        <v>714.50439740000002</v>
      </c>
      <c r="R25" s="19">
        <f t="shared" si="25"/>
        <v>730.47833739999999</v>
      </c>
      <c r="S25" s="19">
        <f t="shared" si="26"/>
        <v>698.53063740000005</v>
      </c>
      <c r="T25" s="42">
        <f t="shared" si="27"/>
        <v>690.5079027999999</v>
      </c>
      <c r="U25" s="19">
        <f t="shared" si="28"/>
        <v>736.51339739999992</v>
      </c>
      <c r="V25" s="19">
        <f t="shared" si="29"/>
        <v>750.52904739999997</v>
      </c>
    </row>
    <row r="26" spans="1:22" x14ac:dyDescent="0.25">
      <c r="A26" s="17" t="s">
        <v>490</v>
      </c>
      <c r="B26" s="17" t="str">
        <f>IF(ISNUMBER(SEARCH("(",A26)),IF(ISNUMBER(SEARCH("/",A26)),CONCATENATE(MID(A26,1,2)," ",(SUM(MID(A26,FIND("(",A26)+1,FIND(":",A26)-FIND("(",A26)-1),MID(A26,FIND("/",A26)+1,FIND(":",A26,FIND("/",A26))-FIND("/",A26)-1))),":",SUM(MID(A26,FIND(":",A26)+1,FIND("/",A26)-FIND(":",A26)-1),MID(A26,FIND(":",A26,FIND("/",A26))+1,FIND(")",A26)-FIND(":",A26,FIND("/",A26))-1)),MID(A26,(FIND(")",A26)+1),100)),CONCATENATE(MID(A26,1,2)," ",(SUM(MID(A26,FIND("(",A26)+1,FIND(":",A26)-FIND("(",A26)-1),MID(A26,FIND("_",A26)+1,FIND(":",A26,FIND("_",A26))-FIND("_",A26)-1))),":",SUM(MID(A26,FIND(":",A26)+1,FIND("_",A26)-FIND(":",A26)-1),MID(A26,FIND(":",A26,FIND("_",A26))+1,FIND(")",A26)-FIND(":",A26,FIND("_",A26))-1)),MID(A26,(FIND(")",A26)+1),100))),A26)</f>
        <v>PE 33:2</v>
      </c>
      <c r="C26" s="1" t="str">
        <f>MID(B26,4,FIND(":",B26)-FIND(" ",B26)-1)</f>
        <v>33</v>
      </c>
      <c r="D26" s="1" t="str">
        <f>IF(ISNUMBER(SEARCH("__",B26)),MID(B26,FIND(":",B26)+1,FIND("__",B26)-FIND(":",B26)-1),MID(B26,FIND(":",B26)+1,7))</f>
        <v>2</v>
      </c>
      <c r="E26" s="17" t="str">
        <f t="shared" si="15"/>
        <v>3</v>
      </c>
      <c r="G26" s="17">
        <f t="shared" si="16"/>
        <v>38</v>
      </c>
      <c r="H26" s="17">
        <f>2*G26-(2*D26)-((LEN(A26)-LEN(SUBSTITUTE(A26,"_O_","")))/LEN("_O_"))*2-((LEN(A26)-LEN(SUBSTITUTE(A26,"_CHO_","")))/LEN("_CHO_"))*2-((LEN(A26)-LEN(SUBSTITUTE(A26,"_COOH_","")))/LEN("_COOH_"))*2</f>
        <v>72</v>
      </c>
      <c r="I26" s="17">
        <v>1</v>
      </c>
      <c r="J26" s="17">
        <f>8+((LEN(A26)-LEN(SUBSTITUTE(A26,"_OH_","")))/LEN("_OH_"))*1+((LEN(A26)-LEN(SUBSTITUTE(A26,"_OOH_","")))/LEN("_OOH_"))*2+((LEN(A26)-LEN(SUBSTITUTE(A26,"_O_","")))/LEN("_O_"))*1+((LEN(A26)-LEN(SUBSTITUTE(A26,"_CHO_","")))/LEN("_CHO_"))*1+((LEN(A26)-LEN(SUBSTITUTE(A26,"_COOH_","")))/LEN("_COOH_"))*2</f>
        <v>8</v>
      </c>
      <c r="K26" s="17">
        <v>1</v>
      </c>
      <c r="L26" s="19" t="str">
        <f t="shared" si="19"/>
        <v>C38H72N1O8P1</v>
      </c>
      <c r="M26" s="19">
        <f t="shared" si="20"/>
        <v>701.49952819999999</v>
      </c>
      <c r="N26" s="19">
        <f>M26+1.0078246-0.00055</f>
        <v>702.50680280000006</v>
      </c>
      <c r="O26" s="19">
        <f>N26-18.01057-0.00055</f>
        <v>684.49568280000005</v>
      </c>
      <c r="P26" s="19">
        <f>M26+18.03437-0.00055</f>
        <v>719.53334819999998</v>
      </c>
      <c r="Q26" s="19">
        <f>M26+22.98977-0.00055</f>
        <v>724.48874820000003</v>
      </c>
      <c r="R26" s="19">
        <f>M26+38.96371-0.00055</f>
        <v>740.4626882</v>
      </c>
      <c r="S26" s="19">
        <f>M26+7.01601-0.00055</f>
        <v>708.51498820000006</v>
      </c>
      <c r="T26" s="42">
        <f>M26-1.0078246+0.00055</f>
        <v>700.49225359999991</v>
      </c>
      <c r="U26" s="19">
        <f>M26+44.99767+0.00055</f>
        <v>746.49774819999993</v>
      </c>
      <c r="V26" s="19">
        <f>M26+59.01332+0.00055</f>
        <v>760.51339819999998</v>
      </c>
    </row>
    <row r="27" spans="1:22" x14ac:dyDescent="0.25">
      <c r="A27" s="17" t="s">
        <v>491</v>
      </c>
      <c r="B27" s="17" t="str">
        <f>IF(ISNUMBER(SEARCH("(",A27)),IF(ISNUMBER(SEARCH("/",A27)),CONCATENATE(MID(A27,1,2)," ",(SUM(MID(A27,FIND("(",A27)+1,FIND(":",A27)-FIND("(",A27)-1),MID(A27,FIND("/",A27)+1,FIND(":",A27,FIND("/",A27))-FIND("/",A27)-1))),":",SUM(MID(A27,FIND(":",A27)+1,FIND("/",A27)-FIND(":",A27)-1),MID(A27,FIND(":",A27,FIND("/",A27))+1,FIND(")",A27)-FIND(":",A27,FIND("/",A27))-1)),MID(A27,(FIND(")",A27)+1),100)),CONCATENATE(MID(A27,1,2)," ",(SUM(MID(A27,FIND("(",A27)+1,FIND(":",A27)-FIND("(",A27)-1),MID(A27,FIND("_",A27)+1,FIND(":",A27,FIND("_",A27))-FIND("_",A27)-1))),":",SUM(MID(A27,FIND(":",A27)+1,FIND("_",A27)-FIND(":",A27)-1),MID(A27,FIND(":",A27,FIND("_",A27))+1,FIND(")",A27)-FIND(":",A27,FIND("_",A27))-1)),MID(A27,(FIND(")",A27)+1),100))),A27)</f>
        <v>PE 33:1</v>
      </c>
      <c r="C27" s="1" t="str">
        <f>MID(B27,4,FIND(":",B27)-FIND(" ",B27)-1)</f>
        <v>33</v>
      </c>
      <c r="D27" s="1" t="str">
        <f>IF(ISNUMBER(SEARCH("__",B27)),MID(B27,FIND(":",B27)+1,FIND("__",B27)-FIND(":",B27)-1),MID(B27,FIND(":",B27)+1,7))</f>
        <v>1</v>
      </c>
      <c r="E27" s="17" t="str">
        <f t="shared" si="15"/>
        <v>3</v>
      </c>
      <c r="G27" s="17">
        <f t="shared" si="16"/>
        <v>38</v>
      </c>
      <c r="H27" s="17">
        <f>2*G27-(2*D27)-((LEN(A27)-LEN(SUBSTITUTE(A27,"_O_","")))/LEN("_O_"))*2-((LEN(A27)-LEN(SUBSTITUTE(A27,"_CHO_","")))/LEN("_CHO_"))*2-((LEN(A27)-LEN(SUBSTITUTE(A27,"_COOH_","")))/LEN("_COOH_"))*2</f>
        <v>74</v>
      </c>
      <c r="I27" s="17">
        <v>1</v>
      </c>
      <c r="J27" s="17">
        <f>8+((LEN(A27)-LEN(SUBSTITUTE(A27,"_OH_","")))/LEN("_OH_"))*1+((LEN(A27)-LEN(SUBSTITUTE(A27,"_OOH_","")))/LEN("_OOH_"))*2+((LEN(A27)-LEN(SUBSTITUTE(A27,"_O_","")))/LEN("_O_"))*1+((LEN(A27)-LEN(SUBSTITUTE(A27,"_CHO_","")))/LEN("_CHO_"))*1+((LEN(A27)-LEN(SUBSTITUTE(A27,"_COOH_","")))/LEN("_COOH_"))*2</f>
        <v>8</v>
      </c>
      <c r="K27" s="17">
        <v>1</v>
      </c>
      <c r="L27" s="19" t="str">
        <f t="shared" si="19"/>
        <v>C38H74N1O8P1</v>
      </c>
      <c r="M27" s="19">
        <f t="shared" si="20"/>
        <v>703.51517739999997</v>
      </c>
      <c r="N27" s="19">
        <f>M27+1.0078246-0.00055</f>
        <v>704.52245200000004</v>
      </c>
      <c r="O27" s="19">
        <f>N27-18.01057-0.00055</f>
        <v>686.51133200000004</v>
      </c>
      <c r="P27" s="19">
        <f>M27+18.03437-0.00055</f>
        <v>721.54899739999996</v>
      </c>
      <c r="Q27" s="19">
        <f>M27+22.98977-0.00055</f>
        <v>726.50439740000002</v>
      </c>
      <c r="R27" s="19">
        <f>M27+38.96371-0.00055</f>
        <v>742.47833739999999</v>
      </c>
      <c r="S27" s="19">
        <f>M27+7.01601-0.00055</f>
        <v>710.53063740000005</v>
      </c>
      <c r="T27" s="42">
        <f>M27-1.0078246+0.00055</f>
        <v>702.5079027999999</v>
      </c>
      <c r="U27" s="19">
        <f>M27+44.99767+0.00055</f>
        <v>748.51339739999992</v>
      </c>
      <c r="V27" s="19">
        <f>M27+59.01332+0.00055</f>
        <v>762.52904739999997</v>
      </c>
    </row>
    <row r="28" spans="1:22" x14ac:dyDescent="0.25">
      <c r="A28" s="17" t="s">
        <v>395</v>
      </c>
      <c r="B28" s="17" t="str">
        <f t="shared" si="12"/>
        <v>PE 33:0</v>
      </c>
      <c r="C28" s="1" t="str">
        <f t="shared" si="13"/>
        <v>33</v>
      </c>
      <c r="D28" s="1" t="str">
        <f t="shared" si="14"/>
        <v>0</v>
      </c>
      <c r="E28" s="17" t="str">
        <f t="shared" si="15"/>
        <v>3</v>
      </c>
      <c r="G28" s="17">
        <f t="shared" si="16"/>
        <v>38</v>
      </c>
      <c r="H28" s="17">
        <f t="shared" si="17"/>
        <v>76</v>
      </c>
      <c r="I28" s="17">
        <v>1</v>
      </c>
      <c r="J28" s="17">
        <f t="shared" si="18"/>
        <v>8</v>
      </c>
      <c r="K28" s="17">
        <v>1</v>
      </c>
      <c r="L28" s="19" t="str">
        <f t="shared" si="19"/>
        <v>C38H76N1O8P1</v>
      </c>
      <c r="M28" s="19">
        <f t="shared" si="20"/>
        <v>705.53082659999995</v>
      </c>
      <c r="N28" s="19">
        <f t="shared" si="21"/>
        <v>706.53810120000003</v>
      </c>
      <c r="O28" s="19">
        <f t="shared" si="22"/>
        <v>688.52698120000002</v>
      </c>
      <c r="P28" s="19">
        <f t="shared" si="23"/>
        <v>723.56464659999995</v>
      </c>
      <c r="Q28" s="19">
        <f t="shared" si="24"/>
        <v>728.5200466</v>
      </c>
      <c r="R28" s="19">
        <f t="shared" si="25"/>
        <v>744.49398659999997</v>
      </c>
      <c r="S28" s="19">
        <f t="shared" si="26"/>
        <v>712.54628660000003</v>
      </c>
      <c r="T28" s="42">
        <f t="shared" si="27"/>
        <v>704.52355199999988</v>
      </c>
      <c r="U28" s="19">
        <f t="shared" si="28"/>
        <v>750.5290465999999</v>
      </c>
      <c r="V28" s="19">
        <f t="shared" si="29"/>
        <v>764.54469659999995</v>
      </c>
    </row>
    <row r="29" spans="1:22" x14ac:dyDescent="0.25">
      <c r="A29" s="17" t="s">
        <v>449</v>
      </c>
      <c r="B29" s="17" t="str">
        <f>IF(ISNUMBER(SEARCH("(",A29)),IF(ISNUMBER(SEARCH("/",A29)),CONCATENATE(MID(A29,1,2)," ",(SUM(MID(A29,FIND("(",A29)+1,FIND(":",A29)-FIND("(",A29)-1),MID(A29,FIND("/",A29)+1,FIND(":",A29,FIND("/",A29))-FIND("/",A29)-1))),":",SUM(MID(A29,FIND(":",A29)+1,FIND("/",A29)-FIND(":",A29)-1),MID(A29,FIND(":",A29,FIND("/",A29))+1,FIND(")",A29)-FIND(":",A29,FIND("/",A29))-1)),MID(A29,(FIND(")",A29)+1),100)),CONCATENATE(MID(A29,1,2)," ",(SUM(MID(A29,FIND("(",A29)+1,FIND(":",A29)-FIND("(",A29)-1),MID(A29,FIND("_",A29)+1,FIND(":",A29,FIND("_",A29))-FIND("_",A29)-1))),":",SUM(MID(A29,FIND(":",A29)+1,FIND("_",A29)-FIND(":",A29)-1),MID(A29,FIND(":",A29,FIND("_",A29))+1,FIND(")",A29)-FIND(":",A29,FIND("_",A29))-1)),MID(A29,(FIND(")",A29)+1),100))),A29)</f>
        <v>PE 34:2</v>
      </c>
      <c r="C29" s="1" t="str">
        <f>MID(B29,4,FIND(":",B29)-FIND(" ",B29)-1)</f>
        <v>34</v>
      </c>
      <c r="D29" s="1" t="str">
        <f>IF(ISNUMBER(SEARCH("__",B29)),MID(B29,FIND(":",B29)+1,FIND("__",B29)-FIND(":",B29)-1),MID(B29,FIND(":",B29)+1,7))</f>
        <v>2</v>
      </c>
      <c r="E29" s="17" t="str">
        <f t="shared" si="15"/>
        <v>4</v>
      </c>
      <c r="G29" s="17">
        <f t="shared" si="16"/>
        <v>39</v>
      </c>
      <c r="H29" s="17">
        <f>2*G29-(2*D29)-((LEN(A29)-LEN(SUBSTITUTE(A29,"_O_","")))/LEN("_O_"))*2-((LEN(A29)-LEN(SUBSTITUTE(A29,"_CHO_","")))/LEN("_CHO_"))*2-((LEN(A29)-LEN(SUBSTITUTE(A29,"_COOH_","")))/LEN("_COOH_"))*2</f>
        <v>74</v>
      </c>
      <c r="I29" s="17">
        <v>1</v>
      </c>
      <c r="J29" s="17">
        <f>8+((LEN(A29)-LEN(SUBSTITUTE(A29,"_OH_","")))/LEN("_OH_"))*1+((LEN(A29)-LEN(SUBSTITUTE(A29,"_OOH_","")))/LEN("_OOH_"))*2+((LEN(A29)-LEN(SUBSTITUTE(A29,"_O_","")))/LEN("_O_"))*1+((LEN(A29)-LEN(SUBSTITUTE(A29,"_CHO_","")))/LEN("_CHO_"))*1+((LEN(A29)-LEN(SUBSTITUTE(A29,"_COOH_","")))/LEN("_COOH_"))*2</f>
        <v>8</v>
      </c>
      <c r="K29" s="17">
        <v>1</v>
      </c>
      <c r="L29" s="19" t="str">
        <f t="shared" si="19"/>
        <v>C39H74N1O8P1</v>
      </c>
      <c r="M29" s="19">
        <f t="shared" si="20"/>
        <v>715.51517739999997</v>
      </c>
      <c r="N29" s="19">
        <f>M29+1.0078246-0.00055</f>
        <v>716.52245200000004</v>
      </c>
      <c r="O29" s="19">
        <f>N29-18.01057-0.00055</f>
        <v>698.51133200000004</v>
      </c>
      <c r="P29" s="19">
        <f>M29+18.03437-0.00055</f>
        <v>733.54899739999996</v>
      </c>
      <c r="Q29" s="19">
        <f>M29+22.98977-0.00055</f>
        <v>738.50439740000002</v>
      </c>
      <c r="R29" s="19">
        <f>M29+38.96371-0.00055</f>
        <v>754.47833739999999</v>
      </c>
      <c r="S29" s="19">
        <f>M29+7.01601-0.00055</f>
        <v>722.53063740000005</v>
      </c>
      <c r="T29" s="42">
        <f>M29-1.0078246+0.00055</f>
        <v>714.5079027999999</v>
      </c>
      <c r="U29" s="19">
        <f>M29+44.99767+0.00055</f>
        <v>760.51339739999992</v>
      </c>
      <c r="V29" s="19">
        <f>M29+59.01332+0.00055</f>
        <v>774.52904739999997</v>
      </c>
    </row>
    <row r="30" spans="1:22" x14ac:dyDescent="0.25">
      <c r="A30" s="17" t="s">
        <v>492</v>
      </c>
      <c r="B30" s="17" t="str">
        <f>IF(ISNUMBER(SEARCH("(",A30)),IF(ISNUMBER(SEARCH("/",A30)),CONCATENATE(MID(A30,1,2)," ",(SUM(MID(A30,FIND("(",A30)+1,FIND(":",A30)-FIND("(",A30)-1),MID(A30,FIND("/",A30)+1,FIND(":",A30,FIND("/",A30))-FIND("/",A30)-1))),":",SUM(MID(A30,FIND(":",A30)+1,FIND("/",A30)-FIND(":",A30)-1),MID(A30,FIND(":",A30,FIND("/",A30))+1,FIND(")",A30)-FIND(":",A30,FIND("/",A30))-1)),MID(A30,(FIND(")",A30)+1),100)),CONCATENATE(MID(A30,1,2)," ",(SUM(MID(A30,FIND("(",A30)+1,FIND(":",A30)-FIND("(",A30)-1),MID(A30,FIND("_",A30)+1,FIND(":",A30,FIND("_",A30))-FIND("_",A30)-1))),":",SUM(MID(A30,FIND(":",A30)+1,FIND("_",A30)-FIND(":",A30)-1),MID(A30,FIND(":",A30,FIND("_",A30))+1,FIND(")",A30)-FIND(":",A30,FIND("_",A30))-1)),MID(A30,(FIND(")",A30)+1),100))),A30)</f>
        <v>PE 34:1</v>
      </c>
      <c r="C30" s="1" t="str">
        <f>MID(B30,4,FIND(":",B30)-FIND(" ",B30)-1)</f>
        <v>34</v>
      </c>
      <c r="D30" s="1" t="str">
        <f>IF(ISNUMBER(SEARCH("__",B30)),MID(B30,FIND(":",B30)+1,FIND("__",B30)-FIND(":",B30)-1),MID(B30,FIND(":",B30)+1,7))</f>
        <v>1</v>
      </c>
      <c r="E30" s="17" t="str">
        <f t="shared" si="15"/>
        <v>4</v>
      </c>
      <c r="G30" s="17">
        <f t="shared" si="16"/>
        <v>39</v>
      </c>
      <c r="H30" s="17">
        <f>2*G30-(2*D30)-((LEN(A30)-LEN(SUBSTITUTE(A30,"_O_","")))/LEN("_O_"))*2-((LEN(A30)-LEN(SUBSTITUTE(A30,"_CHO_","")))/LEN("_CHO_"))*2-((LEN(A30)-LEN(SUBSTITUTE(A30,"_COOH_","")))/LEN("_COOH_"))*2</f>
        <v>76</v>
      </c>
      <c r="I30" s="17">
        <v>1</v>
      </c>
      <c r="J30" s="17">
        <f>8+((LEN(A30)-LEN(SUBSTITUTE(A30,"_OH_","")))/LEN("_OH_"))*1+((LEN(A30)-LEN(SUBSTITUTE(A30,"_OOH_","")))/LEN("_OOH_"))*2+((LEN(A30)-LEN(SUBSTITUTE(A30,"_O_","")))/LEN("_O_"))*1+((LEN(A30)-LEN(SUBSTITUTE(A30,"_CHO_","")))/LEN("_CHO_"))*1+((LEN(A30)-LEN(SUBSTITUTE(A30,"_COOH_","")))/LEN("_COOH_"))*2</f>
        <v>8</v>
      </c>
      <c r="K30" s="17">
        <v>1</v>
      </c>
      <c r="L30" s="19" t="str">
        <f t="shared" si="19"/>
        <v>C39H76N1O8P1</v>
      </c>
      <c r="M30" s="19">
        <f t="shared" si="20"/>
        <v>717.53082659999995</v>
      </c>
      <c r="N30" s="19">
        <f>M30+1.0078246-0.00055</f>
        <v>718.53810120000003</v>
      </c>
      <c r="O30" s="19">
        <f>N30-18.01057-0.00055</f>
        <v>700.52698120000002</v>
      </c>
      <c r="P30" s="19">
        <f>M30+18.03437-0.00055</f>
        <v>735.56464659999995</v>
      </c>
      <c r="Q30" s="19">
        <f>M30+22.98977-0.00055</f>
        <v>740.5200466</v>
      </c>
      <c r="R30" s="19">
        <f>M30+38.96371-0.00055</f>
        <v>756.49398659999997</v>
      </c>
      <c r="S30" s="19">
        <f>M30+7.01601-0.00055</f>
        <v>724.54628660000003</v>
      </c>
      <c r="T30" s="42">
        <f>M30-1.0078246+0.00055</f>
        <v>716.52355199999988</v>
      </c>
      <c r="U30" s="19">
        <f>M30+44.99767+0.00055</f>
        <v>762.5290465999999</v>
      </c>
      <c r="V30" s="19">
        <f>M30+59.01332+0.00055</f>
        <v>776.54469659999995</v>
      </c>
    </row>
    <row r="31" spans="1:22" x14ac:dyDescent="0.25">
      <c r="A31" s="17" t="s">
        <v>396</v>
      </c>
      <c r="B31" s="17" t="str">
        <f t="shared" si="12"/>
        <v>PE 34:0</v>
      </c>
      <c r="C31" s="1" t="str">
        <f t="shared" si="13"/>
        <v>34</v>
      </c>
      <c r="D31" s="1" t="str">
        <f t="shared" si="14"/>
        <v>0</v>
      </c>
      <c r="E31" s="17" t="str">
        <f t="shared" si="15"/>
        <v>4</v>
      </c>
      <c r="G31" s="17">
        <f t="shared" si="16"/>
        <v>39</v>
      </c>
      <c r="H31" s="17">
        <f t="shared" si="17"/>
        <v>78</v>
      </c>
      <c r="I31" s="17">
        <v>1</v>
      </c>
      <c r="J31" s="17">
        <f t="shared" si="18"/>
        <v>8</v>
      </c>
      <c r="K31" s="17">
        <v>1</v>
      </c>
      <c r="L31" s="19" t="str">
        <f t="shared" si="19"/>
        <v>C39H78N1O8P1</v>
      </c>
      <c r="M31" s="19">
        <f t="shared" si="20"/>
        <v>719.54647579999994</v>
      </c>
      <c r="N31" s="19">
        <f t="shared" si="21"/>
        <v>720.55375040000001</v>
      </c>
      <c r="O31" s="19">
        <f t="shared" si="22"/>
        <v>702.54263040000001</v>
      </c>
      <c r="P31" s="19">
        <f t="shared" si="23"/>
        <v>737.58029579999993</v>
      </c>
      <c r="Q31" s="19">
        <f t="shared" si="24"/>
        <v>742.53569579999998</v>
      </c>
      <c r="R31" s="19">
        <f t="shared" si="25"/>
        <v>758.50963579999996</v>
      </c>
      <c r="S31" s="19">
        <f t="shared" si="26"/>
        <v>726.56193580000001</v>
      </c>
      <c r="T31" s="42">
        <f t="shared" si="27"/>
        <v>718.53920119999987</v>
      </c>
      <c r="U31" s="19">
        <f t="shared" si="28"/>
        <v>764.54469579999989</v>
      </c>
      <c r="V31" s="19">
        <f t="shared" si="29"/>
        <v>778.56034579999994</v>
      </c>
    </row>
    <row r="32" spans="1:22" x14ac:dyDescent="0.25">
      <c r="A32" s="17" t="s">
        <v>493</v>
      </c>
      <c r="B32" s="17" t="str">
        <f>IF(ISNUMBER(SEARCH("(",A32)),IF(ISNUMBER(SEARCH("/",A32)),CONCATENATE(MID(A32,1,2)," ",(SUM(MID(A32,FIND("(",A32)+1,FIND(":",A32)-FIND("(",A32)-1),MID(A32,FIND("/",A32)+1,FIND(":",A32,FIND("/",A32))-FIND("/",A32)-1))),":",SUM(MID(A32,FIND(":",A32)+1,FIND("/",A32)-FIND(":",A32)-1),MID(A32,FIND(":",A32,FIND("/",A32))+1,FIND(")",A32)-FIND(":",A32,FIND("/",A32))-1)),MID(A32,(FIND(")",A32)+1),100)),CONCATENATE(MID(A32,1,2)," ",(SUM(MID(A32,FIND("(",A32)+1,FIND(":",A32)-FIND("(",A32)-1),MID(A32,FIND("_",A32)+1,FIND(":",A32,FIND("_",A32))-FIND("_",A32)-1))),":",SUM(MID(A32,FIND(":",A32)+1,FIND("_",A32)-FIND(":",A32)-1),MID(A32,FIND(":",A32,FIND("_",A32))+1,FIND(")",A32)-FIND(":",A32,FIND("_",A32))-1)),MID(A32,(FIND(")",A32)+1),100))),A32)</f>
        <v>PE 35:2</v>
      </c>
      <c r="C32" s="1" t="str">
        <f>MID(B32,4,FIND(":",B32)-FIND(" ",B32)-1)</f>
        <v>35</v>
      </c>
      <c r="D32" s="1" t="str">
        <f>IF(ISNUMBER(SEARCH("__",B32)),MID(B32,FIND(":",B32)+1,FIND("__",B32)-FIND(":",B32)-1),MID(B32,FIND(":",B32)+1,7))</f>
        <v>2</v>
      </c>
      <c r="E32" s="17" t="str">
        <f t="shared" si="15"/>
        <v>5</v>
      </c>
      <c r="G32" s="17">
        <f t="shared" si="16"/>
        <v>40</v>
      </c>
      <c r="H32" s="17">
        <f>2*G32-(2*D32)-((LEN(A32)-LEN(SUBSTITUTE(A32,"_O_","")))/LEN("_O_"))*2-((LEN(A32)-LEN(SUBSTITUTE(A32,"_CHO_","")))/LEN("_CHO_"))*2-((LEN(A32)-LEN(SUBSTITUTE(A32,"_COOH_","")))/LEN("_COOH_"))*2</f>
        <v>76</v>
      </c>
      <c r="I32" s="17">
        <v>1</v>
      </c>
      <c r="J32" s="17">
        <f>8+((LEN(A32)-LEN(SUBSTITUTE(A32,"_OH_","")))/LEN("_OH_"))*1+((LEN(A32)-LEN(SUBSTITUTE(A32,"_OOH_","")))/LEN("_OOH_"))*2+((LEN(A32)-LEN(SUBSTITUTE(A32,"_O_","")))/LEN("_O_"))*1+((LEN(A32)-LEN(SUBSTITUTE(A32,"_CHO_","")))/LEN("_CHO_"))*1+((LEN(A32)-LEN(SUBSTITUTE(A32,"_COOH_","")))/LEN("_COOH_"))*2</f>
        <v>8</v>
      </c>
      <c r="K32" s="17">
        <v>1</v>
      </c>
      <c r="L32" s="19" t="str">
        <f t="shared" si="19"/>
        <v>C40H76N1O8P1</v>
      </c>
      <c r="M32" s="19">
        <f t="shared" si="20"/>
        <v>729.53082659999995</v>
      </c>
      <c r="N32" s="19">
        <f>M32+1.0078246-0.00055</f>
        <v>730.53810120000003</v>
      </c>
      <c r="O32" s="19">
        <f>N32-18.01057-0.00055</f>
        <v>712.52698120000002</v>
      </c>
      <c r="P32" s="19">
        <f>M32+18.03437-0.00055</f>
        <v>747.56464659999995</v>
      </c>
      <c r="Q32" s="19">
        <f>M32+22.98977-0.00055</f>
        <v>752.5200466</v>
      </c>
      <c r="R32" s="19">
        <f>M32+38.96371-0.00055</f>
        <v>768.49398659999997</v>
      </c>
      <c r="S32" s="19">
        <f>M32+7.01601-0.00055</f>
        <v>736.54628660000003</v>
      </c>
      <c r="T32" s="42">
        <f>M32-1.0078246+0.00055</f>
        <v>728.52355199999988</v>
      </c>
      <c r="U32" s="19">
        <f>M32+44.99767+0.00055</f>
        <v>774.5290465999999</v>
      </c>
      <c r="V32" s="19">
        <f>M32+59.01332+0.00055</f>
        <v>788.54469659999995</v>
      </c>
    </row>
    <row r="33" spans="1:22" x14ac:dyDescent="0.25">
      <c r="A33" s="17" t="s">
        <v>401</v>
      </c>
      <c r="B33" s="17" t="str">
        <f t="shared" si="12"/>
        <v>PE 35:1</v>
      </c>
      <c r="C33" s="1" t="str">
        <f t="shared" si="13"/>
        <v>35</v>
      </c>
      <c r="D33" s="1" t="str">
        <f t="shared" si="14"/>
        <v>1</v>
      </c>
      <c r="E33" s="17" t="str">
        <f t="shared" si="15"/>
        <v>5</v>
      </c>
      <c r="G33" s="17">
        <f t="shared" si="16"/>
        <v>40</v>
      </c>
      <c r="H33" s="17">
        <f t="shared" si="17"/>
        <v>78</v>
      </c>
      <c r="I33" s="17">
        <v>1</v>
      </c>
      <c r="J33" s="17">
        <f t="shared" si="18"/>
        <v>8</v>
      </c>
      <c r="K33" s="17">
        <v>1</v>
      </c>
      <c r="L33" s="19" t="str">
        <f t="shared" si="19"/>
        <v>C40H78N1O8P1</v>
      </c>
      <c r="M33" s="19">
        <f t="shared" si="20"/>
        <v>731.54647579999994</v>
      </c>
      <c r="N33" s="19">
        <f t="shared" si="21"/>
        <v>732.55375040000001</v>
      </c>
      <c r="O33" s="19">
        <f t="shared" si="22"/>
        <v>714.54263040000001</v>
      </c>
      <c r="P33" s="19">
        <f t="shared" si="23"/>
        <v>749.58029579999993</v>
      </c>
      <c r="Q33" s="19">
        <f t="shared" si="24"/>
        <v>754.53569579999998</v>
      </c>
      <c r="R33" s="19">
        <f t="shared" si="25"/>
        <v>770.50963579999996</v>
      </c>
      <c r="S33" s="19">
        <f t="shared" si="26"/>
        <v>738.56193580000001</v>
      </c>
      <c r="T33" s="42">
        <f t="shared" si="27"/>
        <v>730.53920119999987</v>
      </c>
      <c r="U33" s="19">
        <f t="shared" si="28"/>
        <v>776.54469579999989</v>
      </c>
      <c r="V33" s="19">
        <f t="shared" si="29"/>
        <v>790.56034579999994</v>
      </c>
    </row>
    <row r="34" spans="1:22" x14ac:dyDescent="0.25">
      <c r="A34" s="17" t="s">
        <v>397</v>
      </c>
      <c r="B34" s="17" t="str">
        <f t="shared" si="12"/>
        <v>PE 35:0</v>
      </c>
      <c r="C34" s="1" t="str">
        <f t="shared" si="13"/>
        <v>35</v>
      </c>
      <c r="D34" s="1" t="str">
        <f t="shared" si="14"/>
        <v>0</v>
      </c>
      <c r="E34" s="17" t="str">
        <f t="shared" si="15"/>
        <v>5</v>
      </c>
      <c r="G34" s="17">
        <f t="shared" si="16"/>
        <v>40</v>
      </c>
      <c r="H34" s="17">
        <f t="shared" si="17"/>
        <v>80</v>
      </c>
      <c r="I34" s="17">
        <v>1</v>
      </c>
      <c r="J34" s="17">
        <f t="shared" si="18"/>
        <v>8</v>
      </c>
      <c r="K34" s="17">
        <v>1</v>
      </c>
      <c r="L34" s="19" t="str">
        <f t="shared" si="19"/>
        <v>C40H80N1O8P1</v>
      </c>
      <c r="M34" s="19">
        <f t="shared" si="20"/>
        <v>733.56212500000004</v>
      </c>
      <c r="N34" s="19">
        <f t="shared" si="21"/>
        <v>734.56939960000011</v>
      </c>
      <c r="O34" s="19">
        <f t="shared" si="22"/>
        <v>716.55827960000011</v>
      </c>
      <c r="P34" s="19">
        <f t="shared" si="23"/>
        <v>751.59594500000003</v>
      </c>
      <c r="Q34" s="19">
        <f t="shared" si="24"/>
        <v>756.55134500000008</v>
      </c>
      <c r="R34" s="19">
        <f t="shared" si="25"/>
        <v>772.52528500000005</v>
      </c>
      <c r="S34" s="19">
        <f t="shared" si="26"/>
        <v>740.57758500000011</v>
      </c>
      <c r="T34" s="42">
        <f t="shared" si="27"/>
        <v>732.55485039999996</v>
      </c>
      <c r="U34" s="19">
        <f t="shared" si="28"/>
        <v>778.56034499999998</v>
      </c>
      <c r="V34" s="19">
        <f t="shared" si="29"/>
        <v>792.57599500000003</v>
      </c>
    </row>
    <row r="35" spans="1:22" x14ac:dyDescent="0.25">
      <c r="A35" s="17" t="s">
        <v>628</v>
      </c>
      <c r="B35" s="17" t="str">
        <f>IF(ISNUMBER(SEARCH("(",A35)),IF(ISNUMBER(SEARCH("/",A35)),CONCATENATE(MID(A35,1,2)," ",(SUM(MID(A35,FIND("(",A35)+1,FIND(":",A35)-FIND("(",A35)-1),MID(A35,FIND("/",A35)+1,FIND(":",A35,FIND("/",A35))-FIND("/",A35)-1))),":",SUM(MID(A35,FIND(":",A35)+1,FIND("/",A35)-FIND(":",A35)-1),MID(A35,FIND(":",A35,FIND("/",A35))+1,FIND(")",A35)-FIND(":",A35,FIND("/",A35))-1)),MID(A35,(FIND(")",A35)+1),100)),CONCATENATE(MID(A35,1,2)," ",(SUM(MID(A35,FIND("(",A35)+1,FIND(":",A35)-FIND("(",A35)-1),MID(A35,FIND("_",A35)+1,FIND(":",A35,FIND("_",A35))-FIND("_",A35)-1))),":",SUM(MID(A35,FIND(":",A35)+1,FIND("_",A35)-FIND(":",A35)-1),MID(A35,FIND(":",A35,FIND("_",A35))+1,FIND(")",A35)-FIND(":",A35,FIND("_",A35))-1)),MID(A35,(FIND(")",A35)+1),100))),A35)</f>
        <v>PE 36:4</v>
      </c>
      <c r="C35" s="1" t="str">
        <f>MID(B35,4,FIND(":",B35)-FIND(" ",B35)-1)</f>
        <v>36</v>
      </c>
      <c r="D35" s="1" t="str">
        <f>IF(ISNUMBER(SEARCH("__",B35)),MID(B35,FIND(":",B35)+1,FIND("__",B35)-FIND(":",B35)-1),MID(B35,FIND(":",B35)+1,7))</f>
        <v>4</v>
      </c>
      <c r="E35" s="17" t="str">
        <f t="shared" si="15"/>
        <v>6</v>
      </c>
      <c r="G35" s="17">
        <f t="shared" si="16"/>
        <v>41</v>
      </c>
      <c r="H35" s="17">
        <f>2*G35-(2*D35)-((LEN(A35)-LEN(SUBSTITUTE(A35,"_O_","")))/LEN("_O_"))*2-((LEN(A35)-LEN(SUBSTITUTE(A35,"_CHO_","")))/LEN("_CHO_"))*2-((LEN(A35)-LEN(SUBSTITUTE(A35,"_COOH_","")))/LEN("_COOH_"))*2</f>
        <v>74</v>
      </c>
      <c r="I35" s="17">
        <v>1</v>
      </c>
      <c r="J35" s="17">
        <f>8+((LEN(A35)-LEN(SUBSTITUTE(A35,"_OH_","")))/LEN("_OH_"))*1+((LEN(A35)-LEN(SUBSTITUTE(A35,"_OOH_","")))/LEN("_OOH_"))*2+((LEN(A35)-LEN(SUBSTITUTE(A35,"_O_","")))/LEN("_O_"))*1+((LEN(A35)-LEN(SUBSTITUTE(A35,"_CHO_","")))/LEN("_CHO_"))*1+((LEN(A35)-LEN(SUBSTITUTE(A35,"_COOH_","")))/LEN("_COOH_"))*2</f>
        <v>8</v>
      </c>
      <c r="K35" s="17">
        <v>1</v>
      </c>
      <c r="L35" s="19" t="str">
        <f t="shared" si="19"/>
        <v>C41H74N1O8P1</v>
      </c>
      <c r="M35" s="19">
        <f t="shared" si="20"/>
        <v>739.51517739999997</v>
      </c>
      <c r="N35" s="19">
        <f>M35+1.0078246-0.00055</f>
        <v>740.52245200000004</v>
      </c>
      <c r="O35" s="19">
        <f>N35-18.01057-0.00055</f>
        <v>722.51133200000004</v>
      </c>
      <c r="P35" s="19">
        <f>M35+18.03437-0.00055</f>
        <v>757.54899739999996</v>
      </c>
      <c r="Q35" s="19">
        <f>M35+22.98977-0.00055</f>
        <v>762.50439740000002</v>
      </c>
      <c r="R35" s="19">
        <f>M35+38.96371-0.00055</f>
        <v>778.47833739999999</v>
      </c>
      <c r="S35" s="19">
        <f>M35+7.01601-0.00055</f>
        <v>746.53063740000005</v>
      </c>
      <c r="T35" s="42">
        <f>M35-1.0078246+0.00055</f>
        <v>738.5079027999999</v>
      </c>
      <c r="U35" s="19">
        <f>M35+44.99767+0.00055</f>
        <v>784.51339739999992</v>
      </c>
      <c r="V35" s="19">
        <f>M35+59.01332+0.00055</f>
        <v>798.52904739999997</v>
      </c>
    </row>
    <row r="36" spans="1:22" x14ac:dyDescent="0.25">
      <c r="A36" s="17" t="s">
        <v>614</v>
      </c>
      <c r="B36" s="17" t="str">
        <f>IF(ISNUMBER(SEARCH("(",A36)),IF(ISNUMBER(SEARCH("/",A36)),CONCATENATE(MID(A36,1,2)," ",(SUM(MID(A36,FIND("(",A36)+1,FIND(":",A36)-FIND("(",A36)-1),MID(A36,FIND("/",A36)+1,FIND(":",A36,FIND("/",A36))-FIND("/",A36)-1))),":",SUM(MID(A36,FIND(":",A36)+1,FIND("/",A36)-FIND(":",A36)-1),MID(A36,FIND(":",A36,FIND("/",A36))+1,FIND(")",A36)-FIND(":",A36,FIND("/",A36))-1)),MID(A36,(FIND(")",A36)+1),100)),CONCATENATE(MID(A36,1,2)," ",(SUM(MID(A36,FIND("(",A36)+1,FIND(":",A36)-FIND("(",A36)-1),MID(A36,FIND("_",A36)+1,FIND(":",A36,FIND("_",A36))-FIND("_",A36)-1))),":",SUM(MID(A36,FIND(":",A36)+1,FIND("_",A36)-FIND(":",A36)-1),MID(A36,FIND(":",A36,FIND("_",A36))+1,FIND(")",A36)-FIND(":",A36,FIND("_",A36))-1)),MID(A36,(FIND(")",A36)+1),100))),A36)</f>
        <v>PE 36:3</v>
      </c>
      <c r="C36" s="1" t="str">
        <f>MID(B36,4,FIND(":",B36)-FIND(" ",B36)-1)</f>
        <v>36</v>
      </c>
      <c r="D36" s="1" t="str">
        <f>IF(ISNUMBER(SEARCH("__",B36)),MID(B36,FIND(":",B36)+1,FIND("__",B36)-FIND(":",B36)-1),MID(B36,FIND(":",B36)+1,7))</f>
        <v>3</v>
      </c>
      <c r="E36" s="17" t="str">
        <f t="shared" si="15"/>
        <v>6</v>
      </c>
      <c r="G36" s="17">
        <f t="shared" si="16"/>
        <v>41</v>
      </c>
      <c r="H36" s="17">
        <f>2*G36-(2*D36)-((LEN(A36)-LEN(SUBSTITUTE(A36,"_O_","")))/LEN("_O_"))*2-((LEN(A36)-LEN(SUBSTITUTE(A36,"_CHO_","")))/LEN("_CHO_"))*2-((LEN(A36)-LEN(SUBSTITUTE(A36,"_COOH_","")))/LEN("_COOH_"))*2</f>
        <v>76</v>
      </c>
      <c r="I36" s="17">
        <v>1</v>
      </c>
      <c r="J36" s="17">
        <f>8+((LEN(A36)-LEN(SUBSTITUTE(A36,"_OH_","")))/LEN("_OH_"))*1+((LEN(A36)-LEN(SUBSTITUTE(A36,"_OOH_","")))/LEN("_OOH_"))*2+((LEN(A36)-LEN(SUBSTITUTE(A36,"_O_","")))/LEN("_O_"))*1+((LEN(A36)-LEN(SUBSTITUTE(A36,"_CHO_","")))/LEN("_CHO_"))*1+((LEN(A36)-LEN(SUBSTITUTE(A36,"_COOH_","")))/LEN("_COOH_"))*2</f>
        <v>8</v>
      </c>
      <c r="K36" s="17">
        <v>1</v>
      </c>
      <c r="L36" s="19" t="str">
        <f t="shared" si="19"/>
        <v>C41H76N1O8P1</v>
      </c>
      <c r="M36" s="19">
        <f t="shared" si="20"/>
        <v>741.53082659999995</v>
      </c>
      <c r="N36" s="19">
        <f>M36+1.0078246-0.00055</f>
        <v>742.53810120000003</v>
      </c>
      <c r="O36" s="19">
        <f>N36-18.01057-0.00055</f>
        <v>724.52698120000002</v>
      </c>
      <c r="P36" s="19">
        <f>M36+18.03437-0.00055</f>
        <v>759.56464659999995</v>
      </c>
      <c r="Q36" s="19">
        <f>M36+22.98977-0.00055</f>
        <v>764.5200466</v>
      </c>
      <c r="R36" s="19">
        <f>M36+38.96371-0.00055</f>
        <v>780.49398659999997</v>
      </c>
      <c r="S36" s="19">
        <f>M36+7.01601-0.00055</f>
        <v>748.54628660000003</v>
      </c>
      <c r="T36" s="42">
        <f>M36-1.0078246+0.00055</f>
        <v>740.52355199999988</v>
      </c>
      <c r="U36" s="19">
        <f>M36+44.99767+0.00055</f>
        <v>786.5290465999999</v>
      </c>
      <c r="V36" s="19">
        <f>M36+59.01332+0.00055</f>
        <v>800.54469659999995</v>
      </c>
    </row>
    <row r="37" spans="1:22" x14ac:dyDescent="0.25">
      <c r="A37" s="17" t="s">
        <v>451</v>
      </c>
      <c r="B37" s="17" t="str">
        <f>IF(ISNUMBER(SEARCH("(",A37)),IF(ISNUMBER(SEARCH("/",A37)),CONCATENATE(MID(A37,1,2)," ",(SUM(MID(A37,FIND("(",A37)+1,FIND(":",A37)-FIND("(",A37)-1),MID(A37,FIND("/",A37)+1,FIND(":",A37,FIND("/",A37))-FIND("/",A37)-1))),":",SUM(MID(A37,FIND(":",A37)+1,FIND("/",A37)-FIND(":",A37)-1),MID(A37,FIND(":",A37,FIND("/",A37))+1,FIND(")",A37)-FIND(":",A37,FIND("/",A37))-1)),MID(A37,(FIND(")",A37)+1),100)),CONCATENATE(MID(A37,1,2)," ",(SUM(MID(A37,FIND("(",A37)+1,FIND(":",A37)-FIND("(",A37)-1),MID(A37,FIND("_",A37)+1,FIND(":",A37,FIND("_",A37))-FIND("_",A37)-1))),":",SUM(MID(A37,FIND(":",A37)+1,FIND("_",A37)-FIND(":",A37)-1),MID(A37,FIND(":",A37,FIND("_",A37))+1,FIND(")",A37)-FIND(":",A37,FIND("_",A37))-1)),MID(A37,(FIND(")",A37)+1),100))),A37)</f>
        <v>PE 36:2</v>
      </c>
      <c r="C37" s="1" t="str">
        <f>MID(B37,4,FIND(":",B37)-FIND(" ",B37)-1)</f>
        <v>36</v>
      </c>
      <c r="D37" s="1" t="str">
        <f>IF(ISNUMBER(SEARCH("__",B37)),MID(B37,FIND(":",B37)+1,FIND("__",B37)-FIND(":",B37)-1),MID(B37,FIND(":",B37)+1,7))</f>
        <v>2</v>
      </c>
      <c r="E37" s="17" t="str">
        <f t="shared" si="15"/>
        <v>6</v>
      </c>
      <c r="G37" s="17">
        <f t="shared" si="16"/>
        <v>41</v>
      </c>
      <c r="H37" s="17">
        <f>2*G37-(2*D37)-((LEN(A37)-LEN(SUBSTITUTE(A37,"_O_","")))/LEN("_O_"))*2-((LEN(A37)-LEN(SUBSTITUTE(A37,"_CHO_","")))/LEN("_CHO_"))*2-((LEN(A37)-LEN(SUBSTITUTE(A37,"_COOH_","")))/LEN("_COOH_"))*2</f>
        <v>78</v>
      </c>
      <c r="I37" s="17">
        <v>1</v>
      </c>
      <c r="J37" s="17">
        <f>8+((LEN(A37)-LEN(SUBSTITUTE(A37,"_OH_","")))/LEN("_OH_"))*1+((LEN(A37)-LEN(SUBSTITUTE(A37,"_OOH_","")))/LEN("_OOH_"))*2+((LEN(A37)-LEN(SUBSTITUTE(A37,"_O_","")))/LEN("_O_"))*1+((LEN(A37)-LEN(SUBSTITUTE(A37,"_CHO_","")))/LEN("_CHO_"))*1+((LEN(A37)-LEN(SUBSTITUTE(A37,"_COOH_","")))/LEN("_COOH_"))*2</f>
        <v>8</v>
      </c>
      <c r="K37" s="17">
        <v>1</v>
      </c>
      <c r="L37" s="19" t="str">
        <f t="shared" si="19"/>
        <v>C41H78N1O8P1</v>
      </c>
      <c r="M37" s="19">
        <f t="shared" si="20"/>
        <v>743.54647579999994</v>
      </c>
      <c r="N37" s="19">
        <f>M37+1.0078246-0.00055</f>
        <v>744.55375040000001</v>
      </c>
      <c r="O37" s="19">
        <f>N37-18.01057-0.00055</f>
        <v>726.54263040000001</v>
      </c>
      <c r="P37" s="19">
        <f>M37+18.03437-0.00055</f>
        <v>761.58029579999993</v>
      </c>
      <c r="Q37" s="19">
        <f>M37+22.98977-0.00055</f>
        <v>766.53569579999998</v>
      </c>
      <c r="R37" s="19">
        <f>M37+38.96371-0.00055</f>
        <v>782.50963579999996</v>
      </c>
      <c r="S37" s="19">
        <f>M37+7.01601-0.00055</f>
        <v>750.56193580000001</v>
      </c>
      <c r="T37" s="42">
        <f>M37-1.0078246+0.00055</f>
        <v>742.53920119999987</v>
      </c>
      <c r="U37" s="19">
        <f>M37+44.99767+0.00055</f>
        <v>788.54469579999989</v>
      </c>
      <c r="V37" s="19">
        <f>M37+59.01332+0.00055</f>
        <v>802.56034579999994</v>
      </c>
    </row>
    <row r="38" spans="1:22" x14ac:dyDescent="0.25">
      <c r="A38" s="17" t="s">
        <v>494</v>
      </c>
      <c r="B38" s="17" t="str">
        <f>IF(ISNUMBER(SEARCH("(",A38)),IF(ISNUMBER(SEARCH("/",A38)),CONCATENATE(MID(A38,1,2)," ",(SUM(MID(A38,FIND("(",A38)+1,FIND(":",A38)-FIND("(",A38)-1),MID(A38,FIND("/",A38)+1,FIND(":",A38,FIND("/",A38))-FIND("/",A38)-1))),":",SUM(MID(A38,FIND(":",A38)+1,FIND("/",A38)-FIND(":",A38)-1),MID(A38,FIND(":",A38,FIND("/",A38))+1,FIND(")",A38)-FIND(":",A38,FIND("/",A38))-1)),MID(A38,(FIND(")",A38)+1),100)),CONCATENATE(MID(A38,1,2)," ",(SUM(MID(A38,FIND("(",A38)+1,FIND(":",A38)-FIND("(",A38)-1),MID(A38,FIND("_",A38)+1,FIND(":",A38,FIND("_",A38))-FIND("_",A38)-1))),":",SUM(MID(A38,FIND(":",A38)+1,FIND("_",A38)-FIND(":",A38)-1),MID(A38,FIND(":",A38,FIND("_",A38))+1,FIND(")",A38)-FIND(":",A38,FIND("_",A38))-1)),MID(A38,(FIND(")",A38)+1),100))),A38)</f>
        <v>PE 36:1</v>
      </c>
      <c r="C38" s="1" t="str">
        <f>MID(B38,4,FIND(":",B38)-FIND(" ",B38)-1)</f>
        <v>36</v>
      </c>
      <c r="D38" s="1" t="str">
        <f>IF(ISNUMBER(SEARCH("__",B38)),MID(B38,FIND(":",B38)+1,FIND("__",B38)-FIND(":",B38)-1),MID(B38,FIND(":",B38)+1,7))</f>
        <v>1</v>
      </c>
      <c r="E38" s="17" t="str">
        <f t="shared" si="15"/>
        <v>6</v>
      </c>
      <c r="G38" s="17">
        <f t="shared" si="16"/>
        <v>41</v>
      </c>
      <c r="H38" s="17">
        <f>2*G38-(2*D38)-((LEN(A38)-LEN(SUBSTITUTE(A38,"_O_","")))/LEN("_O_"))*2-((LEN(A38)-LEN(SUBSTITUTE(A38,"_CHO_","")))/LEN("_CHO_"))*2-((LEN(A38)-LEN(SUBSTITUTE(A38,"_COOH_","")))/LEN("_COOH_"))*2</f>
        <v>80</v>
      </c>
      <c r="I38" s="17">
        <v>1</v>
      </c>
      <c r="J38" s="17">
        <f>8+((LEN(A38)-LEN(SUBSTITUTE(A38,"_OH_","")))/LEN("_OH_"))*1+((LEN(A38)-LEN(SUBSTITUTE(A38,"_OOH_","")))/LEN("_OOH_"))*2+((LEN(A38)-LEN(SUBSTITUTE(A38,"_O_","")))/LEN("_O_"))*1+((LEN(A38)-LEN(SUBSTITUTE(A38,"_CHO_","")))/LEN("_CHO_"))*1+((LEN(A38)-LEN(SUBSTITUTE(A38,"_COOH_","")))/LEN("_COOH_"))*2</f>
        <v>8</v>
      </c>
      <c r="K38" s="17">
        <v>1</v>
      </c>
      <c r="L38" s="19" t="str">
        <f t="shared" si="19"/>
        <v>C41H80N1O8P1</v>
      </c>
      <c r="M38" s="19">
        <f t="shared" si="20"/>
        <v>745.56212500000004</v>
      </c>
      <c r="N38" s="19">
        <f>M38+1.0078246-0.00055</f>
        <v>746.56939960000011</v>
      </c>
      <c r="O38" s="19">
        <f>N38-18.01057-0.00055</f>
        <v>728.55827960000011</v>
      </c>
      <c r="P38" s="19">
        <f>M38+18.03437-0.00055</f>
        <v>763.59594500000003</v>
      </c>
      <c r="Q38" s="19">
        <f>M38+22.98977-0.00055</f>
        <v>768.55134500000008</v>
      </c>
      <c r="R38" s="19">
        <f>M38+38.96371-0.00055</f>
        <v>784.52528500000005</v>
      </c>
      <c r="S38" s="19">
        <f>M38+7.01601-0.00055</f>
        <v>752.57758500000011</v>
      </c>
      <c r="T38" s="42">
        <f>M38-1.0078246+0.00055</f>
        <v>744.55485039999996</v>
      </c>
      <c r="U38" s="19">
        <f>M38+44.99767+0.00055</f>
        <v>790.56034499999998</v>
      </c>
      <c r="V38" s="19">
        <f>M38+59.01332+0.00055</f>
        <v>804.57599500000003</v>
      </c>
    </row>
    <row r="39" spans="1:22" x14ac:dyDescent="0.25">
      <c r="A39" s="17" t="s">
        <v>398</v>
      </c>
      <c r="B39" s="17" t="str">
        <f t="shared" si="12"/>
        <v>PE 36:0</v>
      </c>
      <c r="C39" s="1" t="str">
        <f t="shared" si="13"/>
        <v>36</v>
      </c>
      <c r="D39" s="1" t="str">
        <f t="shared" si="14"/>
        <v>0</v>
      </c>
      <c r="E39" s="17" t="str">
        <f t="shared" si="15"/>
        <v>6</v>
      </c>
      <c r="G39" s="17">
        <f t="shared" si="16"/>
        <v>41</v>
      </c>
      <c r="H39" s="17">
        <f t="shared" si="17"/>
        <v>82</v>
      </c>
      <c r="I39" s="17">
        <v>1</v>
      </c>
      <c r="J39" s="17">
        <f t="shared" si="18"/>
        <v>8</v>
      </c>
      <c r="K39" s="17">
        <v>1</v>
      </c>
      <c r="L39" s="19" t="str">
        <f t="shared" si="19"/>
        <v>C41H82N1O8P1</v>
      </c>
      <c r="M39" s="19">
        <f t="shared" si="20"/>
        <v>747.57777420000002</v>
      </c>
      <c r="N39" s="19">
        <f t="shared" si="21"/>
        <v>748.5850488000001</v>
      </c>
      <c r="O39" s="19">
        <f t="shared" si="22"/>
        <v>730.57392880000009</v>
      </c>
      <c r="P39" s="19">
        <f t="shared" si="23"/>
        <v>765.61159420000001</v>
      </c>
      <c r="Q39" s="19">
        <f t="shared" si="24"/>
        <v>770.56699420000007</v>
      </c>
      <c r="R39" s="19">
        <f t="shared" si="25"/>
        <v>786.54093420000004</v>
      </c>
      <c r="S39" s="19">
        <f t="shared" si="26"/>
        <v>754.5932342000001</v>
      </c>
      <c r="T39" s="42">
        <f t="shared" si="27"/>
        <v>746.57049959999995</v>
      </c>
      <c r="U39" s="19">
        <f t="shared" si="28"/>
        <v>792.57599419999997</v>
      </c>
      <c r="V39" s="19">
        <f t="shared" si="29"/>
        <v>806.59164420000002</v>
      </c>
    </row>
    <row r="40" spans="1:22" x14ac:dyDescent="0.25">
      <c r="A40" s="17" t="s">
        <v>615</v>
      </c>
      <c r="B40" s="17" t="str">
        <f>IF(ISNUMBER(SEARCH("(",A40)),IF(ISNUMBER(SEARCH("/",A40)),CONCATENATE(MID(A40,1,2)," ",(SUM(MID(A40,FIND("(",A40)+1,FIND(":",A40)-FIND("(",A40)-1),MID(A40,FIND("/",A40)+1,FIND(":",A40,FIND("/",A40))-FIND("/",A40)-1))),":",SUM(MID(A40,FIND(":",A40)+1,FIND("/",A40)-FIND(":",A40)-1),MID(A40,FIND(":",A40,FIND("/",A40))+1,FIND(")",A40)-FIND(":",A40,FIND("/",A40))-1)),MID(A40,(FIND(")",A40)+1),100)),CONCATENATE(MID(A40,1,2)," ",(SUM(MID(A40,FIND("(",A40)+1,FIND(":",A40)-FIND("(",A40)-1),MID(A40,FIND("_",A40)+1,FIND(":",A40,FIND("_",A40))-FIND("_",A40)-1))),":",SUM(MID(A40,FIND(":",A40)+1,FIND("_",A40)-FIND(":",A40)-1),MID(A40,FIND(":",A40,FIND("_",A40))+1,FIND(")",A40)-FIND(":",A40,FIND("_",A40))-1)),MID(A40,(FIND(")",A40)+1),100))),A40)</f>
        <v>PE 37:3</v>
      </c>
      <c r="C40" s="1" t="str">
        <f>MID(B40,4,FIND(":",B40)-FIND(" ",B40)-1)</f>
        <v>37</v>
      </c>
      <c r="D40" s="1" t="str">
        <f>IF(ISNUMBER(SEARCH("__",B40)),MID(B40,FIND(":",B40)+1,FIND("__",B40)-FIND(":",B40)-1),MID(B40,FIND(":",B40)+1,7))</f>
        <v>3</v>
      </c>
      <c r="E40" s="17" t="str">
        <f t="shared" si="15"/>
        <v>7</v>
      </c>
      <c r="G40" s="17">
        <f t="shared" si="16"/>
        <v>42</v>
      </c>
      <c r="H40" s="17">
        <f>2*G40-(2*D40)-((LEN(A40)-LEN(SUBSTITUTE(A40,"_O_","")))/LEN("_O_"))*2-((LEN(A40)-LEN(SUBSTITUTE(A40,"_CHO_","")))/LEN("_CHO_"))*2-((LEN(A40)-LEN(SUBSTITUTE(A40,"_COOH_","")))/LEN("_COOH_"))*2</f>
        <v>78</v>
      </c>
      <c r="I40" s="17">
        <v>1</v>
      </c>
      <c r="J40" s="17">
        <f>8+((LEN(A40)-LEN(SUBSTITUTE(A40,"_OH_","")))/LEN("_OH_"))*1+((LEN(A40)-LEN(SUBSTITUTE(A40,"_OOH_","")))/LEN("_OOH_"))*2+((LEN(A40)-LEN(SUBSTITUTE(A40,"_O_","")))/LEN("_O_"))*1+((LEN(A40)-LEN(SUBSTITUTE(A40,"_CHO_","")))/LEN("_CHO_"))*1+((LEN(A40)-LEN(SUBSTITUTE(A40,"_COOH_","")))/LEN("_COOH_"))*2</f>
        <v>8</v>
      </c>
      <c r="K40" s="17">
        <v>1</v>
      </c>
      <c r="L40" s="19" t="str">
        <f t="shared" si="19"/>
        <v>C42H78N1O8P1</v>
      </c>
      <c r="M40" s="19">
        <f t="shared" si="20"/>
        <v>755.54647579999994</v>
      </c>
      <c r="N40" s="19">
        <f>M40+1.0078246-0.00055</f>
        <v>756.55375040000001</v>
      </c>
      <c r="O40" s="19">
        <f>N40-18.01057-0.00055</f>
        <v>738.54263040000001</v>
      </c>
      <c r="P40" s="19">
        <f>M40+18.03437-0.00055</f>
        <v>773.58029579999993</v>
      </c>
      <c r="Q40" s="19">
        <f>M40+22.98977-0.00055</f>
        <v>778.53569579999998</v>
      </c>
      <c r="R40" s="19">
        <f>M40+38.96371-0.00055</f>
        <v>794.50963579999996</v>
      </c>
      <c r="S40" s="19">
        <f>M40+7.01601-0.00055</f>
        <v>762.56193580000001</v>
      </c>
      <c r="T40" s="42">
        <f>M40-1.0078246+0.00055</f>
        <v>754.53920119999987</v>
      </c>
      <c r="U40" s="19">
        <f>M40+44.99767+0.00055</f>
        <v>800.54469579999989</v>
      </c>
      <c r="V40" s="19">
        <f>M40+59.01332+0.00055</f>
        <v>814.56034579999994</v>
      </c>
    </row>
    <row r="41" spans="1:22" x14ac:dyDescent="0.25">
      <c r="A41" s="17" t="s">
        <v>495</v>
      </c>
      <c r="B41" s="17" t="str">
        <f>IF(ISNUMBER(SEARCH("(",A41)),IF(ISNUMBER(SEARCH("/",A41)),CONCATENATE(MID(A41,1,2)," ",(SUM(MID(A41,FIND("(",A41)+1,FIND(":",A41)-FIND("(",A41)-1),MID(A41,FIND("/",A41)+1,FIND(":",A41,FIND("/",A41))-FIND("/",A41)-1))),":",SUM(MID(A41,FIND(":",A41)+1,FIND("/",A41)-FIND(":",A41)-1),MID(A41,FIND(":",A41,FIND("/",A41))+1,FIND(")",A41)-FIND(":",A41,FIND("/",A41))-1)),MID(A41,(FIND(")",A41)+1),100)),CONCATENATE(MID(A41,1,2)," ",(SUM(MID(A41,FIND("(",A41)+1,FIND(":",A41)-FIND("(",A41)-1),MID(A41,FIND("_",A41)+1,FIND(":",A41,FIND("_",A41))-FIND("_",A41)-1))),":",SUM(MID(A41,FIND(":",A41)+1,FIND("_",A41)-FIND(":",A41)-1),MID(A41,FIND(":",A41,FIND("_",A41))+1,FIND(")",A41)-FIND(":",A41,FIND("_",A41))-1)),MID(A41,(FIND(")",A41)+1),100))),A41)</f>
        <v>PE 37:2</v>
      </c>
      <c r="C41" s="1" t="str">
        <f>MID(B41,4,FIND(":",B41)-FIND(" ",B41)-1)</f>
        <v>37</v>
      </c>
      <c r="D41" s="1" t="str">
        <f>IF(ISNUMBER(SEARCH("__",B41)),MID(B41,FIND(":",B41)+1,FIND("__",B41)-FIND(":",B41)-1),MID(B41,FIND(":",B41)+1,7))</f>
        <v>2</v>
      </c>
      <c r="E41" s="17" t="str">
        <f t="shared" si="15"/>
        <v>7</v>
      </c>
      <c r="G41" s="17">
        <f t="shared" si="16"/>
        <v>42</v>
      </c>
      <c r="H41" s="17">
        <f>2*G41-(2*D41)-((LEN(A41)-LEN(SUBSTITUTE(A41,"_O_","")))/LEN("_O_"))*2-((LEN(A41)-LEN(SUBSTITUTE(A41,"_CHO_","")))/LEN("_CHO_"))*2-((LEN(A41)-LEN(SUBSTITUTE(A41,"_COOH_","")))/LEN("_COOH_"))*2</f>
        <v>80</v>
      </c>
      <c r="I41" s="17">
        <v>1</v>
      </c>
      <c r="J41" s="17">
        <f>8+((LEN(A41)-LEN(SUBSTITUTE(A41,"_OH_","")))/LEN("_OH_"))*1+((LEN(A41)-LEN(SUBSTITUTE(A41,"_OOH_","")))/LEN("_OOH_"))*2+((LEN(A41)-LEN(SUBSTITUTE(A41,"_O_","")))/LEN("_O_"))*1+((LEN(A41)-LEN(SUBSTITUTE(A41,"_CHO_","")))/LEN("_CHO_"))*1+((LEN(A41)-LEN(SUBSTITUTE(A41,"_COOH_","")))/LEN("_COOH_"))*2</f>
        <v>8</v>
      </c>
      <c r="K41" s="17">
        <v>1</v>
      </c>
      <c r="L41" s="19" t="str">
        <f t="shared" si="19"/>
        <v>C42H80N1O8P1</v>
      </c>
      <c r="M41" s="19">
        <f t="shared" si="20"/>
        <v>757.56212500000004</v>
      </c>
      <c r="N41" s="19">
        <f>M41+1.0078246-0.00055</f>
        <v>758.56939960000011</v>
      </c>
      <c r="O41" s="19">
        <f>N41-18.01057-0.00055</f>
        <v>740.55827960000011</v>
      </c>
      <c r="P41" s="19">
        <f>M41+18.03437-0.00055</f>
        <v>775.59594500000003</v>
      </c>
      <c r="Q41" s="19">
        <f>M41+22.98977-0.00055</f>
        <v>780.55134500000008</v>
      </c>
      <c r="R41" s="19">
        <f>M41+38.96371-0.00055</f>
        <v>796.52528500000005</v>
      </c>
      <c r="S41" s="19">
        <f>M41+7.01601-0.00055</f>
        <v>764.57758500000011</v>
      </c>
      <c r="T41" s="42">
        <f>M41-1.0078246+0.00055</f>
        <v>756.55485039999996</v>
      </c>
      <c r="U41" s="19">
        <f>M41+44.99767+0.00055</f>
        <v>802.56034499999998</v>
      </c>
      <c r="V41" s="19">
        <f>M41+59.01332+0.00055</f>
        <v>816.57599500000003</v>
      </c>
    </row>
    <row r="42" spans="1:22" x14ac:dyDescent="0.25">
      <c r="A42" s="17" t="s">
        <v>496</v>
      </c>
      <c r="B42" s="17" t="str">
        <f>IF(ISNUMBER(SEARCH("(",A42)),IF(ISNUMBER(SEARCH("/",A42)),CONCATENATE(MID(A42,1,2)," ",(SUM(MID(A42,FIND("(",A42)+1,FIND(":",A42)-FIND("(",A42)-1),MID(A42,FIND("/",A42)+1,FIND(":",A42,FIND("/",A42))-FIND("/",A42)-1))),":",SUM(MID(A42,FIND(":",A42)+1,FIND("/",A42)-FIND(":",A42)-1),MID(A42,FIND(":",A42,FIND("/",A42))+1,FIND(")",A42)-FIND(":",A42,FIND("/",A42))-1)),MID(A42,(FIND(")",A42)+1),100)),CONCATENATE(MID(A42,1,2)," ",(SUM(MID(A42,FIND("(",A42)+1,FIND(":",A42)-FIND("(",A42)-1),MID(A42,FIND("_",A42)+1,FIND(":",A42,FIND("_",A42))-FIND("_",A42)-1))),":",SUM(MID(A42,FIND(":",A42)+1,FIND("_",A42)-FIND(":",A42)-1),MID(A42,FIND(":",A42,FIND("_",A42))+1,FIND(")",A42)-FIND(":",A42,FIND("_",A42))-1)),MID(A42,(FIND(")",A42)+1),100))),A42)</f>
        <v>PE 37:1</v>
      </c>
      <c r="C42" s="1" t="str">
        <f>MID(B42,4,FIND(":",B42)-FIND(" ",B42)-1)</f>
        <v>37</v>
      </c>
      <c r="D42" s="1" t="str">
        <f>IF(ISNUMBER(SEARCH("__",B42)),MID(B42,FIND(":",B42)+1,FIND("__",B42)-FIND(":",B42)-1),MID(B42,FIND(":",B42)+1,7))</f>
        <v>1</v>
      </c>
      <c r="E42" s="17" t="str">
        <f t="shared" si="15"/>
        <v>7</v>
      </c>
      <c r="G42" s="17">
        <f t="shared" si="16"/>
        <v>42</v>
      </c>
      <c r="H42" s="17">
        <f>2*G42-(2*D42)-((LEN(A42)-LEN(SUBSTITUTE(A42,"_O_","")))/LEN("_O_"))*2-((LEN(A42)-LEN(SUBSTITUTE(A42,"_CHO_","")))/LEN("_CHO_"))*2-((LEN(A42)-LEN(SUBSTITUTE(A42,"_COOH_","")))/LEN("_COOH_"))*2</f>
        <v>82</v>
      </c>
      <c r="I42" s="17">
        <v>1</v>
      </c>
      <c r="J42" s="17">
        <f>8+((LEN(A42)-LEN(SUBSTITUTE(A42,"_OH_","")))/LEN("_OH_"))*1+((LEN(A42)-LEN(SUBSTITUTE(A42,"_OOH_","")))/LEN("_OOH_"))*2+((LEN(A42)-LEN(SUBSTITUTE(A42,"_O_","")))/LEN("_O_"))*1+((LEN(A42)-LEN(SUBSTITUTE(A42,"_CHO_","")))/LEN("_CHO_"))*1+((LEN(A42)-LEN(SUBSTITUTE(A42,"_COOH_","")))/LEN("_COOH_"))*2</f>
        <v>8</v>
      </c>
      <c r="K42" s="17">
        <v>1</v>
      </c>
      <c r="L42" s="19" t="str">
        <f t="shared" si="19"/>
        <v>C42H82N1O8P1</v>
      </c>
      <c r="M42" s="19">
        <f t="shared" si="20"/>
        <v>759.57777420000002</v>
      </c>
      <c r="N42" s="19">
        <f>M42+1.0078246-0.00055</f>
        <v>760.5850488000001</v>
      </c>
      <c r="O42" s="19">
        <f>N42-18.01057-0.00055</f>
        <v>742.57392880000009</v>
      </c>
      <c r="P42" s="19">
        <f>M42+18.03437-0.00055</f>
        <v>777.61159420000001</v>
      </c>
      <c r="Q42" s="19">
        <f>M42+22.98977-0.00055</f>
        <v>782.56699420000007</v>
      </c>
      <c r="R42" s="19">
        <f>M42+38.96371-0.00055</f>
        <v>798.54093420000004</v>
      </c>
      <c r="S42" s="19">
        <f>M42+7.01601-0.00055</f>
        <v>766.5932342000001</v>
      </c>
      <c r="T42" s="42">
        <f>M42-1.0078246+0.00055</f>
        <v>758.57049959999995</v>
      </c>
      <c r="U42" s="19">
        <f>M42+44.99767+0.00055</f>
        <v>804.57599419999997</v>
      </c>
      <c r="V42" s="19">
        <f>M42+59.01332+0.00055</f>
        <v>818.59164420000002</v>
      </c>
    </row>
    <row r="43" spans="1:22" x14ac:dyDescent="0.25">
      <c r="A43" s="17" t="s">
        <v>399</v>
      </c>
      <c r="B43" s="17" t="str">
        <f t="shared" si="12"/>
        <v>PE 37:0</v>
      </c>
      <c r="C43" s="1" t="str">
        <f t="shared" si="13"/>
        <v>37</v>
      </c>
      <c r="D43" s="1" t="str">
        <f t="shared" si="14"/>
        <v>0</v>
      </c>
      <c r="E43" s="17" t="str">
        <f t="shared" si="15"/>
        <v>7</v>
      </c>
      <c r="G43" s="17">
        <f t="shared" si="16"/>
        <v>42</v>
      </c>
      <c r="H43" s="17">
        <f t="shared" si="17"/>
        <v>84</v>
      </c>
      <c r="I43" s="17">
        <v>1</v>
      </c>
      <c r="J43" s="17">
        <f t="shared" si="18"/>
        <v>8</v>
      </c>
      <c r="K43" s="17">
        <v>1</v>
      </c>
      <c r="L43" s="19" t="str">
        <f t="shared" si="19"/>
        <v>C42H84N1O8P1</v>
      </c>
      <c r="M43" s="19">
        <f t="shared" si="20"/>
        <v>761.59342340000001</v>
      </c>
      <c r="N43" s="19">
        <f t="shared" si="21"/>
        <v>762.60069800000008</v>
      </c>
      <c r="O43" s="19">
        <f t="shared" si="22"/>
        <v>744.58957800000007</v>
      </c>
      <c r="P43" s="19">
        <f t="shared" si="23"/>
        <v>779.6272434</v>
      </c>
      <c r="Q43" s="19">
        <f t="shared" si="24"/>
        <v>784.58264340000005</v>
      </c>
      <c r="R43" s="19">
        <f t="shared" si="25"/>
        <v>800.55658340000002</v>
      </c>
      <c r="S43" s="19">
        <f t="shared" si="26"/>
        <v>768.60888340000008</v>
      </c>
      <c r="T43" s="42">
        <f t="shared" si="27"/>
        <v>760.58614879999993</v>
      </c>
      <c r="U43" s="19">
        <f t="shared" si="28"/>
        <v>806.59164339999995</v>
      </c>
      <c r="V43" s="19">
        <f t="shared" si="29"/>
        <v>820.6072934</v>
      </c>
    </row>
    <row r="44" spans="1:22" x14ac:dyDescent="0.25">
      <c r="A44" s="17" t="s">
        <v>452</v>
      </c>
      <c r="B44" s="17" t="str">
        <f>IF(ISNUMBER(SEARCH("(",A44)),IF(ISNUMBER(SEARCH("/",A44)),CONCATENATE(MID(A44,1,2)," ",(SUM(MID(A44,FIND("(",A44)+1,FIND(":",A44)-FIND("(",A44)-1),MID(A44,FIND("/",A44)+1,FIND(":",A44,FIND("/",A44))-FIND("/",A44)-1))),":",SUM(MID(A44,FIND(":",A44)+1,FIND("/",A44)-FIND(":",A44)-1),MID(A44,FIND(":",A44,FIND("/",A44))+1,FIND(")",A44)-FIND(":",A44,FIND("/",A44))-1)),MID(A44,(FIND(")",A44)+1),100)),CONCATENATE(MID(A44,1,2)," ",(SUM(MID(A44,FIND("(",A44)+1,FIND(":",A44)-FIND("(",A44)-1),MID(A44,FIND("_",A44)+1,FIND(":",A44,FIND("_",A44))-FIND("_",A44)-1))),":",SUM(MID(A44,FIND(":",A44)+1,FIND("_",A44)-FIND(":",A44)-1),MID(A44,FIND(":",A44,FIND("_",A44))+1,FIND(")",A44)-FIND(":",A44,FIND("_",A44))-1)),MID(A44,(FIND(")",A44)+1),100))),A44)</f>
        <v>PE 38:2</v>
      </c>
      <c r="C44" s="1" t="str">
        <f>MID(B44,4,FIND(":",B44)-FIND(" ",B44)-1)</f>
        <v>38</v>
      </c>
      <c r="D44" s="1" t="str">
        <f>IF(ISNUMBER(SEARCH("__",B44)),MID(B44,FIND(":",B44)+1,FIND("__",B44)-FIND(":",B44)-1),MID(B44,FIND(":",B44)+1,7))</f>
        <v>2</v>
      </c>
      <c r="E44" s="17" t="str">
        <f t="shared" si="15"/>
        <v>8</v>
      </c>
      <c r="G44" s="17">
        <f t="shared" si="16"/>
        <v>43</v>
      </c>
      <c r="H44" s="17">
        <f>2*G44-(2*D44)-((LEN(A44)-LEN(SUBSTITUTE(A44,"_O_","")))/LEN("_O_"))*2-((LEN(A44)-LEN(SUBSTITUTE(A44,"_CHO_","")))/LEN("_CHO_"))*2-((LEN(A44)-LEN(SUBSTITUTE(A44,"_COOH_","")))/LEN("_COOH_"))*2</f>
        <v>82</v>
      </c>
      <c r="I44" s="17">
        <v>1</v>
      </c>
      <c r="J44" s="17">
        <f>8+((LEN(A44)-LEN(SUBSTITUTE(A44,"_OH_","")))/LEN("_OH_"))*1+((LEN(A44)-LEN(SUBSTITUTE(A44,"_OOH_","")))/LEN("_OOH_"))*2+((LEN(A44)-LEN(SUBSTITUTE(A44,"_O_","")))/LEN("_O_"))*1+((LEN(A44)-LEN(SUBSTITUTE(A44,"_CHO_","")))/LEN("_CHO_"))*1+((LEN(A44)-LEN(SUBSTITUTE(A44,"_COOH_","")))/LEN("_COOH_"))*2</f>
        <v>8</v>
      </c>
      <c r="K44" s="17">
        <v>1</v>
      </c>
      <c r="L44" s="19" t="str">
        <f t="shared" si="19"/>
        <v>C43H82N1O8P1</v>
      </c>
      <c r="M44" s="19">
        <f t="shared" si="20"/>
        <v>771.57777420000002</v>
      </c>
      <c r="N44" s="19">
        <f>M44+1.0078246-0.00055</f>
        <v>772.5850488000001</v>
      </c>
      <c r="O44" s="19">
        <f>N44-18.01057-0.00055</f>
        <v>754.57392880000009</v>
      </c>
      <c r="P44" s="19">
        <f>M44+18.03437-0.00055</f>
        <v>789.61159420000001</v>
      </c>
      <c r="Q44" s="19">
        <f>M44+22.98977-0.00055</f>
        <v>794.56699420000007</v>
      </c>
      <c r="R44" s="19">
        <f>M44+38.96371-0.00055</f>
        <v>810.54093420000004</v>
      </c>
      <c r="S44" s="19">
        <f>M44+7.01601-0.00055</f>
        <v>778.5932342000001</v>
      </c>
      <c r="T44" s="42">
        <f>M44-1.0078246+0.00055</f>
        <v>770.57049959999995</v>
      </c>
      <c r="U44" s="19">
        <f>M44+44.99767+0.00055</f>
        <v>816.57599419999997</v>
      </c>
      <c r="V44" s="19">
        <f>M44+59.01332+0.00055</f>
        <v>830.59164420000002</v>
      </c>
    </row>
    <row r="45" spans="1:22" x14ac:dyDescent="0.25">
      <c r="A45" s="17" t="s">
        <v>497</v>
      </c>
      <c r="B45" s="17" t="str">
        <f>IF(ISNUMBER(SEARCH("(",A45)),IF(ISNUMBER(SEARCH("/",A45)),CONCATENATE(MID(A45,1,2)," ",(SUM(MID(A45,FIND("(",A45)+1,FIND(":",A45)-FIND("(",A45)-1),MID(A45,FIND("/",A45)+1,FIND(":",A45,FIND("/",A45))-FIND("/",A45)-1))),":",SUM(MID(A45,FIND(":",A45)+1,FIND("/",A45)-FIND(":",A45)-1),MID(A45,FIND(":",A45,FIND("/",A45))+1,FIND(")",A45)-FIND(":",A45,FIND("/",A45))-1)),MID(A45,(FIND(")",A45)+1),100)),CONCATENATE(MID(A45,1,2)," ",(SUM(MID(A45,FIND("(",A45)+1,FIND(":",A45)-FIND("(",A45)-1),MID(A45,FIND("_",A45)+1,FIND(":",A45,FIND("_",A45))-FIND("_",A45)-1))),":",SUM(MID(A45,FIND(":",A45)+1,FIND("_",A45)-FIND(":",A45)-1),MID(A45,FIND(":",A45,FIND("_",A45))+1,FIND(")",A45)-FIND(":",A45,FIND("_",A45))-1)),MID(A45,(FIND(")",A45)+1),100))),A45)</f>
        <v>PE 38:1</v>
      </c>
      <c r="C45" s="1" t="str">
        <f>MID(B45,4,FIND(":",B45)-FIND(" ",B45)-1)</f>
        <v>38</v>
      </c>
      <c r="D45" s="1" t="str">
        <f>IF(ISNUMBER(SEARCH("__",B45)),MID(B45,FIND(":",B45)+1,FIND("__",B45)-FIND(":",B45)-1),MID(B45,FIND(":",B45)+1,7))</f>
        <v>1</v>
      </c>
      <c r="E45" s="17" t="str">
        <f t="shared" si="15"/>
        <v>8</v>
      </c>
      <c r="G45" s="17">
        <f t="shared" si="16"/>
        <v>43</v>
      </c>
      <c r="H45" s="17">
        <f>2*G45-(2*D45)-((LEN(A45)-LEN(SUBSTITUTE(A45,"_O_","")))/LEN("_O_"))*2-((LEN(A45)-LEN(SUBSTITUTE(A45,"_CHO_","")))/LEN("_CHO_"))*2-((LEN(A45)-LEN(SUBSTITUTE(A45,"_COOH_","")))/LEN("_COOH_"))*2</f>
        <v>84</v>
      </c>
      <c r="I45" s="17">
        <v>1</v>
      </c>
      <c r="J45" s="17">
        <f>8+((LEN(A45)-LEN(SUBSTITUTE(A45,"_OH_","")))/LEN("_OH_"))*1+((LEN(A45)-LEN(SUBSTITUTE(A45,"_OOH_","")))/LEN("_OOH_"))*2+((LEN(A45)-LEN(SUBSTITUTE(A45,"_O_","")))/LEN("_O_"))*1+((LEN(A45)-LEN(SUBSTITUTE(A45,"_CHO_","")))/LEN("_CHO_"))*1+((LEN(A45)-LEN(SUBSTITUTE(A45,"_COOH_","")))/LEN("_COOH_"))*2</f>
        <v>8</v>
      </c>
      <c r="K45" s="17">
        <v>1</v>
      </c>
      <c r="L45" s="19" t="str">
        <f t="shared" si="19"/>
        <v>C43H84N1O8P1</v>
      </c>
      <c r="M45" s="19">
        <f t="shared" si="20"/>
        <v>773.59342340000001</v>
      </c>
      <c r="N45" s="19">
        <f>M45+1.0078246-0.00055</f>
        <v>774.60069800000008</v>
      </c>
      <c r="O45" s="19">
        <f>N45-18.01057-0.00055</f>
        <v>756.58957800000007</v>
      </c>
      <c r="P45" s="19">
        <f>M45+18.03437-0.00055</f>
        <v>791.6272434</v>
      </c>
      <c r="Q45" s="19">
        <f>M45+22.98977-0.00055</f>
        <v>796.58264340000005</v>
      </c>
      <c r="R45" s="19">
        <f>M45+38.96371-0.00055</f>
        <v>812.55658340000002</v>
      </c>
      <c r="S45" s="19">
        <f>M45+7.01601-0.00055</f>
        <v>780.60888340000008</v>
      </c>
      <c r="T45" s="42">
        <f>M45-1.0078246+0.00055</f>
        <v>772.58614879999993</v>
      </c>
      <c r="U45" s="19">
        <f>M45+44.99767+0.00055</f>
        <v>818.59164339999995</v>
      </c>
      <c r="V45" s="19">
        <f>M45+59.01332+0.00055</f>
        <v>832.6072934</v>
      </c>
    </row>
    <row r="46" spans="1:22" x14ac:dyDescent="0.25">
      <c r="A46" s="17" t="s">
        <v>400</v>
      </c>
      <c r="B46" s="17" t="str">
        <f t="shared" si="12"/>
        <v>PE 38:0</v>
      </c>
      <c r="C46" s="1" t="str">
        <f t="shared" si="13"/>
        <v>38</v>
      </c>
      <c r="D46" s="1" t="str">
        <f t="shared" si="14"/>
        <v>0</v>
      </c>
      <c r="E46" s="17" t="str">
        <f t="shared" si="15"/>
        <v>8</v>
      </c>
      <c r="G46" s="17">
        <f t="shared" si="16"/>
        <v>43</v>
      </c>
      <c r="H46" s="17">
        <f t="shared" si="17"/>
        <v>86</v>
      </c>
      <c r="I46" s="17">
        <v>1</v>
      </c>
      <c r="J46" s="17">
        <f t="shared" si="18"/>
        <v>8</v>
      </c>
      <c r="K46" s="17">
        <v>1</v>
      </c>
      <c r="L46" s="19" t="str">
        <f t="shared" si="19"/>
        <v>C43H86N1O8P1</v>
      </c>
      <c r="M46" s="19">
        <f t="shared" si="20"/>
        <v>775.60907259999999</v>
      </c>
      <c r="N46" s="19">
        <f t="shared" si="21"/>
        <v>776.61634720000006</v>
      </c>
      <c r="O46" s="19">
        <f t="shared" si="22"/>
        <v>758.60522720000006</v>
      </c>
      <c r="P46" s="19">
        <f t="shared" si="23"/>
        <v>793.64289259999998</v>
      </c>
      <c r="Q46" s="19">
        <f t="shared" si="24"/>
        <v>798.59829260000004</v>
      </c>
      <c r="R46" s="19">
        <f t="shared" si="25"/>
        <v>814.57223260000001</v>
      </c>
      <c r="S46" s="19">
        <f t="shared" si="26"/>
        <v>782.62453260000007</v>
      </c>
      <c r="T46" s="42">
        <f t="shared" si="27"/>
        <v>774.60179799999992</v>
      </c>
      <c r="U46" s="19">
        <f t="shared" si="28"/>
        <v>820.60729259999994</v>
      </c>
      <c r="V46" s="19">
        <f t="shared" si="29"/>
        <v>834.62294259999999</v>
      </c>
    </row>
    <row r="49" spans="3:4" x14ac:dyDescent="0.25">
      <c r="C49" s="1"/>
      <c r="D49" s="1"/>
    </row>
    <row r="50" spans="3:4" x14ac:dyDescent="0.25">
      <c r="C50" s="1"/>
      <c r="D50" s="1"/>
    </row>
    <row r="51" spans="3:4" x14ac:dyDescent="0.25">
      <c r="C51" s="1"/>
      <c r="D51" s="1"/>
    </row>
    <row r="52" spans="3:4" x14ac:dyDescent="0.25">
      <c r="C52" s="1"/>
      <c r="D52" s="1"/>
    </row>
    <row r="53" spans="3:4" x14ac:dyDescent="0.25">
      <c r="C53" s="1"/>
      <c r="D53" s="1"/>
    </row>
    <row r="54" spans="3:4" x14ac:dyDescent="0.25">
      <c r="C54" s="1"/>
      <c r="D54" s="1"/>
    </row>
  </sheetData>
  <sortState ref="A121:R160">
    <sortCondition ref="A121:A160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7"/>
  <dimension ref="A1:W48"/>
  <sheetViews>
    <sheetView showGridLines="0" zoomScaleNormal="100" workbookViewId="0">
      <pane xSplit="11" ySplit="2" topLeftCell="L3" activePane="bottomRight" state="frozen"/>
      <selection pane="topRight"/>
      <selection pane="bottomLeft"/>
      <selection pane="bottomRight" activeCell="Y14" sqref="Y14"/>
    </sheetView>
  </sheetViews>
  <sheetFormatPr defaultColWidth="9.140625" defaultRowHeight="15.75" x14ac:dyDescent="0.25"/>
  <cols>
    <col min="1" max="1" width="22.85546875" style="17" customWidth="1"/>
    <col min="2" max="2" width="0.85546875" style="17" customWidth="1"/>
    <col min="3" max="3" width="3.85546875" style="17" hidden="1" customWidth="1"/>
    <col min="4" max="4" width="2.5703125" style="17" hidden="1" customWidth="1"/>
    <col min="5" max="6" width="9.140625" style="17" hidden="1" customWidth="1"/>
    <col min="7" max="8" width="10.85546875" style="17" hidden="1" customWidth="1"/>
    <col min="9" max="11" width="9.5703125" style="17" hidden="1" customWidth="1"/>
    <col min="12" max="12" width="18.7109375" style="19" bestFit="1" customWidth="1"/>
    <col min="13" max="13" width="15.85546875" style="19" bestFit="1" customWidth="1"/>
    <col min="14" max="14" width="12.140625" style="19" bestFit="1" customWidth="1"/>
    <col min="15" max="15" width="14.42578125" style="19" bestFit="1" customWidth="1"/>
    <col min="16" max="20" width="12.140625" style="19" bestFit="1" customWidth="1"/>
    <col min="21" max="21" width="13.5703125" style="19" bestFit="1" customWidth="1"/>
    <col min="22" max="22" width="16.5703125" style="19" bestFit="1" customWidth="1"/>
    <col min="23" max="23" width="12.140625" bestFit="1" customWidth="1"/>
  </cols>
  <sheetData>
    <row r="1" spans="1:23" s="28" customFormat="1" x14ac:dyDescent="0.25">
      <c r="A1" s="27" t="s">
        <v>59</v>
      </c>
      <c r="B1" s="27" t="s">
        <v>5</v>
      </c>
      <c r="C1" s="27"/>
      <c r="D1" s="27"/>
      <c r="E1" s="27"/>
      <c r="F1" s="27"/>
      <c r="G1" s="27" t="s">
        <v>0</v>
      </c>
      <c r="H1" s="27" t="s">
        <v>1</v>
      </c>
      <c r="I1" s="27" t="s">
        <v>8</v>
      </c>
      <c r="J1" s="27" t="s">
        <v>2</v>
      </c>
      <c r="K1" s="27" t="s">
        <v>9</v>
      </c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  <c r="W1" s="29"/>
    </row>
    <row r="2" spans="1:23" hidden="1" x14ac:dyDescent="0.25">
      <c r="A2" s="17" t="s">
        <v>80</v>
      </c>
      <c r="B2" s="17" t="str">
        <f t="shared" ref="B2:B22" si="0"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LPE 12:0</v>
      </c>
      <c r="C2" s="1" t="str">
        <f t="shared" ref="C2:C22" si="1">MID(B2,5,FIND(":",B2)-FIND(" ",B2)-1)</f>
        <v>12</v>
      </c>
      <c r="D2" s="1" t="str">
        <f t="shared" ref="D2:D22" si="2">IF(ISNUMBER(SEARCH("__",B2)),MID(B2,FIND(":",B2)+1,FIND("__",B2)-FIND(":",B2)-1),MID(B2,FIND(":",B2)+1,7))</f>
        <v>0</v>
      </c>
      <c r="G2" s="17">
        <f t="shared" ref="G2" si="3">C2+5</f>
        <v>17</v>
      </c>
      <c r="H2" s="17">
        <f t="shared" ref="H2:H22" si="4">2*G2-(2*D2)+2-((LEN(A2)-LEN(SUBSTITUTE(A2,"_O_","")))/LEN("_O_"))*2-((LEN(A2)-LEN(SUBSTITUTE(A2,"_CHO_","")))/LEN("_CHO_"))*2-((LEN(A2)-LEN(SUBSTITUTE(A2,"_COOH_","")))/LEN("_COOH_"))*2</f>
        <v>36</v>
      </c>
      <c r="I2" s="17">
        <v>1</v>
      </c>
      <c r="J2" s="17">
        <f t="shared" ref="J2:J22" si="5">7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7</v>
      </c>
      <c r="K2" s="17">
        <v>1</v>
      </c>
      <c r="L2" s="19" t="str">
        <f t="shared" ref="L2" si="6">CONCATENATE("C",G2,"H",H2,"N",I2,"O",J2,"P",K2)</f>
        <v>C17H36N1O7P1</v>
      </c>
      <c r="M2" s="19">
        <f t="shared" ref="M2" si="7">(G2*12)+(H2*1.0078246)+(I2*14.003074)+(J2*15.994915)+(K2*30.973763)</f>
        <v>397.22292759999999</v>
      </c>
      <c r="N2" s="19">
        <f t="shared" ref="N2:N22" si="8">M2+1.0078246-0.00055</f>
        <v>398.23020220000001</v>
      </c>
      <c r="O2" s="19">
        <f t="shared" ref="O2:O22" si="9">N2-18.01057-0.00055</f>
        <v>380.2190822</v>
      </c>
      <c r="P2" s="19">
        <f t="shared" ref="P2:P22" si="10">M2+18.03437-0.00055</f>
        <v>415.25674760000004</v>
      </c>
      <c r="Q2" s="19">
        <f t="shared" ref="Q2:Q22" si="11">M2+22.98977-0.00055</f>
        <v>420.21214760000004</v>
      </c>
      <c r="R2" s="19">
        <f t="shared" ref="R2:R22" si="12">M2+38.96371-0.00055</f>
        <v>436.18608760000001</v>
      </c>
      <c r="S2" s="19">
        <f t="shared" ref="S2:S22" si="13">M2+7.01601-0.00055</f>
        <v>404.23838760000001</v>
      </c>
      <c r="T2" s="19">
        <f t="shared" ref="T2:T22" si="14">M2-1.0078246+0.00055</f>
        <v>396.21565299999997</v>
      </c>
      <c r="U2" s="19">
        <f t="shared" ref="U2:U22" si="15">M2+44.99767+0.00055</f>
        <v>442.22114759999999</v>
      </c>
      <c r="V2" s="19">
        <f t="shared" ref="V2:V22" si="16">M2+59.01332+0.00055</f>
        <v>456.23679759999999</v>
      </c>
    </row>
    <row r="3" spans="1:23" x14ac:dyDescent="0.25">
      <c r="A3" s="17" t="s">
        <v>80</v>
      </c>
      <c r="B3" s="17" t="str">
        <f t="shared" si="0"/>
        <v>LPE 12:0</v>
      </c>
      <c r="C3" s="1" t="str">
        <f t="shared" si="1"/>
        <v>12</v>
      </c>
      <c r="D3" s="1" t="str">
        <f t="shared" si="2"/>
        <v>0</v>
      </c>
      <c r="G3" s="17">
        <f t="shared" ref="G3:G17" si="17">C3+5</f>
        <v>17</v>
      </c>
      <c r="H3" s="17">
        <f t="shared" si="4"/>
        <v>36</v>
      </c>
      <c r="I3" s="17">
        <v>1</v>
      </c>
      <c r="J3" s="17">
        <f t="shared" si="5"/>
        <v>7</v>
      </c>
      <c r="K3" s="17">
        <v>1</v>
      </c>
      <c r="L3" s="19" t="str">
        <f t="shared" ref="L3:L17" si="18">CONCATENATE("C",G3,"H",H3,"N",I3,"O",J3,"P",K3)</f>
        <v>C17H36N1O7P1</v>
      </c>
      <c r="M3" s="19">
        <f t="shared" ref="M3:M17" si="19">(G3*12)+(H3*1.0078246)+(I3*14.003074)+(J3*15.994915)+(K3*30.973763)</f>
        <v>397.22292759999999</v>
      </c>
      <c r="N3" s="19">
        <f t="shared" si="8"/>
        <v>398.23020220000001</v>
      </c>
      <c r="O3" s="19">
        <f t="shared" si="9"/>
        <v>380.2190822</v>
      </c>
      <c r="P3" s="19">
        <f t="shared" si="10"/>
        <v>415.25674760000004</v>
      </c>
      <c r="Q3" s="19">
        <f t="shared" si="11"/>
        <v>420.21214760000004</v>
      </c>
      <c r="R3" s="19">
        <f t="shared" si="12"/>
        <v>436.18608760000001</v>
      </c>
      <c r="S3" s="19">
        <f t="shared" si="13"/>
        <v>404.23838760000001</v>
      </c>
      <c r="T3" s="19">
        <f t="shared" si="14"/>
        <v>396.21565299999997</v>
      </c>
      <c r="U3" s="19">
        <f t="shared" si="15"/>
        <v>442.22114759999999</v>
      </c>
      <c r="V3" s="19">
        <f t="shared" si="16"/>
        <v>456.23679759999999</v>
      </c>
      <c r="W3" s="19"/>
    </row>
    <row r="4" spans="1:23" x14ac:dyDescent="0.25">
      <c r="A4" s="17" t="s">
        <v>414</v>
      </c>
      <c r="B4" s="17" t="str">
        <f t="shared" si="0"/>
        <v>LPE 13:0</v>
      </c>
      <c r="C4" s="1" t="str">
        <f t="shared" si="1"/>
        <v>13</v>
      </c>
      <c r="D4" s="1" t="str">
        <f t="shared" si="2"/>
        <v>0</v>
      </c>
      <c r="G4" s="17">
        <f t="shared" si="17"/>
        <v>18</v>
      </c>
      <c r="H4" s="17">
        <f t="shared" si="4"/>
        <v>38</v>
      </c>
      <c r="I4" s="17">
        <v>1</v>
      </c>
      <c r="J4" s="17">
        <f t="shared" si="5"/>
        <v>7</v>
      </c>
      <c r="K4" s="17">
        <v>1</v>
      </c>
      <c r="L4" s="19" t="str">
        <f t="shared" si="18"/>
        <v>C18H38N1O7P1</v>
      </c>
      <c r="M4" s="19">
        <f t="shared" si="19"/>
        <v>411.23857680000003</v>
      </c>
      <c r="N4" s="19">
        <f t="shared" si="8"/>
        <v>412.24585140000005</v>
      </c>
      <c r="O4" s="19">
        <f t="shared" si="9"/>
        <v>394.2347314000001</v>
      </c>
      <c r="P4" s="19">
        <f t="shared" si="10"/>
        <v>429.27239680000008</v>
      </c>
      <c r="Q4" s="19">
        <f t="shared" si="11"/>
        <v>434.22779680000008</v>
      </c>
      <c r="R4" s="19">
        <f t="shared" si="12"/>
        <v>450.20173680000005</v>
      </c>
      <c r="S4" s="19">
        <f t="shared" si="13"/>
        <v>418.25403680000005</v>
      </c>
      <c r="T4" s="19">
        <f t="shared" si="14"/>
        <v>410.23130220000002</v>
      </c>
      <c r="U4" s="19">
        <f t="shared" si="15"/>
        <v>456.23679679999998</v>
      </c>
      <c r="V4" s="19">
        <f t="shared" si="16"/>
        <v>470.25244680000003</v>
      </c>
      <c r="W4" s="19"/>
    </row>
    <row r="5" spans="1:23" x14ac:dyDescent="0.25">
      <c r="A5" s="17" t="s">
        <v>81</v>
      </c>
      <c r="B5" s="17" t="str">
        <f t="shared" si="0"/>
        <v>LPE 14:0</v>
      </c>
      <c r="C5" s="1" t="str">
        <f t="shared" si="1"/>
        <v>14</v>
      </c>
      <c r="D5" s="1" t="str">
        <f t="shared" si="2"/>
        <v>0</v>
      </c>
      <c r="G5" s="17">
        <f t="shared" si="17"/>
        <v>19</v>
      </c>
      <c r="H5" s="17">
        <f t="shared" si="4"/>
        <v>40</v>
      </c>
      <c r="I5" s="17">
        <v>1</v>
      </c>
      <c r="J5" s="17">
        <f t="shared" si="5"/>
        <v>7</v>
      </c>
      <c r="K5" s="17">
        <v>1</v>
      </c>
      <c r="L5" s="19" t="str">
        <f t="shared" si="18"/>
        <v>C19H40N1O7P1</v>
      </c>
      <c r="M5" s="19">
        <f t="shared" si="19"/>
        <v>425.25422600000007</v>
      </c>
      <c r="N5" s="19">
        <f t="shared" si="8"/>
        <v>426.26150060000009</v>
      </c>
      <c r="O5" s="19">
        <f t="shared" si="9"/>
        <v>408.25038060000008</v>
      </c>
      <c r="P5" s="19">
        <f t="shared" si="10"/>
        <v>443.28804600000012</v>
      </c>
      <c r="Q5" s="19">
        <f t="shared" si="11"/>
        <v>448.24344600000012</v>
      </c>
      <c r="R5" s="19">
        <f t="shared" si="12"/>
        <v>464.21738600000009</v>
      </c>
      <c r="S5" s="19">
        <f t="shared" si="13"/>
        <v>432.26968600000009</v>
      </c>
      <c r="T5" s="19">
        <f t="shared" si="14"/>
        <v>424.24695140000006</v>
      </c>
      <c r="U5" s="19">
        <f t="shared" si="15"/>
        <v>470.25244600000008</v>
      </c>
      <c r="V5" s="19">
        <f t="shared" si="16"/>
        <v>484.26809600000007</v>
      </c>
      <c r="W5" s="19"/>
    </row>
    <row r="6" spans="1:23" x14ac:dyDescent="0.25">
      <c r="A6" s="17" t="s">
        <v>616</v>
      </c>
      <c r="B6" s="17" t="str">
        <f>IF(ISNUMBER(SEARCH("(",A6)),IF(ISNUMBER(SEARCH("/",A6)),CONCATENATE(MID(A6,1,2)," ",(SUM(MID(A6,FIND("(",A6)+1,FIND(":",A6)-FIND("(",A6)-1),MID(A6,FIND("/",A6)+1,FIND(":",A6,FIND("/",A6))-FIND("/",A6)-1))),":",SUM(MID(A6,FIND(":",A6)+1,FIND("/",A6)-FIND(":",A6)-1),MID(A6,FIND(":",A6,FIND("/",A6))+1,FIND(")",A6)-FIND(":",A6,FIND("/",A6))-1)),MID(A6,(FIND(")",A6)+1),100)),CONCATENATE(MID(A6,1,2)," ",(SUM(MID(A6,FIND("(",A6)+1,FIND(":",A6)-FIND("(",A6)-1),MID(A6,FIND("_",A6)+1,FIND(":",A6,FIND("_",A6))-FIND("_",A6)-1))),":",SUM(MID(A6,FIND(":",A6)+1,FIND("_",A6)-FIND(":",A6)-1),MID(A6,FIND(":",A6,FIND("_",A6))+1,FIND(")",A6)-FIND(":",A6,FIND("_",A6))-1)),MID(A6,(FIND(")",A6)+1),100))),A6)</f>
        <v>LPE 15:1</v>
      </c>
      <c r="C6" s="1" t="str">
        <f>MID(B6,5,FIND(":",B6)-FIND(" ",B6)-1)</f>
        <v>15</v>
      </c>
      <c r="D6" s="1" t="str">
        <f>IF(ISNUMBER(SEARCH("__",B6)),MID(B6,FIND(":",B6)+1,FIND("__",B6)-FIND(":",B6)-1),MID(B6,FIND(":",B6)+1,7))</f>
        <v>1</v>
      </c>
      <c r="G6" s="17">
        <f>C6+5</f>
        <v>20</v>
      </c>
      <c r="H6" s="17">
        <f>2*G6-(2*D6)+2-((LEN(A6)-LEN(SUBSTITUTE(A6,"_O_","")))/LEN("_O_"))*2-((LEN(A6)-LEN(SUBSTITUTE(A6,"_CHO_","")))/LEN("_CHO_"))*2-((LEN(A6)-LEN(SUBSTITUTE(A6,"_COOH_","")))/LEN("_COOH_"))*2</f>
        <v>40</v>
      </c>
      <c r="I6" s="17">
        <v>1</v>
      </c>
      <c r="J6" s="17">
        <f>7+((LEN(A6)-LEN(SUBSTITUTE(A6,"_OH_","")))/LEN("_OH_"))*1+((LEN(A6)-LEN(SUBSTITUTE(A6,"_OOH_","")))/LEN("_OOH_"))*2+((LEN(A6)-LEN(SUBSTITUTE(A6,"_O_","")))/LEN("_O_"))*1+((LEN(A6)-LEN(SUBSTITUTE(A6,"_CHO_","")))/LEN("_CHO_"))*1+((LEN(A6)-LEN(SUBSTITUTE(A6,"_COOH_","")))/LEN("_COOH_"))*2</f>
        <v>7</v>
      </c>
      <c r="K6" s="17">
        <v>1</v>
      </c>
      <c r="L6" s="19" t="str">
        <f>CONCATENATE("C",G6,"H",H6,"N",I6,"O",J6,"P",K6)</f>
        <v>C20H40N1O7P1</v>
      </c>
      <c r="M6" s="19">
        <f>(G6*12)+(H6*1.0078246)+(I6*14.003074)+(J6*15.994915)+(K6*30.973763)</f>
        <v>437.25422600000007</v>
      </c>
      <c r="N6" s="19">
        <f>M6+1.0078246-0.00055</f>
        <v>438.26150060000009</v>
      </c>
      <c r="O6" s="19">
        <f>N6-18.01057-0.00055</f>
        <v>420.25038060000008</v>
      </c>
      <c r="P6" s="19">
        <f>M6+18.03437-0.00055</f>
        <v>455.28804600000012</v>
      </c>
      <c r="Q6" s="19">
        <f>M6+22.98977-0.00055</f>
        <v>460.24344600000012</v>
      </c>
      <c r="R6" s="19">
        <f>M6+38.96371-0.00055</f>
        <v>476.21738600000009</v>
      </c>
      <c r="S6" s="19">
        <f>M6+7.01601-0.00055</f>
        <v>444.26968600000009</v>
      </c>
      <c r="T6" s="19">
        <f>M6-1.0078246+0.00055</f>
        <v>436.24695140000006</v>
      </c>
      <c r="U6" s="19">
        <f>M6+44.99767+0.00055</f>
        <v>482.25244600000008</v>
      </c>
      <c r="V6" s="19">
        <f>M6+59.01332+0.00055</f>
        <v>496.26809600000007</v>
      </c>
    </row>
    <row r="7" spans="1:23" x14ac:dyDescent="0.25">
      <c r="A7" s="17" t="s">
        <v>415</v>
      </c>
      <c r="B7" s="17" t="str">
        <f t="shared" si="0"/>
        <v>LPE 15:0</v>
      </c>
      <c r="C7" s="1" t="str">
        <f t="shared" si="1"/>
        <v>15</v>
      </c>
      <c r="D7" s="1" t="str">
        <f t="shared" si="2"/>
        <v>0</v>
      </c>
      <c r="G7" s="17">
        <f t="shared" si="17"/>
        <v>20</v>
      </c>
      <c r="H7" s="17">
        <f t="shared" si="4"/>
        <v>42</v>
      </c>
      <c r="I7" s="17">
        <v>1</v>
      </c>
      <c r="J7" s="17">
        <f t="shared" si="5"/>
        <v>7</v>
      </c>
      <c r="K7" s="17">
        <v>1</v>
      </c>
      <c r="L7" s="19" t="str">
        <f t="shared" si="18"/>
        <v>C20H42N1O7P1</v>
      </c>
      <c r="M7" s="19">
        <f t="shared" si="19"/>
        <v>439.26987520000006</v>
      </c>
      <c r="N7" s="19">
        <f t="shared" si="8"/>
        <v>440.27714980000007</v>
      </c>
      <c r="O7" s="19">
        <f t="shared" si="9"/>
        <v>422.26602980000007</v>
      </c>
      <c r="P7" s="19">
        <f t="shared" si="10"/>
        <v>457.30369520000011</v>
      </c>
      <c r="Q7" s="19">
        <f t="shared" si="11"/>
        <v>462.2590952000001</v>
      </c>
      <c r="R7" s="19">
        <f t="shared" si="12"/>
        <v>478.23303520000007</v>
      </c>
      <c r="S7" s="19">
        <f t="shared" si="13"/>
        <v>446.28533520000008</v>
      </c>
      <c r="T7" s="19">
        <f t="shared" si="14"/>
        <v>438.26260060000004</v>
      </c>
      <c r="U7" s="19">
        <f t="shared" si="15"/>
        <v>484.26809520000006</v>
      </c>
      <c r="V7" s="19">
        <f t="shared" si="16"/>
        <v>498.28374520000006</v>
      </c>
      <c r="W7" s="19"/>
    </row>
    <row r="8" spans="1:23" x14ac:dyDescent="0.25">
      <c r="A8" s="17" t="s">
        <v>453</v>
      </c>
      <c r="B8" s="17" t="str">
        <f t="shared" ref="B8" si="20">IF(ISNUMBER(SEARCH("(",A8)),IF(ISNUMBER(SEARCH("/",A8)),CONCATENATE(MID(A8,1,2)," ",(SUM(MID(A8,FIND("(",A8)+1,FIND(":",A8)-FIND("(",A8)-1),MID(A8,FIND("/",A8)+1,FIND(":",A8,FIND("/",A8))-FIND("/",A8)-1))),":",SUM(MID(A8,FIND(":",A8)+1,FIND("/",A8)-FIND(":",A8)-1),MID(A8,FIND(":",A8,FIND("/",A8))+1,FIND(")",A8)-FIND(":",A8,FIND("/",A8))-1)),MID(A8,(FIND(")",A8)+1),100)),CONCATENATE(MID(A8,1,2)," ",(SUM(MID(A8,FIND("(",A8)+1,FIND(":",A8)-FIND("(",A8)-1),MID(A8,FIND("_",A8)+1,FIND(":",A8,FIND("_",A8))-FIND("_",A8)-1))),":",SUM(MID(A8,FIND(":",A8)+1,FIND("_",A8)-FIND(":",A8)-1),MID(A8,FIND(":",A8,FIND("_",A8))+1,FIND(")",A8)-FIND(":",A8,FIND("_",A8))-1)),MID(A8,(FIND(")",A8)+1),100))),A8)</f>
        <v>LPE 16:1</v>
      </c>
      <c r="C8" s="1" t="str">
        <f t="shared" ref="C8" si="21">MID(B8,5,FIND(":",B8)-FIND(" ",B8)-1)</f>
        <v>16</v>
      </c>
      <c r="D8" s="1" t="str">
        <f t="shared" ref="D8" si="22">IF(ISNUMBER(SEARCH("__",B8)),MID(B8,FIND(":",B8)+1,FIND("__",B8)-FIND(":",B8)-1),MID(B8,FIND(":",B8)+1,7))</f>
        <v>1</v>
      </c>
      <c r="G8" s="17">
        <f t="shared" si="17"/>
        <v>21</v>
      </c>
      <c r="H8" s="17">
        <f t="shared" ref="H8" si="23">2*G8-(2*D8)+2-((LEN(A8)-LEN(SUBSTITUTE(A8,"_O_","")))/LEN("_O_"))*2-((LEN(A8)-LEN(SUBSTITUTE(A8,"_CHO_","")))/LEN("_CHO_"))*2-((LEN(A8)-LEN(SUBSTITUTE(A8,"_COOH_","")))/LEN("_COOH_"))*2</f>
        <v>42</v>
      </c>
      <c r="I8" s="17">
        <v>1</v>
      </c>
      <c r="J8" s="17">
        <f t="shared" ref="J8" si="24">7+((LEN(A8)-LEN(SUBSTITUTE(A8,"_OH_","")))/LEN("_OH_"))*1+((LEN(A8)-LEN(SUBSTITUTE(A8,"_OOH_","")))/LEN("_OOH_"))*2+((LEN(A8)-LEN(SUBSTITUTE(A8,"_O_","")))/LEN("_O_"))*1+((LEN(A8)-LEN(SUBSTITUTE(A8,"_CHO_","")))/LEN("_CHO_"))*1+((LEN(A8)-LEN(SUBSTITUTE(A8,"_COOH_","")))/LEN("_COOH_"))*2</f>
        <v>7</v>
      </c>
      <c r="K8" s="17">
        <v>1</v>
      </c>
      <c r="L8" s="19" t="str">
        <f t="shared" si="18"/>
        <v>C21H42N1O7P1</v>
      </c>
      <c r="M8" s="19">
        <f t="shared" si="19"/>
        <v>451.26987520000006</v>
      </c>
      <c r="N8" s="19">
        <f t="shared" ref="N8" si="25">M8+1.0078246-0.00055</f>
        <v>452.27714980000007</v>
      </c>
      <c r="O8" s="19">
        <f t="shared" ref="O8" si="26">N8-18.01057-0.00055</f>
        <v>434.26602980000007</v>
      </c>
      <c r="P8" s="19">
        <f t="shared" ref="P8" si="27">M8+18.03437-0.00055</f>
        <v>469.30369520000011</v>
      </c>
      <c r="Q8" s="19">
        <f t="shared" ref="Q8" si="28">M8+22.98977-0.00055</f>
        <v>474.2590952000001</v>
      </c>
      <c r="R8" s="19">
        <f t="shared" ref="R8" si="29">M8+38.96371-0.00055</f>
        <v>490.23303520000007</v>
      </c>
      <c r="S8" s="19">
        <f t="shared" ref="S8" si="30">M8+7.01601-0.00055</f>
        <v>458.28533520000008</v>
      </c>
      <c r="T8" s="19">
        <f t="shared" ref="T8" si="31">M8-1.0078246+0.00055</f>
        <v>450.26260060000004</v>
      </c>
      <c r="U8" s="19">
        <f t="shared" ref="U8" si="32">M8+44.99767+0.00055</f>
        <v>496.26809520000006</v>
      </c>
      <c r="V8" s="19">
        <f t="shared" ref="V8" si="33">M8+59.01332+0.00055</f>
        <v>510.28374520000006</v>
      </c>
    </row>
    <row r="9" spans="1:23" x14ac:dyDescent="0.25">
      <c r="A9" s="17" t="s">
        <v>416</v>
      </c>
      <c r="B9" s="17" t="str">
        <f t="shared" si="0"/>
        <v>LPE 16:0</v>
      </c>
      <c r="C9" s="1" t="str">
        <f t="shared" si="1"/>
        <v>16</v>
      </c>
      <c r="D9" s="1" t="str">
        <f t="shared" si="2"/>
        <v>0</v>
      </c>
      <c r="G9" s="17">
        <f t="shared" si="17"/>
        <v>21</v>
      </c>
      <c r="H9" s="17">
        <f t="shared" si="4"/>
        <v>44</v>
      </c>
      <c r="I9" s="17">
        <v>1</v>
      </c>
      <c r="J9" s="17">
        <f t="shared" si="5"/>
        <v>7</v>
      </c>
      <c r="K9" s="17">
        <v>1</v>
      </c>
      <c r="L9" s="19" t="str">
        <f t="shared" si="18"/>
        <v>C21H44N1O7P1</v>
      </c>
      <c r="M9" s="19">
        <f t="shared" si="19"/>
        <v>453.28552440000004</v>
      </c>
      <c r="N9" s="19">
        <f t="shared" si="8"/>
        <v>454.29279900000006</v>
      </c>
      <c r="O9" s="19">
        <f t="shared" si="9"/>
        <v>436.28167900000005</v>
      </c>
      <c r="P9" s="19">
        <f t="shared" si="10"/>
        <v>471.31934440000009</v>
      </c>
      <c r="Q9" s="19">
        <f t="shared" si="11"/>
        <v>476.27474440000009</v>
      </c>
      <c r="R9" s="19">
        <f t="shared" si="12"/>
        <v>492.24868440000006</v>
      </c>
      <c r="S9" s="19">
        <f t="shared" si="13"/>
        <v>460.30098440000006</v>
      </c>
      <c r="T9" s="19">
        <f t="shared" si="14"/>
        <v>452.27824980000003</v>
      </c>
      <c r="U9" s="19">
        <f t="shared" si="15"/>
        <v>498.28374440000005</v>
      </c>
      <c r="V9" s="19">
        <f t="shared" si="16"/>
        <v>512.29939439999998</v>
      </c>
      <c r="W9" s="19"/>
    </row>
    <row r="10" spans="1:23" x14ac:dyDescent="0.25">
      <c r="A10" s="17" t="s">
        <v>417</v>
      </c>
      <c r="B10" s="17" t="str">
        <f t="shared" si="0"/>
        <v>LPE 17:0</v>
      </c>
      <c r="C10" s="1" t="str">
        <f t="shared" si="1"/>
        <v>17</v>
      </c>
      <c r="D10" s="1" t="str">
        <f t="shared" si="2"/>
        <v>0</v>
      </c>
      <c r="G10" s="17">
        <f t="shared" si="17"/>
        <v>22</v>
      </c>
      <c r="H10" s="17">
        <f t="shared" si="4"/>
        <v>46</v>
      </c>
      <c r="I10" s="17">
        <v>1</v>
      </c>
      <c r="J10" s="17">
        <f t="shared" si="5"/>
        <v>7</v>
      </c>
      <c r="K10" s="17">
        <v>1</v>
      </c>
      <c r="L10" s="19" t="str">
        <f t="shared" si="18"/>
        <v>C22H46N1O7P1</v>
      </c>
      <c r="M10" s="19">
        <f t="shared" si="19"/>
        <v>467.30117360000003</v>
      </c>
      <c r="N10" s="19">
        <f t="shared" si="8"/>
        <v>468.30844820000004</v>
      </c>
      <c r="O10" s="19">
        <f t="shared" si="9"/>
        <v>450.29732820000004</v>
      </c>
      <c r="P10" s="19">
        <f t="shared" si="10"/>
        <v>485.33499360000008</v>
      </c>
      <c r="Q10" s="19">
        <f t="shared" si="11"/>
        <v>490.29039360000007</v>
      </c>
      <c r="R10" s="19">
        <f t="shared" si="12"/>
        <v>506.26433360000004</v>
      </c>
      <c r="S10" s="19">
        <f t="shared" si="13"/>
        <v>474.31663360000005</v>
      </c>
      <c r="T10" s="19">
        <f t="shared" si="14"/>
        <v>466.29389900000001</v>
      </c>
      <c r="U10" s="19">
        <f t="shared" si="15"/>
        <v>512.29939360000003</v>
      </c>
      <c r="V10" s="19">
        <f t="shared" si="16"/>
        <v>526.31504359999997</v>
      </c>
      <c r="W10" s="19"/>
    </row>
    <row r="11" spans="1:23" x14ac:dyDescent="0.25">
      <c r="A11" s="17" t="s">
        <v>418</v>
      </c>
      <c r="B11" s="17" t="str">
        <f t="shared" si="0"/>
        <v>LPE 17:1</v>
      </c>
      <c r="C11" s="1" t="str">
        <f t="shared" si="1"/>
        <v>17</v>
      </c>
      <c r="D11" s="1" t="str">
        <f t="shared" si="2"/>
        <v>1</v>
      </c>
      <c r="G11" s="17">
        <f t="shared" si="17"/>
        <v>22</v>
      </c>
      <c r="H11" s="17">
        <f t="shared" si="4"/>
        <v>44</v>
      </c>
      <c r="I11" s="17">
        <v>1</v>
      </c>
      <c r="J11" s="17">
        <f t="shared" si="5"/>
        <v>7</v>
      </c>
      <c r="K11" s="17">
        <v>1</v>
      </c>
      <c r="L11" s="19" t="str">
        <f t="shared" si="18"/>
        <v>C22H44N1O7P1</v>
      </c>
      <c r="M11" s="19">
        <f t="shared" si="19"/>
        <v>465.28552440000004</v>
      </c>
      <c r="N11" s="19">
        <f t="shared" si="8"/>
        <v>466.29279900000006</v>
      </c>
      <c r="O11" s="19">
        <f t="shared" si="9"/>
        <v>448.28167900000005</v>
      </c>
      <c r="P11" s="19">
        <f t="shared" si="10"/>
        <v>483.31934440000009</v>
      </c>
      <c r="Q11" s="19">
        <f t="shared" si="11"/>
        <v>488.27474440000009</v>
      </c>
      <c r="R11" s="19">
        <f t="shared" si="12"/>
        <v>504.24868440000006</v>
      </c>
      <c r="S11" s="19">
        <f t="shared" si="13"/>
        <v>472.30098440000006</v>
      </c>
      <c r="T11" s="19">
        <f t="shared" si="14"/>
        <v>464.27824980000003</v>
      </c>
      <c r="U11" s="19">
        <f t="shared" si="15"/>
        <v>510.28374440000005</v>
      </c>
      <c r="V11" s="19">
        <f t="shared" si="16"/>
        <v>524.29939439999998</v>
      </c>
      <c r="W11" s="19"/>
    </row>
    <row r="12" spans="1:23" x14ac:dyDescent="0.25">
      <c r="A12" s="17" t="s">
        <v>419</v>
      </c>
      <c r="B12" s="17" t="str">
        <f t="shared" si="0"/>
        <v>LPE 18:0</v>
      </c>
      <c r="C12" s="1" t="str">
        <f t="shared" si="1"/>
        <v>18</v>
      </c>
      <c r="D12" s="1" t="str">
        <f t="shared" si="2"/>
        <v>0</v>
      </c>
      <c r="G12" s="17">
        <f t="shared" si="17"/>
        <v>23</v>
      </c>
      <c r="H12" s="17">
        <f t="shared" si="4"/>
        <v>48</v>
      </c>
      <c r="I12" s="17">
        <v>1</v>
      </c>
      <c r="J12" s="17">
        <f t="shared" si="5"/>
        <v>7</v>
      </c>
      <c r="K12" s="17">
        <v>1</v>
      </c>
      <c r="L12" s="19" t="str">
        <f t="shared" si="18"/>
        <v>C23H48N1O7P1</v>
      </c>
      <c r="M12" s="19">
        <f t="shared" si="19"/>
        <v>481.31682280000001</v>
      </c>
      <c r="N12" s="19">
        <f t="shared" si="8"/>
        <v>482.32409740000003</v>
      </c>
      <c r="O12" s="19">
        <f t="shared" si="9"/>
        <v>464.31297740000002</v>
      </c>
      <c r="P12" s="19">
        <f t="shared" si="10"/>
        <v>499.35064280000006</v>
      </c>
      <c r="Q12" s="19">
        <f t="shared" si="11"/>
        <v>504.30604280000006</v>
      </c>
      <c r="R12" s="19">
        <f t="shared" si="12"/>
        <v>520.27998280000008</v>
      </c>
      <c r="S12" s="19">
        <f t="shared" si="13"/>
        <v>488.33228280000003</v>
      </c>
      <c r="T12" s="19">
        <f t="shared" si="14"/>
        <v>480.30954819999999</v>
      </c>
      <c r="U12" s="19">
        <f t="shared" si="15"/>
        <v>526.31504280000001</v>
      </c>
      <c r="V12" s="19">
        <f t="shared" si="16"/>
        <v>540.33069279999995</v>
      </c>
      <c r="W12" s="19"/>
    </row>
    <row r="13" spans="1:23" x14ac:dyDescent="0.25">
      <c r="A13" s="17" t="s">
        <v>420</v>
      </c>
      <c r="B13" s="17" t="str">
        <f t="shared" si="0"/>
        <v>LPE 18:1</v>
      </c>
      <c r="C13" s="1" t="str">
        <f t="shared" si="1"/>
        <v>18</v>
      </c>
      <c r="D13" s="1" t="str">
        <f t="shared" si="2"/>
        <v>1</v>
      </c>
      <c r="G13" s="17">
        <f t="shared" si="17"/>
        <v>23</v>
      </c>
      <c r="H13" s="17">
        <f t="shared" si="4"/>
        <v>46</v>
      </c>
      <c r="I13" s="17">
        <v>1</v>
      </c>
      <c r="J13" s="17">
        <f t="shared" si="5"/>
        <v>7</v>
      </c>
      <c r="K13" s="17">
        <v>1</v>
      </c>
      <c r="L13" s="19" t="str">
        <f t="shared" si="18"/>
        <v>C23H46N1O7P1</v>
      </c>
      <c r="M13" s="19">
        <f t="shared" si="19"/>
        <v>479.30117360000003</v>
      </c>
      <c r="N13" s="19">
        <f t="shared" si="8"/>
        <v>480.30844820000004</v>
      </c>
      <c r="O13" s="19">
        <f t="shared" si="9"/>
        <v>462.29732820000004</v>
      </c>
      <c r="P13" s="19">
        <f t="shared" si="10"/>
        <v>497.33499360000008</v>
      </c>
      <c r="Q13" s="19">
        <f t="shared" si="11"/>
        <v>502.29039360000007</v>
      </c>
      <c r="R13" s="19">
        <f t="shared" si="12"/>
        <v>518.2643336000001</v>
      </c>
      <c r="S13" s="19">
        <f t="shared" si="13"/>
        <v>486.31663360000005</v>
      </c>
      <c r="T13" s="19">
        <f t="shared" si="14"/>
        <v>478.29389900000001</v>
      </c>
      <c r="U13" s="19">
        <f t="shared" si="15"/>
        <v>524.29939360000003</v>
      </c>
      <c r="V13" s="19">
        <f t="shared" si="16"/>
        <v>538.31504359999997</v>
      </c>
      <c r="W13" s="19"/>
    </row>
    <row r="14" spans="1:23" x14ac:dyDescent="0.25">
      <c r="A14" s="18" t="s">
        <v>421</v>
      </c>
      <c r="B14" s="17" t="str">
        <f t="shared" si="0"/>
        <v>LPE 19:0</v>
      </c>
      <c r="C14" s="1" t="str">
        <f t="shared" si="1"/>
        <v>19</v>
      </c>
      <c r="D14" s="1" t="str">
        <f t="shared" si="2"/>
        <v>0</v>
      </c>
      <c r="G14" s="17">
        <f t="shared" si="17"/>
        <v>24</v>
      </c>
      <c r="H14" s="17">
        <f t="shared" si="4"/>
        <v>50</v>
      </c>
      <c r="I14" s="17">
        <v>1</v>
      </c>
      <c r="J14" s="17">
        <f t="shared" si="5"/>
        <v>7</v>
      </c>
      <c r="K14" s="17">
        <v>1</v>
      </c>
      <c r="L14" s="19" t="str">
        <f t="shared" si="18"/>
        <v>C24H50N1O7P1</v>
      </c>
      <c r="M14" s="19">
        <f t="shared" si="19"/>
        <v>495.33247200000005</v>
      </c>
      <c r="N14" s="19">
        <f t="shared" si="8"/>
        <v>496.33974660000007</v>
      </c>
      <c r="O14" s="19">
        <f t="shared" si="9"/>
        <v>478.32862660000012</v>
      </c>
      <c r="P14" s="19">
        <f t="shared" si="10"/>
        <v>513.36629200000004</v>
      </c>
      <c r="Q14" s="19">
        <f t="shared" si="11"/>
        <v>518.3216920000001</v>
      </c>
      <c r="R14" s="19">
        <f t="shared" si="12"/>
        <v>534.29563200000007</v>
      </c>
      <c r="S14" s="19">
        <f t="shared" si="13"/>
        <v>502.34793200000007</v>
      </c>
      <c r="T14" s="19">
        <f t="shared" si="14"/>
        <v>494.32519740000004</v>
      </c>
      <c r="U14" s="19">
        <f t="shared" si="15"/>
        <v>540.330692</v>
      </c>
      <c r="V14" s="19">
        <f t="shared" si="16"/>
        <v>554.34634200000005</v>
      </c>
      <c r="W14" s="19"/>
    </row>
    <row r="15" spans="1:23" x14ac:dyDescent="0.25">
      <c r="A15" s="18" t="s">
        <v>422</v>
      </c>
      <c r="B15" s="17" t="str">
        <f t="shared" si="0"/>
        <v>LPE 19:1</v>
      </c>
      <c r="C15" s="1" t="str">
        <f t="shared" si="1"/>
        <v>19</v>
      </c>
      <c r="D15" s="1" t="str">
        <f t="shared" si="2"/>
        <v>1</v>
      </c>
      <c r="G15" s="17">
        <f t="shared" si="17"/>
        <v>24</v>
      </c>
      <c r="H15" s="17">
        <f t="shared" si="4"/>
        <v>48</v>
      </c>
      <c r="I15" s="17">
        <v>1</v>
      </c>
      <c r="J15" s="17">
        <f t="shared" si="5"/>
        <v>7</v>
      </c>
      <c r="K15" s="17">
        <v>1</v>
      </c>
      <c r="L15" s="19" t="str">
        <f t="shared" si="18"/>
        <v>C24H48N1O7P1</v>
      </c>
      <c r="M15" s="19">
        <f t="shared" si="19"/>
        <v>493.31682280000001</v>
      </c>
      <c r="N15" s="19">
        <f t="shared" si="8"/>
        <v>494.32409740000003</v>
      </c>
      <c r="O15" s="19">
        <f t="shared" si="9"/>
        <v>476.31297740000002</v>
      </c>
      <c r="P15" s="19">
        <f t="shared" si="10"/>
        <v>511.35064280000006</v>
      </c>
      <c r="Q15" s="19">
        <f t="shared" si="11"/>
        <v>516.3060428</v>
      </c>
      <c r="R15" s="19">
        <f t="shared" si="12"/>
        <v>532.27998280000008</v>
      </c>
      <c r="S15" s="19">
        <f t="shared" si="13"/>
        <v>500.33228280000003</v>
      </c>
      <c r="T15" s="19">
        <f t="shared" si="14"/>
        <v>492.30954819999999</v>
      </c>
      <c r="U15" s="19">
        <f t="shared" si="15"/>
        <v>538.31504280000001</v>
      </c>
      <c r="V15" s="19">
        <f t="shared" si="16"/>
        <v>552.33069279999995</v>
      </c>
      <c r="W15" s="19"/>
    </row>
    <row r="16" spans="1:23" x14ac:dyDescent="0.25">
      <c r="A16" s="18" t="s">
        <v>423</v>
      </c>
      <c r="B16" s="17" t="str">
        <f t="shared" si="0"/>
        <v>LPE 20:0</v>
      </c>
      <c r="C16" s="1" t="str">
        <f t="shared" si="1"/>
        <v>20</v>
      </c>
      <c r="D16" s="1" t="str">
        <f t="shared" si="2"/>
        <v>0</v>
      </c>
      <c r="G16" s="17">
        <f t="shared" si="17"/>
        <v>25</v>
      </c>
      <c r="H16" s="17">
        <f t="shared" si="4"/>
        <v>52</v>
      </c>
      <c r="I16" s="17">
        <v>1</v>
      </c>
      <c r="J16" s="17">
        <f t="shared" si="5"/>
        <v>7</v>
      </c>
      <c r="K16" s="17">
        <v>1</v>
      </c>
      <c r="L16" s="19" t="str">
        <f t="shared" si="18"/>
        <v>C25H52N1O7P1</v>
      </c>
      <c r="M16" s="19">
        <f t="shared" si="19"/>
        <v>509.34812120000004</v>
      </c>
      <c r="N16" s="19">
        <f t="shared" si="8"/>
        <v>510.35539580000005</v>
      </c>
      <c r="O16" s="19">
        <f t="shared" si="9"/>
        <v>492.3442758000001</v>
      </c>
      <c r="P16" s="19">
        <f t="shared" si="10"/>
        <v>527.38194120000003</v>
      </c>
      <c r="Q16" s="19">
        <f t="shared" si="11"/>
        <v>532.33734120000008</v>
      </c>
      <c r="R16" s="19">
        <f t="shared" si="12"/>
        <v>548.31128120000005</v>
      </c>
      <c r="S16" s="19">
        <f t="shared" si="13"/>
        <v>516.36358120000011</v>
      </c>
      <c r="T16" s="19">
        <f t="shared" si="14"/>
        <v>508.34084660000002</v>
      </c>
      <c r="U16" s="19">
        <f t="shared" si="15"/>
        <v>554.34634119999998</v>
      </c>
      <c r="V16" s="19">
        <f t="shared" si="16"/>
        <v>568.36199120000003</v>
      </c>
      <c r="W16" s="19"/>
    </row>
    <row r="17" spans="1:23" x14ac:dyDescent="0.25">
      <c r="A17" s="18" t="s">
        <v>424</v>
      </c>
      <c r="B17" s="17" t="str">
        <f t="shared" si="0"/>
        <v>LPE 20:1</v>
      </c>
      <c r="C17" s="1" t="str">
        <f t="shared" si="1"/>
        <v>20</v>
      </c>
      <c r="D17" s="1" t="str">
        <f t="shared" si="2"/>
        <v>1</v>
      </c>
      <c r="G17" s="17">
        <f t="shared" si="17"/>
        <v>25</v>
      </c>
      <c r="H17" s="17">
        <f t="shared" si="4"/>
        <v>50</v>
      </c>
      <c r="I17" s="17">
        <v>1</v>
      </c>
      <c r="J17" s="17">
        <f t="shared" si="5"/>
        <v>7</v>
      </c>
      <c r="K17" s="17">
        <v>1</v>
      </c>
      <c r="L17" s="19" t="str">
        <f t="shared" si="18"/>
        <v>C25H50N1O7P1</v>
      </c>
      <c r="M17" s="19">
        <f t="shared" si="19"/>
        <v>507.33247200000005</v>
      </c>
      <c r="N17" s="19">
        <f t="shared" si="8"/>
        <v>508.33974660000007</v>
      </c>
      <c r="O17" s="19">
        <f t="shared" si="9"/>
        <v>490.32862660000012</v>
      </c>
      <c r="P17" s="19">
        <f t="shared" si="10"/>
        <v>525.36629200000004</v>
      </c>
      <c r="Q17" s="19">
        <f t="shared" si="11"/>
        <v>530.3216920000001</v>
      </c>
      <c r="R17" s="19">
        <f t="shared" si="12"/>
        <v>546.29563200000007</v>
      </c>
      <c r="S17" s="19">
        <f t="shared" si="13"/>
        <v>514.34793200000013</v>
      </c>
      <c r="T17" s="19">
        <f t="shared" si="14"/>
        <v>506.32519740000004</v>
      </c>
      <c r="U17" s="19">
        <f t="shared" si="15"/>
        <v>552.330692</v>
      </c>
      <c r="V17" s="19">
        <f t="shared" si="16"/>
        <v>566.34634200000005</v>
      </c>
      <c r="W17" s="19"/>
    </row>
    <row r="18" spans="1:23" x14ac:dyDescent="0.25">
      <c r="A18" s="18" t="s">
        <v>411</v>
      </c>
      <c r="B18" s="17" t="str">
        <f t="shared" si="0"/>
        <v>LPE 21:0</v>
      </c>
      <c r="C18" s="1" t="str">
        <f t="shared" si="1"/>
        <v>21</v>
      </c>
      <c r="D18" s="1" t="str">
        <f t="shared" si="2"/>
        <v>0</v>
      </c>
      <c r="G18" s="17">
        <f t="shared" ref="G18:G29" si="34">C18+5</f>
        <v>26</v>
      </c>
      <c r="H18" s="17">
        <f t="shared" si="4"/>
        <v>54</v>
      </c>
      <c r="I18" s="17">
        <v>1</v>
      </c>
      <c r="J18" s="17">
        <f t="shared" si="5"/>
        <v>7</v>
      </c>
      <c r="K18" s="17">
        <v>1</v>
      </c>
      <c r="L18" s="19" t="str">
        <f t="shared" ref="L18:L29" si="35">CONCATENATE("C",G18,"H",H18,"N",I18,"O",J18,"P",K18)</f>
        <v>C26H54N1O7P1</v>
      </c>
      <c r="M18" s="19">
        <f t="shared" ref="M18:M29" si="36">(G18*12)+(H18*1.0078246)+(I18*14.003074)+(J18*15.994915)+(K18*30.973763)</f>
        <v>523.36377040000002</v>
      </c>
      <c r="N18" s="19">
        <f t="shared" si="8"/>
        <v>524.37104500000009</v>
      </c>
      <c r="O18" s="19">
        <f t="shared" si="9"/>
        <v>506.35992500000009</v>
      </c>
      <c r="P18" s="19">
        <f t="shared" si="10"/>
        <v>541.39759040000001</v>
      </c>
      <c r="Q18" s="19">
        <f t="shared" si="11"/>
        <v>546.35299040000007</v>
      </c>
      <c r="R18" s="19">
        <f t="shared" si="12"/>
        <v>562.32693040000004</v>
      </c>
      <c r="S18" s="19">
        <f t="shared" si="13"/>
        <v>530.3792304000001</v>
      </c>
      <c r="T18" s="19">
        <f t="shared" si="14"/>
        <v>522.35649579999995</v>
      </c>
      <c r="U18" s="19">
        <f t="shared" si="15"/>
        <v>568.36199039999997</v>
      </c>
      <c r="V18" s="19">
        <f t="shared" si="16"/>
        <v>582.37764040000002</v>
      </c>
      <c r="W18" s="19"/>
    </row>
    <row r="19" spans="1:23" x14ac:dyDescent="0.25">
      <c r="A19" s="18" t="s">
        <v>412</v>
      </c>
      <c r="B19" s="17" t="str">
        <f t="shared" si="0"/>
        <v>LPE 21:1</v>
      </c>
      <c r="C19" s="1" t="str">
        <f t="shared" si="1"/>
        <v>21</v>
      </c>
      <c r="D19" s="1" t="str">
        <f t="shared" si="2"/>
        <v>1</v>
      </c>
      <c r="G19" s="17">
        <f t="shared" si="34"/>
        <v>26</v>
      </c>
      <c r="H19" s="17">
        <f t="shared" si="4"/>
        <v>52</v>
      </c>
      <c r="I19" s="17">
        <v>1</v>
      </c>
      <c r="J19" s="17">
        <f t="shared" si="5"/>
        <v>7</v>
      </c>
      <c r="K19" s="17">
        <v>1</v>
      </c>
      <c r="L19" s="19" t="str">
        <f t="shared" si="35"/>
        <v>C26H52N1O7P1</v>
      </c>
      <c r="M19" s="19">
        <f t="shared" si="36"/>
        <v>521.34812120000004</v>
      </c>
      <c r="N19" s="19">
        <f t="shared" si="8"/>
        <v>522.35539580000011</v>
      </c>
      <c r="O19" s="19">
        <f t="shared" si="9"/>
        <v>504.3442758000001</v>
      </c>
      <c r="P19" s="19">
        <f t="shared" si="10"/>
        <v>539.38194120000003</v>
      </c>
      <c r="Q19" s="19">
        <f t="shared" si="11"/>
        <v>544.33734120000008</v>
      </c>
      <c r="R19" s="19">
        <f t="shared" si="12"/>
        <v>560.31128120000005</v>
      </c>
      <c r="S19" s="19">
        <f t="shared" si="13"/>
        <v>528.36358120000011</v>
      </c>
      <c r="T19" s="19">
        <f t="shared" si="14"/>
        <v>520.34084659999996</v>
      </c>
      <c r="U19" s="19">
        <f t="shared" si="15"/>
        <v>566.34634119999998</v>
      </c>
      <c r="V19" s="19">
        <f t="shared" si="16"/>
        <v>580.36199120000003</v>
      </c>
      <c r="W19" s="19"/>
    </row>
    <row r="20" spans="1:23" x14ac:dyDescent="0.25">
      <c r="A20" s="18" t="s">
        <v>425</v>
      </c>
      <c r="B20" s="17" t="str">
        <f t="shared" si="0"/>
        <v>LPE 22:0</v>
      </c>
      <c r="C20" s="1" t="str">
        <f t="shared" si="1"/>
        <v>22</v>
      </c>
      <c r="D20" s="1" t="str">
        <f t="shared" si="2"/>
        <v>0</v>
      </c>
      <c r="G20" s="17">
        <f t="shared" si="34"/>
        <v>27</v>
      </c>
      <c r="H20" s="17">
        <f t="shared" si="4"/>
        <v>56</v>
      </c>
      <c r="I20" s="17">
        <v>1</v>
      </c>
      <c r="J20" s="17">
        <f t="shared" si="5"/>
        <v>7</v>
      </c>
      <c r="K20" s="17">
        <v>1</v>
      </c>
      <c r="L20" s="19" t="str">
        <f t="shared" si="35"/>
        <v>C27H56N1O7P1</v>
      </c>
      <c r="M20" s="19">
        <f t="shared" si="36"/>
        <v>537.37941960000001</v>
      </c>
      <c r="N20" s="19">
        <f t="shared" si="8"/>
        <v>538.38669420000008</v>
      </c>
      <c r="O20" s="19">
        <f t="shared" si="9"/>
        <v>520.37557420000007</v>
      </c>
      <c r="P20" s="19">
        <f t="shared" si="10"/>
        <v>555.4132396</v>
      </c>
      <c r="Q20" s="19">
        <f t="shared" si="11"/>
        <v>560.36863960000005</v>
      </c>
      <c r="R20" s="19">
        <f t="shared" si="12"/>
        <v>576.34257960000002</v>
      </c>
      <c r="S20" s="19">
        <f t="shared" si="13"/>
        <v>544.39487960000008</v>
      </c>
      <c r="T20" s="19">
        <f t="shared" si="14"/>
        <v>536.37214499999993</v>
      </c>
      <c r="U20" s="19">
        <f t="shared" si="15"/>
        <v>582.37763959999995</v>
      </c>
      <c r="V20" s="19">
        <f t="shared" si="16"/>
        <v>596.3932896</v>
      </c>
      <c r="W20" s="19"/>
    </row>
    <row r="21" spans="1:23" x14ac:dyDescent="0.25">
      <c r="A21" s="18" t="s">
        <v>426</v>
      </c>
      <c r="B21" s="17" t="str">
        <f t="shared" si="0"/>
        <v>LPE 22:1</v>
      </c>
      <c r="C21" s="1" t="str">
        <f t="shared" si="1"/>
        <v>22</v>
      </c>
      <c r="D21" s="1" t="str">
        <f t="shared" si="2"/>
        <v>1</v>
      </c>
      <c r="G21" s="17">
        <f t="shared" si="34"/>
        <v>27</v>
      </c>
      <c r="H21" s="17">
        <f t="shared" si="4"/>
        <v>54</v>
      </c>
      <c r="I21" s="17">
        <v>1</v>
      </c>
      <c r="J21" s="17">
        <f t="shared" si="5"/>
        <v>7</v>
      </c>
      <c r="K21" s="17">
        <v>1</v>
      </c>
      <c r="L21" s="19" t="str">
        <f t="shared" si="35"/>
        <v>C27H54N1O7P1</v>
      </c>
      <c r="M21" s="19">
        <f t="shared" si="36"/>
        <v>535.36377040000002</v>
      </c>
      <c r="N21" s="19">
        <f t="shared" si="8"/>
        <v>536.37104500000009</v>
      </c>
      <c r="O21" s="19">
        <f t="shared" si="9"/>
        <v>518.35992500000009</v>
      </c>
      <c r="P21" s="19">
        <f t="shared" si="10"/>
        <v>553.39759040000001</v>
      </c>
      <c r="Q21" s="19">
        <f t="shared" si="11"/>
        <v>558.35299040000007</v>
      </c>
      <c r="R21" s="19">
        <f t="shared" si="12"/>
        <v>574.32693040000004</v>
      </c>
      <c r="S21" s="19">
        <f t="shared" si="13"/>
        <v>542.3792304000001</v>
      </c>
      <c r="T21" s="19">
        <f t="shared" si="14"/>
        <v>534.35649579999995</v>
      </c>
      <c r="U21" s="19">
        <f t="shared" si="15"/>
        <v>580.36199039999997</v>
      </c>
      <c r="V21" s="19">
        <f t="shared" si="16"/>
        <v>594.37764040000002</v>
      </c>
      <c r="W21" s="19"/>
    </row>
    <row r="22" spans="1:23" x14ac:dyDescent="0.25">
      <c r="A22" s="18" t="s">
        <v>427</v>
      </c>
      <c r="B22" s="17" t="str">
        <f t="shared" si="0"/>
        <v>LPE 23:0</v>
      </c>
      <c r="C22" s="1" t="str">
        <f t="shared" si="1"/>
        <v>23</v>
      </c>
      <c r="D22" s="1" t="str">
        <f t="shared" si="2"/>
        <v>0</v>
      </c>
      <c r="G22" s="17">
        <f t="shared" si="34"/>
        <v>28</v>
      </c>
      <c r="H22" s="17">
        <f t="shared" si="4"/>
        <v>58</v>
      </c>
      <c r="I22" s="17">
        <v>1</v>
      </c>
      <c r="J22" s="17">
        <f t="shared" si="5"/>
        <v>7</v>
      </c>
      <c r="K22" s="17">
        <v>1</v>
      </c>
      <c r="L22" s="19" t="str">
        <f t="shared" si="35"/>
        <v>C28H58N1O7P1</v>
      </c>
      <c r="M22" s="19">
        <f t="shared" si="36"/>
        <v>551.39506879999999</v>
      </c>
      <c r="N22" s="19">
        <f t="shared" si="8"/>
        <v>552.40234340000006</v>
      </c>
      <c r="O22" s="19">
        <f t="shared" si="9"/>
        <v>534.39122340000006</v>
      </c>
      <c r="P22" s="19">
        <f t="shared" si="10"/>
        <v>569.42888879999998</v>
      </c>
      <c r="Q22" s="19">
        <f t="shared" si="11"/>
        <v>574.38428880000004</v>
      </c>
      <c r="R22" s="19">
        <f t="shared" si="12"/>
        <v>590.35822880000001</v>
      </c>
      <c r="S22" s="19">
        <f t="shared" si="13"/>
        <v>558.41052880000007</v>
      </c>
      <c r="T22" s="19">
        <f t="shared" si="14"/>
        <v>550.38779419999992</v>
      </c>
      <c r="U22" s="19">
        <f t="shared" si="15"/>
        <v>596.39328879999994</v>
      </c>
      <c r="V22" s="19">
        <f t="shared" si="16"/>
        <v>610.40893879999999</v>
      </c>
      <c r="W22" s="19"/>
    </row>
    <row r="23" spans="1:23" x14ac:dyDescent="0.25">
      <c r="A23" s="18" t="s">
        <v>432</v>
      </c>
      <c r="B23" s="17" t="str">
        <f t="shared" ref="B23:B29" si="37">IF(ISNUMBER(SEARCH("(",A23)),IF(ISNUMBER(SEARCH("/",A23)),CONCATENATE(MID(A23,1,2)," ",(SUM(MID(A23,FIND("(",A23)+1,FIND(":",A23)-FIND("(",A23)-1),MID(A23,FIND("/",A23)+1,FIND(":",A23,FIND("/",A23))-FIND("/",A23)-1))),":",SUM(MID(A23,FIND(":",A23)+1,FIND("/",A23)-FIND(":",A23)-1),MID(A23,FIND(":",A23,FIND("/",A23))+1,FIND(")",A23)-FIND(":",A23,FIND("/",A23))-1)),MID(A23,(FIND(")",A23)+1),100)),CONCATENATE(MID(A23,1,2)," ",(SUM(MID(A23,FIND("(",A23)+1,FIND(":",A23)-FIND("(",A23)-1),MID(A23,FIND("_",A23)+1,FIND(":",A23,FIND("_",A23))-FIND("_",A23)-1))),":",SUM(MID(A23,FIND(":",A23)+1,FIND("_",A23)-FIND(":",A23)-1),MID(A23,FIND(":",A23,FIND("_",A23))+1,FIND(")",A23)-FIND(":",A23,FIND("_",A23))-1)),MID(A23,(FIND(")",A23)+1),100))),A23)</f>
        <v>LPE 23:1</v>
      </c>
      <c r="C23" s="1" t="str">
        <f t="shared" ref="C23:C29" si="38">MID(B23,5,FIND(":",B23)-FIND(" ",B23)-1)</f>
        <v>23</v>
      </c>
      <c r="D23" s="1" t="str">
        <f t="shared" ref="D23:D29" si="39">IF(ISNUMBER(SEARCH("__",B23)),MID(B23,FIND(":",B23)+1,FIND("__",B23)-FIND(":",B23)-1),MID(B23,FIND(":",B23)+1,7))</f>
        <v>1</v>
      </c>
      <c r="G23" s="17">
        <f t="shared" si="34"/>
        <v>28</v>
      </c>
      <c r="H23" s="17">
        <f t="shared" ref="H23:H29" si="40">2*G23-(2*D23)+2-((LEN(A23)-LEN(SUBSTITUTE(A23,"_O_","")))/LEN("_O_"))*2-((LEN(A23)-LEN(SUBSTITUTE(A23,"_CHO_","")))/LEN("_CHO_"))*2-((LEN(A23)-LEN(SUBSTITUTE(A23,"_COOH_","")))/LEN("_COOH_"))*2</f>
        <v>56</v>
      </c>
      <c r="I23" s="17">
        <v>1</v>
      </c>
      <c r="J23" s="17">
        <f t="shared" ref="J23:J29" si="41">7+((LEN(A23)-LEN(SUBSTITUTE(A23,"_OH_","")))/LEN("_OH_"))*1+((LEN(A23)-LEN(SUBSTITUTE(A23,"_OOH_","")))/LEN("_OOH_"))*2+((LEN(A23)-LEN(SUBSTITUTE(A23,"_O_","")))/LEN("_O_"))*1+((LEN(A23)-LEN(SUBSTITUTE(A23,"_CHO_","")))/LEN("_CHO_"))*1+((LEN(A23)-LEN(SUBSTITUTE(A23,"_COOH_","")))/LEN("_COOH_"))*2</f>
        <v>7</v>
      </c>
      <c r="K23" s="17">
        <v>1</v>
      </c>
      <c r="L23" s="19" t="str">
        <f t="shared" si="35"/>
        <v>C28H56N1O7P1</v>
      </c>
      <c r="M23" s="19">
        <f t="shared" si="36"/>
        <v>549.37941960000001</v>
      </c>
      <c r="N23" s="19">
        <f t="shared" ref="N23:N29" si="42">M23+1.0078246-0.00055</f>
        <v>550.38669420000008</v>
      </c>
      <c r="O23" s="19">
        <f t="shared" ref="O23:O29" si="43">N23-18.01057-0.00055</f>
        <v>532.37557420000007</v>
      </c>
      <c r="P23" s="19">
        <f t="shared" ref="P23:P29" si="44">M23+18.03437-0.00055</f>
        <v>567.4132396</v>
      </c>
      <c r="Q23" s="19">
        <f t="shared" ref="Q23:Q29" si="45">M23+22.98977-0.00055</f>
        <v>572.36863960000005</v>
      </c>
      <c r="R23" s="19">
        <f t="shared" ref="R23:R29" si="46">M23+38.96371-0.00055</f>
        <v>588.34257960000002</v>
      </c>
      <c r="S23" s="19">
        <f t="shared" ref="S23:S29" si="47">M23+7.01601-0.00055</f>
        <v>556.39487960000008</v>
      </c>
      <c r="T23" s="19">
        <f t="shared" ref="T23:T29" si="48">M23-1.0078246+0.00055</f>
        <v>548.37214499999993</v>
      </c>
      <c r="U23" s="19">
        <f t="shared" ref="U23:U29" si="49">M23+44.99767+0.00055</f>
        <v>594.37763959999995</v>
      </c>
      <c r="V23" s="19">
        <f t="shared" ref="V23:V29" si="50">M23+59.01332+0.00055</f>
        <v>608.3932896</v>
      </c>
    </row>
    <row r="24" spans="1:23" x14ac:dyDescent="0.25">
      <c r="A24" s="18" t="s">
        <v>433</v>
      </c>
      <c r="B24" s="17" t="str">
        <f t="shared" si="37"/>
        <v>LPE 24:1</v>
      </c>
      <c r="C24" s="1" t="str">
        <f t="shared" si="38"/>
        <v>24</v>
      </c>
      <c r="D24" s="1" t="str">
        <f t="shared" si="39"/>
        <v>1</v>
      </c>
      <c r="G24" s="17">
        <f t="shared" si="34"/>
        <v>29</v>
      </c>
      <c r="H24" s="17">
        <f t="shared" si="40"/>
        <v>58</v>
      </c>
      <c r="I24" s="17">
        <v>1</v>
      </c>
      <c r="J24" s="17">
        <f t="shared" si="41"/>
        <v>7</v>
      </c>
      <c r="K24" s="17">
        <v>1</v>
      </c>
      <c r="L24" s="19" t="str">
        <f t="shared" si="35"/>
        <v>C29H58N1O7P1</v>
      </c>
      <c r="M24" s="19">
        <f t="shared" si="36"/>
        <v>563.39506879999999</v>
      </c>
      <c r="N24" s="19">
        <f t="shared" si="42"/>
        <v>564.40234340000006</v>
      </c>
      <c r="O24" s="19">
        <f t="shared" si="43"/>
        <v>546.39122340000006</v>
      </c>
      <c r="P24" s="19">
        <f t="shared" si="44"/>
        <v>581.42888879999998</v>
      </c>
      <c r="Q24" s="19">
        <f t="shared" si="45"/>
        <v>586.38428880000004</v>
      </c>
      <c r="R24" s="19">
        <f t="shared" si="46"/>
        <v>602.35822880000001</v>
      </c>
      <c r="S24" s="19">
        <f t="shared" si="47"/>
        <v>570.41052880000007</v>
      </c>
      <c r="T24" s="19">
        <f t="shared" si="48"/>
        <v>562.38779419999992</v>
      </c>
      <c r="U24" s="19">
        <f t="shared" si="49"/>
        <v>608.39328879999994</v>
      </c>
      <c r="V24" s="19">
        <f t="shared" si="50"/>
        <v>622.40893879999999</v>
      </c>
    </row>
    <row r="25" spans="1:23" x14ac:dyDescent="0.25">
      <c r="A25" s="18" t="s">
        <v>434</v>
      </c>
      <c r="B25" s="17" t="str">
        <f t="shared" si="37"/>
        <v>LPE 24:2</v>
      </c>
      <c r="C25" s="1" t="str">
        <f t="shared" si="38"/>
        <v>24</v>
      </c>
      <c r="D25" s="1" t="str">
        <f t="shared" si="39"/>
        <v>2</v>
      </c>
      <c r="G25" s="17">
        <f t="shared" si="34"/>
        <v>29</v>
      </c>
      <c r="H25" s="17">
        <f t="shared" si="40"/>
        <v>56</v>
      </c>
      <c r="I25" s="17">
        <v>1</v>
      </c>
      <c r="J25" s="17">
        <f t="shared" si="41"/>
        <v>7</v>
      </c>
      <c r="K25" s="17">
        <v>1</v>
      </c>
      <c r="L25" s="19" t="str">
        <f t="shared" si="35"/>
        <v>C29H56N1O7P1</v>
      </c>
      <c r="M25" s="19">
        <f t="shared" si="36"/>
        <v>561.37941960000001</v>
      </c>
      <c r="N25" s="19">
        <f t="shared" si="42"/>
        <v>562.38669420000008</v>
      </c>
      <c r="O25" s="19">
        <f t="shared" si="43"/>
        <v>544.37557420000007</v>
      </c>
      <c r="P25" s="19">
        <f t="shared" si="44"/>
        <v>579.4132396</v>
      </c>
      <c r="Q25" s="19">
        <f t="shared" si="45"/>
        <v>584.36863960000005</v>
      </c>
      <c r="R25" s="19">
        <f t="shared" si="46"/>
        <v>600.34257960000002</v>
      </c>
      <c r="S25" s="19">
        <f t="shared" si="47"/>
        <v>568.39487960000008</v>
      </c>
      <c r="T25" s="19">
        <f t="shared" si="48"/>
        <v>560.37214499999993</v>
      </c>
      <c r="U25" s="19">
        <f t="shared" si="49"/>
        <v>606.37763959999995</v>
      </c>
      <c r="V25" s="19">
        <f t="shared" si="50"/>
        <v>620.3932896</v>
      </c>
    </row>
    <row r="26" spans="1:23" x14ac:dyDescent="0.25">
      <c r="A26" s="18" t="s">
        <v>435</v>
      </c>
      <c r="B26" s="17" t="str">
        <f t="shared" si="37"/>
        <v>LPE 25:0</v>
      </c>
      <c r="C26" s="1" t="str">
        <f t="shared" si="38"/>
        <v>25</v>
      </c>
      <c r="D26" s="1" t="str">
        <f t="shared" si="39"/>
        <v>0</v>
      </c>
      <c r="G26" s="17">
        <f t="shared" si="34"/>
        <v>30</v>
      </c>
      <c r="H26" s="17">
        <f t="shared" si="40"/>
        <v>62</v>
      </c>
      <c r="I26" s="17">
        <v>1</v>
      </c>
      <c r="J26" s="17">
        <f t="shared" si="41"/>
        <v>7</v>
      </c>
      <c r="K26" s="17">
        <v>1</v>
      </c>
      <c r="L26" s="19" t="str">
        <f t="shared" si="35"/>
        <v>C30H62N1O7P1</v>
      </c>
      <c r="M26" s="19">
        <f t="shared" si="36"/>
        <v>579.42636719999996</v>
      </c>
      <c r="N26" s="19">
        <f t="shared" si="42"/>
        <v>580.43364180000003</v>
      </c>
      <c r="O26" s="19">
        <f t="shared" si="43"/>
        <v>562.42252180000003</v>
      </c>
      <c r="P26" s="19">
        <f t="shared" si="44"/>
        <v>597.46018719999995</v>
      </c>
      <c r="Q26" s="19">
        <f t="shared" si="45"/>
        <v>602.4155872</v>
      </c>
      <c r="R26" s="19">
        <f t="shared" si="46"/>
        <v>618.38952719999997</v>
      </c>
      <c r="S26" s="19">
        <f t="shared" si="47"/>
        <v>586.44182720000003</v>
      </c>
      <c r="T26" s="19">
        <f t="shared" si="48"/>
        <v>578.41909259999989</v>
      </c>
      <c r="U26" s="19">
        <f t="shared" si="49"/>
        <v>624.42458719999991</v>
      </c>
      <c r="V26" s="19">
        <f t="shared" si="50"/>
        <v>638.44023719999996</v>
      </c>
    </row>
    <row r="27" spans="1:23" x14ac:dyDescent="0.25">
      <c r="A27" s="18" t="s">
        <v>436</v>
      </c>
      <c r="B27" s="17" t="str">
        <f t="shared" si="37"/>
        <v>LPE 24:4</v>
      </c>
      <c r="C27" s="1" t="str">
        <f t="shared" si="38"/>
        <v>24</v>
      </c>
      <c r="D27" s="1" t="str">
        <f t="shared" si="39"/>
        <v>4</v>
      </c>
      <c r="G27" s="17">
        <f t="shared" si="34"/>
        <v>29</v>
      </c>
      <c r="H27" s="17">
        <f t="shared" si="40"/>
        <v>52</v>
      </c>
      <c r="I27" s="17">
        <v>1</v>
      </c>
      <c r="J27" s="17">
        <f t="shared" si="41"/>
        <v>7</v>
      </c>
      <c r="K27" s="17">
        <v>1</v>
      </c>
      <c r="L27" s="19" t="str">
        <f t="shared" si="35"/>
        <v>C29H52N1O7P1</v>
      </c>
      <c r="M27" s="19">
        <f t="shared" si="36"/>
        <v>557.34812119999992</v>
      </c>
      <c r="N27" s="19">
        <f t="shared" si="42"/>
        <v>558.3553958</v>
      </c>
      <c r="O27" s="19">
        <f t="shared" si="43"/>
        <v>540.34427579999999</v>
      </c>
      <c r="P27" s="19">
        <f t="shared" si="44"/>
        <v>575.38194119999991</v>
      </c>
      <c r="Q27" s="19">
        <f t="shared" si="45"/>
        <v>580.33734119999997</v>
      </c>
      <c r="R27" s="19">
        <f t="shared" si="46"/>
        <v>596.31128119999994</v>
      </c>
      <c r="S27" s="19">
        <f t="shared" si="47"/>
        <v>564.3635812</v>
      </c>
      <c r="T27" s="19">
        <f t="shared" si="48"/>
        <v>556.34084659999985</v>
      </c>
      <c r="U27" s="19">
        <f t="shared" si="49"/>
        <v>602.34634119999987</v>
      </c>
      <c r="V27" s="19">
        <f t="shared" si="50"/>
        <v>616.36199119999992</v>
      </c>
    </row>
    <row r="28" spans="1:23" x14ac:dyDescent="0.25">
      <c r="A28" s="18" t="s">
        <v>437</v>
      </c>
      <c r="B28" s="17" t="str">
        <f t="shared" si="37"/>
        <v>LPE 22:6</v>
      </c>
      <c r="C28" s="1" t="str">
        <f t="shared" si="38"/>
        <v>22</v>
      </c>
      <c r="D28" s="1" t="str">
        <f t="shared" si="39"/>
        <v>6</v>
      </c>
      <c r="G28" s="17">
        <f t="shared" si="34"/>
        <v>27</v>
      </c>
      <c r="H28" s="17">
        <f t="shared" si="40"/>
        <v>44</v>
      </c>
      <c r="I28" s="17">
        <v>1</v>
      </c>
      <c r="J28" s="17">
        <f t="shared" si="41"/>
        <v>7</v>
      </c>
      <c r="K28" s="17">
        <v>1</v>
      </c>
      <c r="L28" s="19" t="str">
        <f t="shared" si="35"/>
        <v>C27H44N1O7P1</v>
      </c>
      <c r="M28" s="19">
        <f t="shared" si="36"/>
        <v>525.28552439999999</v>
      </c>
      <c r="N28" s="19">
        <f t="shared" si="42"/>
        <v>526.29279900000006</v>
      </c>
      <c r="O28" s="19">
        <f t="shared" si="43"/>
        <v>508.28167900000005</v>
      </c>
      <c r="P28" s="19">
        <f t="shared" si="44"/>
        <v>543.31934439999998</v>
      </c>
      <c r="Q28" s="19">
        <f t="shared" si="45"/>
        <v>548.27474440000003</v>
      </c>
      <c r="R28" s="19">
        <f t="shared" si="46"/>
        <v>564.2486844</v>
      </c>
      <c r="S28" s="19">
        <f t="shared" si="47"/>
        <v>532.30098440000006</v>
      </c>
      <c r="T28" s="19">
        <f t="shared" si="48"/>
        <v>524.27824979999991</v>
      </c>
      <c r="U28" s="19">
        <f t="shared" si="49"/>
        <v>570.28374439999993</v>
      </c>
      <c r="V28" s="19">
        <f t="shared" si="50"/>
        <v>584.29939439999998</v>
      </c>
    </row>
    <row r="29" spans="1:23" x14ac:dyDescent="0.25">
      <c r="A29" s="18" t="s">
        <v>438</v>
      </c>
      <c r="B29" s="17" t="str">
        <f t="shared" si="37"/>
        <v>LPE 20:4</v>
      </c>
      <c r="C29" s="1" t="str">
        <f t="shared" si="38"/>
        <v>20</v>
      </c>
      <c r="D29" s="1" t="str">
        <f t="shared" si="39"/>
        <v>4</v>
      </c>
      <c r="G29" s="17">
        <f t="shared" si="34"/>
        <v>25</v>
      </c>
      <c r="H29" s="17">
        <f t="shared" si="40"/>
        <v>44</v>
      </c>
      <c r="I29" s="17">
        <v>1</v>
      </c>
      <c r="J29" s="17">
        <f t="shared" si="41"/>
        <v>7</v>
      </c>
      <c r="K29" s="17">
        <v>1</v>
      </c>
      <c r="L29" s="19" t="str">
        <f t="shared" si="35"/>
        <v>C25H44N1O7P1</v>
      </c>
      <c r="M29" s="19">
        <f t="shared" si="36"/>
        <v>501.28552440000004</v>
      </c>
      <c r="N29" s="19">
        <f t="shared" si="42"/>
        <v>502.29279900000006</v>
      </c>
      <c r="O29" s="19">
        <f t="shared" si="43"/>
        <v>484.28167900000005</v>
      </c>
      <c r="P29" s="19">
        <f t="shared" si="44"/>
        <v>519.31934440000009</v>
      </c>
      <c r="Q29" s="19">
        <f t="shared" si="45"/>
        <v>524.27474440000003</v>
      </c>
      <c r="R29" s="19">
        <f t="shared" si="46"/>
        <v>540.24868440000012</v>
      </c>
      <c r="S29" s="19">
        <f t="shared" si="47"/>
        <v>508.30098440000006</v>
      </c>
      <c r="T29" s="19">
        <f t="shared" si="48"/>
        <v>500.27824980000003</v>
      </c>
      <c r="U29" s="19">
        <f t="shared" si="49"/>
        <v>546.28374440000005</v>
      </c>
      <c r="V29" s="19">
        <f t="shared" si="50"/>
        <v>560.29939439999998</v>
      </c>
    </row>
    <row r="30" spans="1:23" x14ac:dyDescent="0.25">
      <c r="A30" s="18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3" x14ac:dyDescent="0.25">
      <c r="A31" s="18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3" x14ac:dyDescent="0.25">
      <c r="A32" s="18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5">
      <c r="A33" s="18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5">
      <c r="A34" s="18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5">
      <c r="A35" s="18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5">
      <c r="A36" s="18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5">
      <c r="A37" s="18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5">
      <c r="A38" s="1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x14ac:dyDescent="0.25">
      <c r="A39" s="18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x14ac:dyDescent="0.25">
      <c r="A40" s="18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x14ac:dyDescent="0.25">
      <c r="A41" s="18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x14ac:dyDescent="0.25">
      <c r="A42" s="18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x14ac:dyDescent="0.25">
      <c r="A43" s="18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x14ac:dyDescent="0.25">
      <c r="A44" s="18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x14ac:dyDescent="0.25">
      <c r="A45" s="18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x14ac:dyDescent="0.25">
      <c r="A46" s="18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x14ac:dyDescent="0.25">
      <c r="A47" s="18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x14ac:dyDescent="0.25">
      <c r="A48" s="1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8"/>
  <dimension ref="A1:W22"/>
  <sheetViews>
    <sheetView showGridLines="0" zoomScaleNormal="100" workbookViewId="0">
      <pane xSplit="11" ySplit="2" topLeftCell="L4" activePane="bottomRight" state="frozen"/>
      <selection pane="topRight"/>
      <selection pane="bottomLeft"/>
      <selection pane="bottomRight" activeCell="M12" sqref="M12"/>
    </sheetView>
  </sheetViews>
  <sheetFormatPr defaultColWidth="9.140625" defaultRowHeight="15.75" x14ac:dyDescent="0.25"/>
  <cols>
    <col min="1" max="1" width="18" style="17" customWidth="1"/>
    <col min="2" max="2" width="0.140625" style="17" customWidth="1"/>
    <col min="3" max="3" width="3.85546875" style="17" hidden="1" customWidth="1"/>
    <col min="4" max="4" width="2.5703125" style="17" hidden="1" customWidth="1"/>
    <col min="5" max="6" width="9.140625" style="17" hidden="1" customWidth="1"/>
    <col min="7" max="9" width="10.85546875" style="17" hidden="1" customWidth="1"/>
    <col min="10" max="10" width="9.5703125" style="17" hidden="1" customWidth="1"/>
    <col min="11" max="11" width="9.140625" style="17" hidden="1" customWidth="1"/>
    <col min="12" max="12" width="17" style="19" bestFit="1" customWidth="1"/>
    <col min="13" max="13" width="15.85546875" style="19" bestFit="1" customWidth="1"/>
    <col min="14" max="14" width="12.140625" style="19" bestFit="1" customWidth="1"/>
    <col min="15" max="15" width="14.42578125" style="19" bestFit="1" customWidth="1"/>
    <col min="16" max="16" width="12.140625" style="19" bestFit="1" customWidth="1"/>
    <col min="17" max="17" width="10.85546875" style="42" bestFit="1" customWidth="1"/>
    <col min="18" max="19" width="12.140625" style="19" bestFit="1" customWidth="1"/>
    <col min="20" max="20" width="10.85546875" style="42" bestFit="1" customWidth="1"/>
    <col min="21" max="21" width="13.5703125" style="19" bestFit="1" customWidth="1"/>
    <col min="22" max="22" width="16.5703125" style="19" bestFit="1" customWidth="1"/>
    <col min="23" max="23" width="15.42578125" style="17" bestFit="1" customWidth="1"/>
  </cols>
  <sheetData>
    <row r="1" spans="1:23" s="28" customFormat="1" x14ac:dyDescent="0.25">
      <c r="A1" s="27" t="s">
        <v>59</v>
      </c>
      <c r="B1" s="27" t="s">
        <v>5</v>
      </c>
      <c r="C1" s="27"/>
      <c r="D1" s="27"/>
      <c r="E1" s="27"/>
      <c r="F1" s="27"/>
      <c r="G1" s="27" t="s">
        <v>0</v>
      </c>
      <c r="H1" s="27" t="s">
        <v>1</v>
      </c>
      <c r="I1" s="27" t="s">
        <v>2</v>
      </c>
      <c r="J1" s="27" t="s">
        <v>9</v>
      </c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40" t="s">
        <v>6</v>
      </c>
      <c r="R1" s="29" t="s">
        <v>29</v>
      </c>
      <c r="S1" s="29" t="s">
        <v>30</v>
      </c>
      <c r="T1" s="40" t="s">
        <v>12</v>
      </c>
      <c r="U1" s="29" t="s">
        <v>10</v>
      </c>
      <c r="V1" s="29" t="s">
        <v>11</v>
      </c>
      <c r="W1" s="27"/>
    </row>
    <row r="2" spans="1:23" hidden="1" x14ac:dyDescent="0.25">
      <c r="A2" s="17" t="s">
        <v>82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LPG 16:0__O__</v>
      </c>
      <c r="C2" s="1" t="str">
        <f>MID(B2,5,FIND(":",B2)-FIND(" ",B2)-1)</f>
        <v>16</v>
      </c>
      <c r="D2" s="1" t="str">
        <f>IF(ISNUMBER(SEARCH("__",B2)),MID(B2,FIND(":",B2)+1,FIND("__",B2)-FIND(":",B2)-1),MID(B2,FIND(":",B2)+1,7))</f>
        <v>0</v>
      </c>
      <c r="G2" s="17">
        <f>C2+6</f>
        <v>22</v>
      </c>
      <c r="H2" s="17">
        <f>2*G2-(2*D2)+1-((LEN(A2)-LEN(SUBSTITUTE(A2,"_O_","")))/LEN("_O_"))*2-((LEN(A2)-LEN(SUBSTITUTE(A2,"_CHO_","")))/LEN("_CHO_"))*2-((LEN(A2)-LEN(SUBSTITUTE(A2,"_COOH_","")))/LEN("_COOH_"))*2</f>
        <v>43</v>
      </c>
      <c r="I2" s="17">
        <f>9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10</v>
      </c>
      <c r="J2" s="17">
        <v>1</v>
      </c>
      <c r="L2" s="19" t="str">
        <f>CONCATENATE("C",G2,"H",H2,"O",I2,"P",J2)</f>
        <v>C22H43O10P1</v>
      </c>
      <c r="M2" s="19">
        <f>(G2*12)+(H2*1.0078246)+(I2*15.994915)+(J2*30.973763)</f>
        <v>498.2593708</v>
      </c>
      <c r="N2" s="19">
        <f>M2+1.0078246-0.00055</f>
        <v>499.26664540000002</v>
      </c>
      <c r="O2" s="19">
        <f>N2-18.01057-0.00055</f>
        <v>481.25552540000001</v>
      </c>
      <c r="P2" s="19">
        <f>M2+18.03437-0.00055</f>
        <v>516.29319080000005</v>
      </c>
      <c r="Q2" s="42">
        <f>M2+22.98977-0.00055</f>
        <v>521.24859079999999</v>
      </c>
      <c r="R2" s="19">
        <f>M2+38.96371-0.00055</f>
        <v>537.22253080000007</v>
      </c>
      <c r="S2" s="19">
        <f>M2+7.01601-0.00055</f>
        <v>505.27483080000002</v>
      </c>
      <c r="T2" s="42">
        <f>M2-1.0078246+0.00055</f>
        <v>497.25209619999998</v>
      </c>
      <c r="U2" s="19">
        <f>M2+44.99767+0.00055</f>
        <v>543.2575908</v>
      </c>
      <c r="V2" s="19">
        <f>M2+59.01332+0.00055</f>
        <v>557.27324079999994</v>
      </c>
    </row>
    <row r="3" spans="1:23" x14ac:dyDescent="0.25">
      <c r="A3" s="17" t="s">
        <v>83</v>
      </c>
      <c r="B3" s="17" t="str">
        <f>IF(ISNUMBER(SEARCH("(",A3)),IF(ISNUMBER(SEARCH("/",A3)),CONCATENATE(MID(A3,1,2),"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3,1,2)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>LPG 18:0</v>
      </c>
      <c r="C3" s="1" t="str">
        <f>MID(B3,5,FIND(":",B3)-FIND(" ",B3)-1)</f>
        <v>18</v>
      </c>
      <c r="D3" s="1" t="str">
        <f>IF(ISNUMBER(SEARCH("__",B3)),MID(B3,FIND(":",B3)+1,FIND("__",B3)-FIND(":",B3)-1),MID(B3,FIND(":",B3)+1,7))</f>
        <v>0</v>
      </c>
      <c r="G3" s="17">
        <f>C3+6</f>
        <v>24</v>
      </c>
      <c r="H3" s="17">
        <f>2*G3-(2*D3)+1-((LEN(A3)-LEN(SUBSTITUTE(A3,"_O_","")))/LEN("_O_"))*2-((LEN(A3)-LEN(SUBSTITUTE(A3,"_CHO_","")))/LEN("_CHO_"))*2-((LEN(A3)-LEN(SUBSTITUTE(A3,"_COOH_","")))/LEN("_COOH_"))*2</f>
        <v>49</v>
      </c>
      <c r="I3" s="17">
        <f>9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9</v>
      </c>
      <c r="J3" s="17">
        <v>1</v>
      </c>
      <c r="L3" s="19" t="str">
        <f>CONCATENATE("C",G3,"H",H3,"O",I3,"P",J3)</f>
        <v>C24H49O9P1</v>
      </c>
      <c r="M3" s="19">
        <f>(G3*12)+(H3*1.0078246)+(I3*15.994915)+(J3*30.973763)</f>
        <v>512.31140340000002</v>
      </c>
      <c r="N3" s="19">
        <f>M3+1.0078246-0.00055</f>
        <v>513.31867800000009</v>
      </c>
      <c r="O3" s="19">
        <f>N3-18.01057-0.00055</f>
        <v>495.30755800000009</v>
      </c>
      <c r="P3" s="19">
        <f>M3+18.03437-0.00055</f>
        <v>530.34522340000001</v>
      </c>
      <c r="Q3" s="42">
        <f>M3+22.98977-0.00055</f>
        <v>535.30062340000006</v>
      </c>
      <c r="R3" s="19">
        <f>M3+38.96371-0.00055</f>
        <v>551.27456340000003</v>
      </c>
      <c r="S3" s="19">
        <f>M3+7.01601-0.00055</f>
        <v>519.32686340000009</v>
      </c>
      <c r="T3" s="42">
        <f>M3-1.0078246+0.00055</f>
        <v>511.3041288</v>
      </c>
      <c r="U3" s="19">
        <f>M3+44.99767+0.00055</f>
        <v>557.30962339999996</v>
      </c>
      <c r="V3" s="19">
        <f>M3+59.01332+0.00055</f>
        <v>571.32527340000001</v>
      </c>
    </row>
    <row r="5" spans="1:23" x14ac:dyDescent="0.25">
      <c r="A5" s="17" t="s">
        <v>531</v>
      </c>
      <c r="B5" s="17" t="str">
        <f>IF(ISNUMBER(SEARCH("(",A5)),IF(ISNUMBER(SEARCH("/",A5)),CONCATENATE(MID(A5,1,2)," ",(SUM(MID(A5,FIND("(",A5)+1,FIND(":",A5)-FIND("(",A5)-1),MID(A5,FIND("/",A5)+1,FIND(":",A5,FIND("/",A5))-FIND("/",A5)-1))),":",SUM(MID(A5,FIND(":",A5)+1,FIND("/",A5)-FIND(":",A5)-1),MID(A5,FIND(":",A5,FIND("/",A5))+1,FIND(")",A5)-FIND(":",A5,FIND("/",A5))-1)),MID(A5,(FIND(")",A5)+1),100)),CONCATENATE(MID(A5,1,2)," ",(SUM(MID(A5,FIND("(",A5)+1,FIND(":",A5)-FIND("(",A5)-1),MID(A5,FIND("_",A5)+1,FIND(":",A5,FIND("_",A5))-FIND("_",A5)-1))),":",SUM(MID(A5,FIND(":",A5)+1,FIND("_",A5)-FIND(":",A5)-1),MID(A5,FIND(":",A5,FIND("_",A5))+1,FIND(")",A5)-FIND(":",A5,FIND("_",A5))-1)),MID(A5,(FIND(")",A5)+1),100))),A5)</f>
        <v>LPG 14:1</v>
      </c>
      <c r="C5" s="1" t="str">
        <f>MID(B5,5,FIND(":",B5)-FIND(" ",B5)-1)</f>
        <v>14</v>
      </c>
      <c r="D5" s="1" t="str">
        <f>IF(ISNUMBER(SEARCH("__",B5)),MID(B5,FIND(":",B5)+1,FIND("__",B5)-FIND(":",B5)-1),MID(B5,FIND(":",B5)+1,7))</f>
        <v>1</v>
      </c>
      <c r="G5" s="17">
        <f>C5+6</f>
        <v>20</v>
      </c>
      <c r="H5" s="17">
        <f>2*G5-(2*D5)+1-((LEN(A5)-LEN(SUBSTITUTE(A5,"_O_","")))/LEN("_O_"))*2-((LEN(A5)-LEN(SUBSTITUTE(A5,"_CHO_","")))/LEN("_CHO_"))*2-((LEN(A5)-LEN(SUBSTITUTE(A5,"_COOH_","")))/LEN("_COOH_"))*2</f>
        <v>39</v>
      </c>
      <c r="I5" s="17">
        <f>9+((LEN(A5)-LEN(SUBSTITUTE(A5,"_OH_","")))/LEN("_OH_"))*1+((LEN(A5)-LEN(SUBSTITUTE(A5,"_OOH_","")))/LEN("_OOH_"))*2+((LEN(A5)-LEN(SUBSTITUTE(A5,"_O_","")))/LEN("_O_"))*1+((LEN(A5)-LEN(SUBSTITUTE(A5,"_CHO_","")))/LEN("_CHO_"))*1+((LEN(A5)-LEN(SUBSTITUTE(A5,"_COOH_","")))/LEN("_COOH_"))*2</f>
        <v>9</v>
      </c>
      <c r="J5" s="17">
        <v>1</v>
      </c>
      <c r="L5" s="19" t="str">
        <f>CONCATENATE("C",G5,"H",H5,"O",I5,"P",J5)</f>
        <v>C20H39O9P1</v>
      </c>
      <c r="M5" s="19">
        <f>(G5*12)+(H5*1.0078246)+(I5*15.994915)+(J5*30.973763)</f>
        <v>454.23315740000004</v>
      </c>
      <c r="N5" s="19">
        <f>M5+1.0078246-0.00055</f>
        <v>455.24043200000006</v>
      </c>
      <c r="O5" s="19">
        <f>N5-18.01057-0.00055</f>
        <v>437.22931200000005</v>
      </c>
      <c r="P5" s="19">
        <f>M5+18.03437-0.00055</f>
        <v>472.26697740000009</v>
      </c>
      <c r="Q5" s="42">
        <f>M5+22.98977-0.00055</f>
        <v>477.22237740000008</v>
      </c>
      <c r="R5" s="19">
        <f>M5+38.96371-0.00055</f>
        <v>493.19631740000005</v>
      </c>
      <c r="S5" s="19">
        <f>M5+7.01601-0.00055</f>
        <v>461.24861740000006</v>
      </c>
      <c r="T5" s="42">
        <f>M5-1.0078246+0.00055</f>
        <v>453.22588280000002</v>
      </c>
      <c r="U5" s="19">
        <f>M5+44.99767+0.00055</f>
        <v>499.23137740000004</v>
      </c>
      <c r="V5" s="19">
        <f>M5+59.01332+0.00055</f>
        <v>513.24702739999998</v>
      </c>
    </row>
    <row r="6" spans="1:23" x14ac:dyDescent="0.25">
      <c r="A6" s="17" t="s">
        <v>431</v>
      </c>
      <c r="B6" s="17" t="str">
        <f t="shared" ref="B6:B12" si="0">IF(ISNUMBER(SEARCH("(",A6)),IF(ISNUMBER(SEARCH("/",A6)),CONCATENATE(MID(A6,1,2)," ",(SUM(MID(A6,FIND("(",A6)+1,FIND(":",A6)-FIND("(",A6)-1),MID(A6,FIND("/",A6)+1,FIND(":",A6,FIND("/",A6))-FIND("/",A6)-1))),":",SUM(MID(A6,FIND(":",A6)+1,FIND("/",A6)-FIND(":",A6)-1),MID(A6,FIND(":",A6,FIND("/",A6))+1,FIND(")",A6)-FIND(":",A6,FIND("/",A6))-1)),MID(A6,(FIND(")",A6)+1),100)),CONCATENATE(MID(A6,1,2)," ",(SUM(MID(A6,FIND("(",A6)+1,FIND(":",A6)-FIND("(",A6)-1),MID(A6,FIND("_",A6)+1,FIND(":",A6,FIND("_",A6))-FIND("_",A6)-1))),":",SUM(MID(A6,FIND(":",A6)+1,FIND("_",A6)-FIND(":",A6)-1),MID(A6,FIND(":",A6,FIND("_",A6))+1,FIND(")",A6)-FIND(":",A6,FIND("_",A6))-1)),MID(A6,(FIND(")",A6)+1),100))),A6)</f>
        <v>LPG 14:0</v>
      </c>
      <c r="C6" s="1" t="str">
        <f t="shared" ref="C6:C12" si="1">MID(B6,5,FIND(":",B6)-FIND(" ",B6)-1)</f>
        <v>14</v>
      </c>
      <c r="D6" s="1" t="str">
        <f t="shared" ref="D6:D12" si="2">IF(ISNUMBER(SEARCH("__",B6)),MID(B6,FIND(":",B6)+1,FIND("__",B6)-FIND(":",B6)-1),MID(B6,FIND(":",B6)+1,7))</f>
        <v>0</v>
      </c>
      <c r="G6" s="17">
        <f t="shared" ref="G6:G12" si="3">C6+6</f>
        <v>20</v>
      </c>
      <c r="H6" s="17">
        <f t="shared" ref="H6:H12" si="4">2*G6-(2*D6)+1-((LEN(A6)-LEN(SUBSTITUTE(A6,"_O_","")))/LEN("_O_"))*2-((LEN(A6)-LEN(SUBSTITUTE(A6,"_CHO_","")))/LEN("_CHO_"))*2-((LEN(A6)-LEN(SUBSTITUTE(A6,"_COOH_","")))/LEN("_COOH_"))*2</f>
        <v>41</v>
      </c>
      <c r="I6" s="17">
        <f t="shared" ref="I6:I12" si="5">9+((LEN(A6)-LEN(SUBSTITUTE(A6,"_OH_","")))/LEN("_OH_"))*1+((LEN(A6)-LEN(SUBSTITUTE(A6,"_OOH_","")))/LEN("_OOH_"))*2+((LEN(A6)-LEN(SUBSTITUTE(A6,"_O_","")))/LEN("_O_"))*1+((LEN(A6)-LEN(SUBSTITUTE(A6,"_CHO_","")))/LEN("_CHO_"))*1+((LEN(A6)-LEN(SUBSTITUTE(A6,"_COOH_","")))/LEN("_COOH_"))*2</f>
        <v>9</v>
      </c>
      <c r="J6" s="17">
        <v>1</v>
      </c>
      <c r="L6" s="19" t="str">
        <f t="shared" ref="L6:L12" si="6">CONCATENATE("C",G6,"H",H6,"O",I6,"P",J6)</f>
        <v>C20H41O9P1</v>
      </c>
      <c r="M6" s="19">
        <f t="shared" ref="M6:M12" si="7">(G6*12)+(H6*1.0078246)+(I6*15.994915)+(J6*30.973763)</f>
        <v>456.24880660000002</v>
      </c>
      <c r="N6" s="19">
        <f t="shared" ref="N6:N12" si="8">M6+1.0078246-0.00055</f>
        <v>457.25608120000004</v>
      </c>
      <c r="O6" s="19">
        <f t="shared" ref="O6:O12" si="9">N6-18.01057-0.00055</f>
        <v>439.24496120000003</v>
      </c>
      <c r="P6" s="19">
        <f t="shared" ref="P6:P12" si="10">M6+18.03437-0.00055</f>
        <v>474.28262660000007</v>
      </c>
      <c r="Q6" s="42">
        <f t="shared" ref="Q6:Q12" si="11">M6+22.98977-0.00055</f>
        <v>479.23802660000007</v>
      </c>
      <c r="R6" s="19">
        <f t="shared" ref="R6:R12" si="12">M6+38.96371-0.00055</f>
        <v>495.21196660000004</v>
      </c>
      <c r="S6" s="19">
        <f t="shared" ref="S6:S12" si="13">M6+7.01601-0.00055</f>
        <v>463.26426660000004</v>
      </c>
      <c r="T6" s="42">
        <f t="shared" ref="T6:T12" si="14">M6-1.0078246+0.00055</f>
        <v>455.24153200000001</v>
      </c>
      <c r="U6" s="19">
        <f t="shared" ref="U6:U12" si="15">M6+44.99767+0.00055</f>
        <v>501.24702660000003</v>
      </c>
      <c r="V6" s="19">
        <f t="shared" ref="V6:V12" si="16">M6+59.01332+0.00055</f>
        <v>515.26267659999996</v>
      </c>
    </row>
    <row r="7" spans="1:23" x14ac:dyDescent="0.25">
      <c r="A7" s="17" t="s">
        <v>530</v>
      </c>
      <c r="B7" s="17" t="str">
        <f>IF(ISNUMBER(SEARCH("(",A7)),IF(ISNUMBER(SEARCH("/",A7)),CONCATENATE(MID(A7,1,2)," ",(SUM(MID(A7,FIND("(",A7)+1,FIND(":",A7)-FIND("(",A7)-1),MID(A7,FIND("/",A7)+1,FIND(":",A7,FIND("/",A7))-FIND("/",A7)-1))),":",SUM(MID(A7,FIND(":",A7)+1,FIND("/",A7)-FIND(":",A7)-1),MID(A7,FIND(":",A7,FIND("/",A7))+1,FIND(")",A7)-FIND(":",A7,FIND("/",A7))-1)),MID(A7,(FIND(")",A7)+1),100)),CONCATENATE(MID(A7,1,2)," ",(SUM(MID(A7,FIND("(",A7)+1,FIND(":",A7)-FIND("(",A7)-1),MID(A7,FIND("_",A7)+1,FIND(":",A7,FIND("_",A7))-FIND("_",A7)-1))),":",SUM(MID(A7,FIND(":",A7)+1,FIND("_",A7)-FIND(":",A7)-1),MID(A7,FIND(":",A7,FIND("_",A7))+1,FIND(")",A7)-FIND(":",A7,FIND("_",A7))-1)),MID(A7,(FIND(")",A7)+1),100))),A7)</f>
        <v>LPG 15:1</v>
      </c>
      <c r="C7" s="1" t="str">
        <f>MID(B7,5,FIND(":",B7)-FIND(" ",B7)-1)</f>
        <v>15</v>
      </c>
      <c r="D7" s="1" t="str">
        <f>IF(ISNUMBER(SEARCH("__",B7)),MID(B7,FIND(":",B7)+1,FIND("__",B7)-FIND(":",B7)-1),MID(B7,FIND(":",B7)+1,7))</f>
        <v>1</v>
      </c>
      <c r="G7" s="17">
        <f>C7+6</f>
        <v>21</v>
      </c>
      <c r="H7" s="17">
        <f>2*G7-(2*D7)+1-((LEN(A7)-LEN(SUBSTITUTE(A7,"_O_","")))/LEN("_O_"))*2-((LEN(A7)-LEN(SUBSTITUTE(A7,"_CHO_","")))/LEN("_CHO_"))*2-((LEN(A7)-LEN(SUBSTITUTE(A7,"_COOH_","")))/LEN("_COOH_"))*2</f>
        <v>41</v>
      </c>
      <c r="I7" s="17">
        <f>9+((LEN(A7)-LEN(SUBSTITUTE(A7,"_OH_","")))/LEN("_OH_"))*1+((LEN(A7)-LEN(SUBSTITUTE(A7,"_OOH_","")))/LEN("_OOH_"))*2+((LEN(A7)-LEN(SUBSTITUTE(A7,"_O_","")))/LEN("_O_"))*1+((LEN(A7)-LEN(SUBSTITUTE(A7,"_CHO_","")))/LEN("_CHO_"))*1+((LEN(A7)-LEN(SUBSTITUTE(A7,"_COOH_","")))/LEN("_COOH_"))*2</f>
        <v>9</v>
      </c>
      <c r="J7" s="17">
        <v>1</v>
      </c>
      <c r="L7" s="19" t="str">
        <f>CONCATENATE("C",G7,"H",H7,"O",I7,"P",J7)</f>
        <v>C21H41O9P1</v>
      </c>
      <c r="M7" s="19">
        <f>(G7*12)+(H7*1.0078246)+(I7*15.994915)+(J7*30.973763)</f>
        <v>468.24880660000002</v>
      </c>
      <c r="N7" s="19">
        <f>M7+1.0078246-0.00055</f>
        <v>469.25608120000004</v>
      </c>
      <c r="O7" s="19">
        <f>N7-18.01057-0.00055</f>
        <v>451.24496120000003</v>
      </c>
      <c r="P7" s="19">
        <f>M7+18.03437-0.00055</f>
        <v>486.28262660000007</v>
      </c>
      <c r="Q7" s="42">
        <f>M7+22.98977-0.00055</f>
        <v>491.23802660000007</v>
      </c>
      <c r="R7" s="19">
        <f>M7+38.96371-0.00055</f>
        <v>507.21196660000004</v>
      </c>
      <c r="S7" s="19">
        <f>M7+7.01601-0.00055</f>
        <v>475.26426660000004</v>
      </c>
      <c r="T7" s="42">
        <f>M7-1.0078246+0.00055</f>
        <v>467.24153200000001</v>
      </c>
      <c r="U7" s="19">
        <f>M7+44.99767+0.00055</f>
        <v>513.24702660000003</v>
      </c>
      <c r="V7" s="19">
        <f>M7+59.01332+0.00055</f>
        <v>527.26267659999996</v>
      </c>
    </row>
    <row r="8" spans="1:23" x14ac:dyDescent="0.25">
      <c r="A8" s="17" t="s">
        <v>527</v>
      </c>
      <c r="B8" s="17" t="str">
        <f t="shared" si="0"/>
        <v>LPG 15:0</v>
      </c>
      <c r="C8" s="1" t="str">
        <f t="shared" si="1"/>
        <v>15</v>
      </c>
      <c r="D8" s="1" t="str">
        <f t="shared" si="2"/>
        <v>0</v>
      </c>
      <c r="G8" s="17">
        <f t="shared" si="3"/>
        <v>21</v>
      </c>
      <c r="H8" s="17">
        <f t="shared" si="4"/>
        <v>43</v>
      </c>
      <c r="I8" s="17">
        <f t="shared" si="5"/>
        <v>9</v>
      </c>
      <c r="J8" s="17">
        <v>1</v>
      </c>
      <c r="L8" s="19" t="str">
        <f t="shared" si="6"/>
        <v>C21H43O9P1</v>
      </c>
      <c r="M8" s="19">
        <f t="shared" si="7"/>
        <v>470.26445580000001</v>
      </c>
      <c r="N8" s="19">
        <f t="shared" si="8"/>
        <v>471.27173040000002</v>
      </c>
      <c r="O8" s="19">
        <f t="shared" si="9"/>
        <v>453.26061040000002</v>
      </c>
      <c r="P8" s="19">
        <f t="shared" si="10"/>
        <v>488.29827580000006</v>
      </c>
      <c r="Q8" s="42">
        <f t="shared" si="11"/>
        <v>493.25367580000005</v>
      </c>
      <c r="R8" s="19">
        <f t="shared" si="12"/>
        <v>509.22761580000002</v>
      </c>
      <c r="S8" s="19">
        <f t="shared" si="13"/>
        <v>477.27991580000003</v>
      </c>
      <c r="T8" s="42">
        <f t="shared" si="14"/>
        <v>469.25718119999999</v>
      </c>
      <c r="U8" s="19">
        <f t="shared" si="15"/>
        <v>515.26267580000001</v>
      </c>
      <c r="V8" s="19">
        <f t="shared" si="16"/>
        <v>529.27832579999995</v>
      </c>
    </row>
    <row r="9" spans="1:23" x14ac:dyDescent="0.25">
      <c r="A9" s="17" t="s">
        <v>429</v>
      </c>
      <c r="B9" s="17" t="str">
        <f>IF(ISNUMBER(SEARCH("(",A9)),IF(ISNUMBER(SEARCH("/",A9)),CONCATENATE(MID(A9,1,2)," ",(SUM(MID(A9,FIND("(",A9)+1,FIND(":",A9)-FIND("(",A9)-1),MID(A9,FIND("/",A9)+1,FIND(":",A9,FIND("/",A9))-FIND("/",A9)-1))),":",SUM(MID(A9,FIND(":",A9)+1,FIND("/",A9)-FIND(":",A9)-1),MID(A9,FIND(":",A9,FIND("/",A9))+1,FIND(")",A9)-FIND(":",A9,FIND("/",A9))-1)),MID(A9,(FIND(")",A9)+1),100)),CONCATENATE(MID(A9,1,2)," ",(SUM(MID(A9,FIND("(",A9)+1,FIND(":",A9)-FIND("(",A9)-1),MID(A9,FIND("_",A9)+1,FIND(":",A9,FIND("_",A9))-FIND("_",A9)-1))),":",SUM(MID(A9,FIND(":",A9)+1,FIND("_",A9)-FIND(":",A9)-1),MID(A9,FIND(":",A9,FIND("_",A9))+1,FIND(")",A9)-FIND(":",A9,FIND("_",A9))-1)),MID(A9,(FIND(")",A9)+1),100))),A9)</f>
        <v>LPG 16:1</v>
      </c>
      <c r="C9" s="1" t="str">
        <f>MID(B9,5,FIND(":",B9)-FIND(" ",B9)-1)</f>
        <v>16</v>
      </c>
      <c r="D9" s="1" t="str">
        <f>IF(ISNUMBER(SEARCH("__",B9)),MID(B9,FIND(":",B9)+1,FIND("__",B9)-FIND(":",B9)-1),MID(B9,FIND(":",B9)+1,7))</f>
        <v>1</v>
      </c>
      <c r="G9" s="17">
        <f>C9+6</f>
        <v>22</v>
      </c>
      <c r="H9" s="17">
        <f>2*G9-(2*D9)+1-((LEN(A9)-LEN(SUBSTITUTE(A9,"_O_","")))/LEN("_O_"))*2-((LEN(A9)-LEN(SUBSTITUTE(A9,"_CHO_","")))/LEN("_CHO_"))*2-((LEN(A9)-LEN(SUBSTITUTE(A9,"_COOH_","")))/LEN("_COOH_"))*2</f>
        <v>43</v>
      </c>
      <c r="I9" s="17">
        <f>9+((LEN(A9)-LEN(SUBSTITUTE(A9,"_OH_","")))/LEN("_OH_"))*1+((LEN(A9)-LEN(SUBSTITUTE(A9,"_OOH_","")))/LEN("_OOH_"))*2+((LEN(A9)-LEN(SUBSTITUTE(A9,"_O_","")))/LEN("_O_"))*1+((LEN(A9)-LEN(SUBSTITUTE(A9,"_CHO_","")))/LEN("_CHO_"))*1+((LEN(A9)-LEN(SUBSTITUTE(A9,"_COOH_","")))/LEN("_COOH_"))*2</f>
        <v>9</v>
      </c>
      <c r="J9" s="17">
        <v>1</v>
      </c>
      <c r="L9" s="19" t="str">
        <f>CONCATENATE("C",G9,"H",H9,"O",I9,"P",J9)</f>
        <v>C22H43O9P1</v>
      </c>
      <c r="M9" s="19">
        <f>(G9*12)+(H9*1.0078246)+(I9*15.994915)+(J9*30.973763)</f>
        <v>482.26445580000001</v>
      </c>
      <c r="N9" s="19">
        <f>M9+1.0078246-0.00055</f>
        <v>483.27173040000002</v>
      </c>
      <c r="O9" s="19">
        <f>N9-18.01057-0.00055</f>
        <v>465.26061040000002</v>
      </c>
      <c r="P9" s="19">
        <f>M9+18.03437-0.00055</f>
        <v>500.29827580000006</v>
      </c>
      <c r="Q9" s="42">
        <f>M9+22.98977-0.00055</f>
        <v>505.25367580000005</v>
      </c>
      <c r="R9" s="19">
        <f>M9+38.96371-0.00055</f>
        <v>521.22761580000008</v>
      </c>
      <c r="S9" s="19">
        <f>M9+7.01601-0.00055</f>
        <v>489.27991580000003</v>
      </c>
      <c r="T9" s="42">
        <f>M9-1.0078246+0.00055</f>
        <v>481.25718119999999</v>
      </c>
      <c r="U9" s="19">
        <f>M9+44.99767+0.00055</f>
        <v>527.26267580000001</v>
      </c>
      <c r="V9" s="19">
        <f>M9+59.01332+0.00055</f>
        <v>541.27832579999995</v>
      </c>
    </row>
    <row r="10" spans="1:23" x14ac:dyDescent="0.25">
      <c r="A10" s="17" t="s">
        <v>428</v>
      </c>
      <c r="B10" s="17" t="str">
        <f>IF(ISNUMBER(SEARCH("(",A10)),IF(ISNUMBER(SEARCH("/",A10)),CONCATENATE(MID(A10,1,2)," ",(SUM(MID(A10,FIND("(",A10)+1,FIND(":",A10)-FIND("(",A10)-1),MID(A10,FIND("/",A10)+1,FIND(":",A10,FIND("/",A10))-FIND("/",A10)-1))),":",SUM(MID(A10,FIND(":",A10)+1,FIND("/",A10)-FIND(":",A10)-1),MID(A10,FIND(":",A10,FIND("/",A10))+1,FIND(")",A10)-FIND(":",A10,FIND("/",A10))-1)),MID(A10,(FIND(")",A10)+1),100)),CONCATENATE(MID(A10,1,2)," ",(SUM(MID(A10,FIND("(",A10)+1,FIND(":",A10)-FIND("(",A10)-1),MID(A10,FIND("_",A10)+1,FIND(":",A10,FIND("_",A10))-FIND("_",A10)-1))),":",SUM(MID(A10,FIND(":",A10)+1,FIND("_",A10)-FIND(":",A10)-1),MID(A10,FIND(":",A10,FIND("_",A10))+1,FIND(")",A10)-FIND(":",A10,FIND("_",A10))-1)),MID(A10,(FIND(")",A10)+1),100))),A10)</f>
        <v>LPG 16:0</v>
      </c>
      <c r="C10" s="1" t="str">
        <f>MID(B10,5,FIND(":",B10)-FIND(" ",B10)-1)</f>
        <v>16</v>
      </c>
      <c r="D10" s="1" t="str">
        <f>IF(ISNUMBER(SEARCH("__",B10)),MID(B10,FIND(":",B10)+1,FIND("__",B10)-FIND(":",B10)-1),MID(B10,FIND(":",B10)+1,7))</f>
        <v>0</v>
      </c>
      <c r="G10" s="17">
        <f>C10+6</f>
        <v>22</v>
      </c>
      <c r="H10" s="17">
        <f>2*G10-(2*D10)+1-((LEN(A10)-LEN(SUBSTITUTE(A10,"_O_","")))/LEN("_O_"))*2-((LEN(A10)-LEN(SUBSTITUTE(A10,"_CHO_","")))/LEN("_CHO_"))*2-((LEN(A10)-LEN(SUBSTITUTE(A10,"_COOH_","")))/LEN("_COOH_"))*2</f>
        <v>45</v>
      </c>
      <c r="I10" s="17">
        <f>9+((LEN(A10)-LEN(SUBSTITUTE(A10,"_OH_","")))/LEN("_OH_"))*1+((LEN(A10)-LEN(SUBSTITUTE(A10,"_OOH_","")))/LEN("_OOH_"))*2+((LEN(A10)-LEN(SUBSTITUTE(A10,"_O_","")))/LEN("_O_"))*1+((LEN(A10)-LEN(SUBSTITUTE(A10,"_CHO_","")))/LEN("_CHO_"))*1+((LEN(A10)-LEN(SUBSTITUTE(A10,"_COOH_","")))/LEN("_COOH_"))*2</f>
        <v>9</v>
      </c>
      <c r="J10" s="17">
        <v>1</v>
      </c>
      <c r="L10" s="19" t="str">
        <f>CONCATENATE("C",G10,"H",H10,"O",I10,"P",J10)</f>
        <v>C22H45O9P1</v>
      </c>
      <c r="M10" s="19">
        <f>(G10*12)+(H10*1.0078246)+(I10*15.994915)+(J10*30.973763)</f>
        <v>484.28010499999999</v>
      </c>
      <c r="N10" s="19">
        <f>M10+1.0078246-0.00055</f>
        <v>485.28737960000001</v>
      </c>
      <c r="O10" s="19">
        <f>N10-18.01057-0.00055</f>
        <v>467.2762596</v>
      </c>
      <c r="P10" s="19">
        <f>M10+18.03437-0.00055</f>
        <v>502.31392500000004</v>
      </c>
      <c r="Q10" s="42">
        <f>M10+22.98977-0.00055</f>
        <v>507.26932500000004</v>
      </c>
      <c r="R10" s="19">
        <f>M10+38.96371-0.00055</f>
        <v>523.24326500000006</v>
      </c>
      <c r="S10" s="19">
        <f>M10+7.01601-0.00055</f>
        <v>491.29556500000001</v>
      </c>
      <c r="T10" s="42">
        <f>M10-1.0078246+0.00055</f>
        <v>483.27283039999998</v>
      </c>
      <c r="U10" s="19">
        <f>M10+44.99767+0.00055</f>
        <v>529.278325</v>
      </c>
      <c r="V10" s="19">
        <f>M10+59.01332+0.00055</f>
        <v>543.29397499999993</v>
      </c>
    </row>
    <row r="11" spans="1:23" x14ac:dyDescent="0.25">
      <c r="A11" s="17" t="s">
        <v>528</v>
      </c>
      <c r="B11" s="17" t="str">
        <f t="shared" si="0"/>
        <v>LPG 17:0</v>
      </c>
      <c r="C11" s="1" t="str">
        <f t="shared" si="1"/>
        <v>17</v>
      </c>
      <c r="D11" s="1" t="str">
        <f t="shared" si="2"/>
        <v>0</v>
      </c>
      <c r="G11" s="17">
        <f t="shared" si="3"/>
        <v>23</v>
      </c>
      <c r="H11" s="17">
        <f t="shared" si="4"/>
        <v>47</v>
      </c>
      <c r="I11" s="17">
        <f t="shared" si="5"/>
        <v>9</v>
      </c>
      <c r="J11" s="17">
        <v>1</v>
      </c>
      <c r="L11" s="19" t="str">
        <f t="shared" si="6"/>
        <v>C23H47O9P1</v>
      </c>
      <c r="M11" s="19">
        <f t="shared" si="7"/>
        <v>498.29575419999998</v>
      </c>
      <c r="N11" s="19">
        <f t="shared" si="8"/>
        <v>499.30302879999999</v>
      </c>
      <c r="O11" s="19">
        <f t="shared" si="9"/>
        <v>481.29190879999999</v>
      </c>
      <c r="P11" s="19">
        <f t="shared" si="10"/>
        <v>516.32957420000002</v>
      </c>
      <c r="Q11" s="42">
        <f t="shared" si="11"/>
        <v>521.28497419999997</v>
      </c>
      <c r="R11" s="19">
        <f t="shared" si="12"/>
        <v>537.25891420000005</v>
      </c>
      <c r="S11" s="19">
        <f t="shared" si="13"/>
        <v>505.31121419999999</v>
      </c>
      <c r="T11" s="42">
        <f t="shared" si="14"/>
        <v>497.28847959999996</v>
      </c>
      <c r="U11" s="19">
        <f t="shared" si="15"/>
        <v>543.29397419999998</v>
      </c>
      <c r="V11" s="19">
        <f t="shared" si="16"/>
        <v>557.30962419999992</v>
      </c>
    </row>
    <row r="12" spans="1:23" x14ac:dyDescent="0.25">
      <c r="A12" s="17" t="s">
        <v>529</v>
      </c>
      <c r="B12" s="17" t="str">
        <f t="shared" si="0"/>
        <v>LPG 17:1</v>
      </c>
      <c r="C12" s="1" t="str">
        <f t="shared" si="1"/>
        <v>17</v>
      </c>
      <c r="D12" s="1" t="str">
        <f t="shared" si="2"/>
        <v>1</v>
      </c>
      <c r="G12" s="17">
        <f t="shared" si="3"/>
        <v>23</v>
      </c>
      <c r="H12" s="17">
        <f t="shared" si="4"/>
        <v>45</v>
      </c>
      <c r="I12" s="17">
        <f t="shared" si="5"/>
        <v>9</v>
      </c>
      <c r="J12" s="17">
        <v>1</v>
      </c>
      <c r="L12" s="19" t="str">
        <f t="shared" si="6"/>
        <v>C23H45O9P1</v>
      </c>
      <c r="M12" s="19">
        <f t="shared" si="7"/>
        <v>496.28010499999999</v>
      </c>
      <c r="N12" s="19">
        <f t="shared" si="8"/>
        <v>497.28737960000001</v>
      </c>
      <c r="O12" s="19">
        <f t="shared" si="9"/>
        <v>479.2762596</v>
      </c>
      <c r="P12" s="19">
        <f t="shared" si="10"/>
        <v>514.31392500000004</v>
      </c>
      <c r="Q12" s="42">
        <f t="shared" si="11"/>
        <v>519.26932499999998</v>
      </c>
      <c r="R12" s="19">
        <f t="shared" si="12"/>
        <v>535.24326500000006</v>
      </c>
      <c r="S12" s="19">
        <f t="shared" si="13"/>
        <v>503.29556500000001</v>
      </c>
      <c r="T12" s="42">
        <f t="shared" si="14"/>
        <v>495.27283039999998</v>
      </c>
      <c r="U12" s="19">
        <f t="shared" si="15"/>
        <v>541.278325</v>
      </c>
      <c r="V12" s="19">
        <f t="shared" si="16"/>
        <v>555.29397499999993</v>
      </c>
    </row>
    <row r="13" spans="1:23" x14ac:dyDescent="0.25">
      <c r="A13" s="17" t="s">
        <v>430</v>
      </c>
      <c r="B13" s="17" t="str">
        <f t="shared" ref="B13:B19" si="17">IF(ISNUMBER(SEARCH("(",A13)),IF(ISNUMBER(SEARCH("/",A13)),CONCATENATE(MID(A13,1,2)," ",(SUM(MID(A13,FIND("(",A13)+1,FIND(":",A13)-FIND("(",A13)-1),MID(A13,FIND("/",A13)+1,FIND(":",A13,FIND("/",A13))-FIND("/",A13)-1))),":",SUM(MID(A13,FIND(":",A13)+1,FIND("/",A13)-FIND(":",A13)-1),MID(A13,FIND(":",A13,FIND("/",A13))+1,FIND(")",A13)-FIND(":",A13,FIND("/",A13))-1)),MID(A13,(FIND(")",A13)+1),100)),CONCATENATE(MID(A13,1,2)," ",(SUM(MID(A13,FIND("(",A13)+1,FIND(":",A13)-FIND("(",A13)-1),MID(A13,FIND("_",A13)+1,FIND(":",A13,FIND("_",A13))-FIND("_",A13)-1))),":",SUM(MID(A13,FIND(":",A13)+1,FIND("_",A13)-FIND(":",A13)-1),MID(A13,FIND(":",A13,FIND("_",A13))+1,FIND(")",A13)-FIND(":",A13,FIND("_",A13))-1)),MID(A13,(FIND(")",A13)+1),100))),A13)</f>
        <v>LPG 18:1</v>
      </c>
      <c r="C13" s="1" t="str">
        <f t="shared" ref="C13:C19" si="18">MID(B13,5,FIND(":",B13)-FIND(" ",B13)-1)</f>
        <v>18</v>
      </c>
      <c r="D13" s="1" t="str">
        <f t="shared" ref="D13:D19" si="19">IF(ISNUMBER(SEARCH("__",B13)),MID(B13,FIND(":",B13)+1,FIND("__",B13)-FIND(":",B13)-1),MID(B13,FIND(":",B13)+1,7))</f>
        <v>1</v>
      </c>
      <c r="G13" s="17">
        <f t="shared" ref="G13:G19" si="20">C13+6</f>
        <v>24</v>
      </c>
      <c r="H13" s="17">
        <f t="shared" ref="H13:H19" si="21">2*G13-(2*D13)+1-((LEN(A13)-LEN(SUBSTITUTE(A13,"_O_","")))/LEN("_O_"))*2-((LEN(A13)-LEN(SUBSTITUTE(A13,"_CHO_","")))/LEN("_CHO_"))*2-((LEN(A13)-LEN(SUBSTITUTE(A13,"_COOH_","")))/LEN("_COOH_"))*2</f>
        <v>47</v>
      </c>
      <c r="I13" s="17">
        <f t="shared" ref="I13:I19" si="22">9+((LEN(A13)-LEN(SUBSTITUTE(A13,"_OH_","")))/LEN("_OH_"))*1+((LEN(A13)-LEN(SUBSTITUTE(A13,"_OOH_","")))/LEN("_OOH_"))*2+((LEN(A13)-LEN(SUBSTITUTE(A13,"_O_","")))/LEN("_O_"))*1+((LEN(A13)-LEN(SUBSTITUTE(A13,"_CHO_","")))/LEN("_CHO_"))*1+((LEN(A13)-LEN(SUBSTITUTE(A13,"_COOH_","")))/LEN("_COOH_"))*2</f>
        <v>9</v>
      </c>
      <c r="J13" s="17">
        <v>1</v>
      </c>
      <c r="L13" s="19" t="str">
        <f t="shared" ref="L13:L19" si="23">CONCATENATE("C",G13,"H",H13,"O",I13,"P",J13)</f>
        <v>C24H47O9P1</v>
      </c>
      <c r="M13" s="19">
        <f t="shared" ref="M13:M19" si="24">(G13*12)+(H13*1.0078246)+(I13*15.994915)+(J13*30.973763)</f>
        <v>510.29575419999998</v>
      </c>
      <c r="N13" s="19">
        <f t="shared" ref="N13:N19" si="25">M13+1.0078246-0.00055</f>
        <v>511.30302879999999</v>
      </c>
      <c r="O13" s="19">
        <f t="shared" ref="O13:O19" si="26">N13-18.01057-0.00055</f>
        <v>493.29190879999999</v>
      </c>
      <c r="P13" s="19">
        <f t="shared" ref="P13:P19" si="27">M13+18.03437-0.00055</f>
        <v>528.32957420000002</v>
      </c>
      <c r="Q13" s="42">
        <f t="shared" ref="Q13:Q19" si="28">M13+22.98977-0.00055</f>
        <v>533.28497419999997</v>
      </c>
      <c r="R13" s="19">
        <f t="shared" ref="R13:R19" si="29">M13+38.96371-0.00055</f>
        <v>549.25891420000005</v>
      </c>
      <c r="S13" s="19">
        <f t="shared" ref="S13:S19" si="30">M13+7.01601-0.00055</f>
        <v>517.31121419999999</v>
      </c>
      <c r="T13" s="42">
        <f t="shared" ref="T13:T19" si="31">M13-1.0078246+0.00055</f>
        <v>509.28847959999996</v>
      </c>
      <c r="U13" s="19">
        <f t="shared" ref="U13:U19" si="32">M13+44.99767+0.00055</f>
        <v>555.29397419999998</v>
      </c>
      <c r="V13" s="19">
        <f t="shared" ref="V13:V19" si="33">M13+59.01332+0.00055</f>
        <v>569.30962419999992</v>
      </c>
    </row>
    <row r="14" spans="1:23" x14ac:dyDescent="0.25">
      <c r="A14" s="17" t="s">
        <v>83</v>
      </c>
      <c r="B14" s="17" t="str">
        <f t="shared" si="17"/>
        <v>LPG 18:0</v>
      </c>
      <c r="C14" s="1" t="str">
        <f t="shared" si="18"/>
        <v>18</v>
      </c>
      <c r="D14" s="1" t="str">
        <f t="shared" si="19"/>
        <v>0</v>
      </c>
      <c r="G14" s="17">
        <f t="shared" si="20"/>
        <v>24</v>
      </c>
      <c r="H14" s="17">
        <f t="shared" si="21"/>
        <v>49</v>
      </c>
      <c r="I14" s="17">
        <f t="shared" si="22"/>
        <v>9</v>
      </c>
      <c r="J14" s="17">
        <v>1</v>
      </c>
      <c r="L14" s="19" t="str">
        <f t="shared" si="23"/>
        <v>C24H49O9P1</v>
      </c>
      <c r="M14" s="19">
        <f t="shared" si="24"/>
        <v>512.31140340000002</v>
      </c>
      <c r="N14" s="19">
        <f t="shared" si="25"/>
        <v>513.31867800000009</v>
      </c>
      <c r="O14" s="19">
        <f t="shared" si="26"/>
        <v>495.30755800000009</v>
      </c>
      <c r="P14" s="19">
        <f t="shared" si="27"/>
        <v>530.34522340000001</v>
      </c>
      <c r="Q14" s="42">
        <f t="shared" si="28"/>
        <v>535.30062340000006</v>
      </c>
      <c r="R14" s="19">
        <f t="shared" si="29"/>
        <v>551.27456340000003</v>
      </c>
      <c r="S14" s="19">
        <f t="shared" si="30"/>
        <v>519.32686340000009</v>
      </c>
      <c r="T14" s="42">
        <f t="shared" si="31"/>
        <v>511.3041288</v>
      </c>
      <c r="U14" s="19">
        <f t="shared" si="32"/>
        <v>557.30962339999996</v>
      </c>
      <c r="V14" s="19">
        <f t="shared" si="33"/>
        <v>571.32527340000001</v>
      </c>
    </row>
    <row r="15" spans="1:23" x14ac:dyDescent="0.25">
      <c r="A15" s="17" t="s">
        <v>559</v>
      </c>
      <c r="B15" s="17" t="str">
        <f>IF(ISNUMBER(SEARCH("(",A15)),IF(ISNUMBER(SEARCH("/",A15)),CONCATENATE(MID(A15,1,2)," ",(SUM(MID(A15,FIND("(",A15)+1,FIND(":",A15)-FIND("(",A15)-1),MID(A15,FIND("/",A15)+1,FIND(":",A15,FIND("/",A15))-FIND("/",A15)-1))),":",SUM(MID(A15,FIND(":",A15)+1,FIND("/",A15)-FIND(":",A15)-1),MID(A15,FIND(":",A15,FIND("/",A15))+1,FIND(")",A15)-FIND(":",A15,FIND("/",A15))-1)),MID(A15,(FIND(")",A15)+1),100)),CONCATENATE(MID(A15,1,2)," ",(SUM(MID(A15,FIND("(",A15)+1,FIND(":",A15)-FIND("(",A15)-1),MID(A15,FIND("_",A15)+1,FIND(":",A15,FIND("_",A15))-FIND("_",A15)-1))),":",SUM(MID(A15,FIND(":",A15)+1,FIND("_",A15)-FIND(":",A15)-1),MID(A15,FIND(":",A15,FIND("_",A15))+1,FIND(")",A15)-FIND(":",A15,FIND("_",A15))-1)),MID(A15,(FIND(")",A15)+1),100))),A15)</f>
        <v>LPG 19:1</v>
      </c>
      <c r="C15" s="1" t="str">
        <f>MID(B15,5,FIND(":",B15)-FIND(" ",B15)-1)</f>
        <v>19</v>
      </c>
      <c r="D15" s="1" t="str">
        <f>IF(ISNUMBER(SEARCH("__",B15)),MID(B15,FIND(":",B15)+1,FIND("__",B15)-FIND(":",B15)-1),MID(B15,FIND(":",B15)+1,7))</f>
        <v>1</v>
      </c>
      <c r="G15" s="17">
        <f>C15+6</f>
        <v>25</v>
      </c>
      <c r="H15" s="17">
        <f>2*G15-(2*D15)+1-((LEN(A15)-LEN(SUBSTITUTE(A15,"_O_","")))/LEN("_O_"))*2-((LEN(A15)-LEN(SUBSTITUTE(A15,"_CHO_","")))/LEN("_CHO_"))*2-((LEN(A15)-LEN(SUBSTITUTE(A15,"_COOH_","")))/LEN("_COOH_"))*2</f>
        <v>49</v>
      </c>
      <c r="I15" s="17">
        <f>9+((LEN(A15)-LEN(SUBSTITUTE(A15,"_OH_","")))/LEN("_OH_"))*1+((LEN(A15)-LEN(SUBSTITUTE(A15,"_OOH_","")))/LEN("_OOH_"))*2+((LEN(A15)-LEN(SUBSTITUTE(A15,"_O_","")))/LEN("_O_"))*1+((LEN(A15)-LEN(SUBSTITUTE(A15,"_CHO_","")))/LEN("_CHO_"))*1+((LEN(A15)-LEN(SUBSTITUTE(A15,"_COOH_","")))/LEN("_COOH_"))*2</f>
        <v>9</v>
      </c>
      <c r="J15" s="17">
        <v>1</v>
      </c>
      <c r="L15" s="19" t="str">
        <f>CONCATENATE("C",G15,"H",H15,"O",I15,"P",J15)</f>
        <v>C25H49O9P1</v>
      </c>
      <c r="M15" s="19">
        <f>(G15*12)+(H15*1.0078246)+(I15*15.994915)+(J15*30.973763)</f>
        <v>524.31140340000002</v>
      </c>
      <c r="N15" s="19">
        <f>M15+1.0078246-0.00055</f>
        <v>525.31867800000009</v>
      </c>
      <c r="O15" s="19">
        <f>N15-18.01057-0.00055</f>
        <v>507.30755800000009</v>
      </c>
      <c r="P15" s="19">
        <f>M15+18.03437-0.00055</f>
        <v>542.34522340000001</v>
      </c>
      <c r="Q15" s="42">
        <f>M15+22.98977-0.00055</f>
        <v>547.30062340000006</v>
      </c>
      <c r="R15" s="19">
        <f>M15+38.96371-0.00055</f>
        <v>563.27456340000003</v>
      </c>
      <c r="S15" s="19">
        <f>M15+7.01601-0.00055</f>
        <v>531.32686340000009</v>
      </c>
      <c r="T15" s="42">
        <f>M15-1.0078246+0.00055</f>
        <v>523.30412879999994</v>
      </c>
      <c r="U15" s="19">
        <f>M15+44.99767+0.00055</f>
        <v>569.30962339999996</v>
      </c>
      <c r="V15" s="19">
        <f>M15+59.01332+0.00055</f>
        <v>583.32527340000001</v>
      </c>
    </row>
    <row r="16" spans="1:23" x14ac:dyDescent="0.25">
      <c r="A16" s="17" t="s">
        <v>555</v>
      </c>
      <c r="B16" s="17" t="str">
        <f t="shared" si="17"/>
        <v>LPG 19:0</v>
      </c>
      <c r="C16" s="1" t="str">
        <f t="shared" si="18"/>
        <v>19</v>
      </c>
      <c r="D16" s="1" t="str">
        <f t="shared" si="19"/>
        <v>0</v>
      </c>
      <c r="G16" s="17">
        <f t="shared" si="20"/>
        <v>25</v>
      </c>
      <c r="H16" s="17">
        <f t="shared" si="21"/>
        <v>51</v>
      </c>
      <c r="I16" s="17">
        <f t="shared" si="22"/>
        <v>9</v>
      </c>
      <c r="J16" s="17">
        <v>1</v>
      </c>
      <c r="L16" s="19" t="str">
        <f t="shared" si="23"/>
        <v>C25H51O9P1</v>
      </c>
      <c r="M16" s="19">
        <f t="shared" si="24"/>
        <v>526.3270526</v>
      </c>
      <c r="N16" s="19">
        <f t="shared" si="25"/>
        <v>527.33432720000008</v>
      </c>
      <c r="O16" s="19">
        <f t="shared" si="26"/>
        <v>509.32320720000007</v>
      </c>
      <c r="P16" s="19">
        <f t="shared" si="27"/>
        <v>544.36087259999999</v>
      </c>
      <c r="Q16" s="42">
        <f t="shared" si="28"/>
        <v>549.31627260000005</v>
      </c>
      <c r="R16" s="19">
        <f t="shared" si="29"/>
        <v>565.29021260000002</v>
      </c>
      <c r="S16" s="19">
        <f t="shared" si="30"/>
        <v>533.34251260000008</v>
      </c>
      <c r="T16" s="42">
        <f t="shared" si="31"/>
        <v>525.31977799999993</v>
      </c>
      <c r="U16" s="19">
        <f t="shared" si="32"/>
        <v>571.32527259999995</v>
      </c>
      <c r="V16" s="19">
        <f t="shared" si="33"/>
        <v>585.3409226</v>
      </c>
    </row>
    <row r="17" spans="1:22" x14ac:dyDescent="0.25">
      <c r="A17" s="17" t="s">
        <v>556</v>
      </c>
      <c r="B17" s="17" t="str">
        <f t="shared" si="17"/>
        <v>LPG 20:0</v>
      </c>
      <c r="C17" s="1" t="str">
        <f t="shared" si="18"/>
        <v>20</v>
      </c>
      <c r="D17" s="1" t="str">
        <f t="shared" si="19"/>
        <v>0</v>
      </c>
      <c r="G17" s="17">
        <f t="shared" si="20"/>
        <v>26</v>
      </c>
      <c r="H17" s="17">
        <f t="shared" si="21"/>
        <v>53</v>
      </c>
      <c r="I17" s="17">
        <f t="shared" si="22"/>
        <v>9</v>
      </c>
      <c r="J17" s="17">
        <v>1</v>
      </c>
      <c r="L17" s="19" t="str">
        <f t="shared" si="23"/>
        <v>C26H53O9P1</v>
      </c>
      <c r="M17" s="19">
        <f t="shared" si="24"/>
        <v>540.34270179999999</v>
      </c>
      <c r="N17" s="19">
        <f t="shared" si="25"/>
        <v>541.34997640000006</v>
      </c>
      <c r="O17" s="19">
        <f t="shared" si="26"/>
        <v>523.33885640000005</v>
      </c>
      <c r="P17" s="19">
        <f t="shared" si="27"/>
        <v>558.37652179999998</v>
      </c>
      <c r="Q17" s="42">
        <f t="shared" si="28"/>
        <v>563.33192180000003</v>
      </c>
      <c r="R17" s="19">
        <f t="shared" si="29"/>
        <v>579.3058618</v>
      </c>
      <c r="S17" s="19">
        <f t="shared" si="30"/>
        <v>547.35816180000006</v>
      </c>
      <c r="T17" s="42">
        <f t="shared" si="31"/>
        <v>539.33542719999991</v>
      </c>
      <c r="U17" s="19">
        <f t="shared" si="32"/>
        <v>585.34092179999993</v>
      </c>
      <c r="V17" s="19">
        <f t="shared" si="33"/>
        <v>599.35657179999998</v>
      </c>
    </row>
    <row r="18" spans="1:22" x14ac:dyDescent="0.25">
      <c r="A18" s="17" t="s">
        <v>557</v>
      </c>
      <c r="B18" s="17" t="str">
        <f t="shared" si="17"/>
        <v>LPG 21:0</v>
      </c>
      <c r="C18" s="1" t="str">
        <f t="shared" si="18"/>
        <v>21</v>
      </c>
      <c r="D18" s="1" t="str">
        <f t="shared" si="19"/>
        <v>0</v>
      </c>
      <c r="G18" s="17">
        <f t="shared" si="20"/>
        <v>27</v>
      </c>
      <c r="H18" s="17">
        <f t="shared" si="21"/>
        <v>55</v>
      </c>
      <c r="I18" s="17">
        <f t="shared" si="22"/>
        <v>9</v>
      </c>
      <c r="J18" s="17">
        <v>1</v>
      </c>
      <c r="L18" s="19" t="str">
        <f t="shared" si="23"/>
        <v>C27H55O9P1</v>
      </c>
      <c r="M18" s="19">
        <f t="shared" si="24"/>
        <v>554.35835099999997</v>
      </c>
      <c r="N18" s="19">
        <f t="shared" si="25"/>
        <v>555.36562560000004</v>
      </c>
      <c r="O18" s="19">
        <f t="shared" si="26"/>
        <v>537.35450560000004</v>
      </c>
      <c r="P18" s="19">
        <f t="shared" si="27"/>
        <v>572.39217099999996</v>
      </c>
      <c r="Q18" s="42">
        <f t="shared" si="28"/>
        <v>577.34757100000002</v>
      </c>
      <c r="R18" s="19">
        <f t="shared" si="29"/>
        <v>593.32151099999999</v>
      </c>
      <c r="S18" s="19">
        <f t="shared" si="30"/>
        <v>561.37381100000005</v>
      </c>
      <c r="T18" s="42">
        <f t="shared" si="31"/>
        <v>553.3510763999999</v>
      </c>
      <c r="U18" s="19">
        <f t="shared" si="32"/>
        <v>599.35657099999992</v>
      </c>
      <c r="V18" s="19">
        <f t="shared" si="33"/>
        <v>613.37222099999997</v>
      </c>
    </row>
    <row r="19" spans="1:22" x14ac:dyDescent="0.25">
      <c r="A19" s="17" t="s">
        <v>558</v>
      </c>
      <c r="B19" s="17" t="str">
        <f t="shared" si="17"/>
        <v>LPG 22:0</v>
      </c>
      <c r="C19" s="1" t="str">
        <f t="shared" si="18"/>
        <v>22</v>
      </c>
      <c r="D19" s="1" t="str">
        <f t="shared" si="19"/>
        <v>0</v>
      </c>
      <c r="G19" s="17">
        <f t="shared" si="20"/>
        <v>28</v>
      </c>
      <c r="H19" s="17">
        <f t="shared" si="21"/>
        <v>57</v>
      </c>
      <c r="I19" s="17">
        <f t="shared" si="22"/>
        <v>9</v>
      </c>
      <c r="J19" s="17">
        <v>1</v>
      </c>
      <c r="L19" s="19" t="str">
        <f t="shared" si="23"/>
        <v>C28H57O9P1</v>
      </c>
      <c r="M19" s="19">
        <f t="shared" si="24"/>
        <v>568.37400019999995</v>
      </c>
      <c r="N19" s="19">
        <f t="shared" si="25"/>
        <v>569.38127480000003</v>
      </c>
      <c r="O19" s="19">
        <f t="shared" si="26"/>
        <v>551.37015480000002</v>
      </c>
      <c r="P19" s="19">
        <f t="shared" si="27"/>
        <v>586.40782019999995</v>
      </c>
      <c r="Q19" s="42">
        <f t="shared" si="28"/>
        <v>591.3632202</v>
      </c>
      <c r="R19" s="19">
        <f t="shared" si="29"/>
        <v>607.33716019999997</v>
      </c>
      <c r="S19" s="19">
        <f t="shared" si="30"/>
        <v>575.38946020000003</v>
      </c>
      <c r="T19" s="42">
        <f t="shared" si="31"/>
        <v>567.36672559999988</v>
      </c>
      <c r="U19" s="19">
        <f t="shared" si="32"/>
        <v>613.3722201999999</v>
      </c>
      <c r="V19" s="19">
        <f t="shared" si="33"/>
        <v>627.38787019999995</v>
      </c>
    </row>
    <row r="20" spans="1:22" x14ac:dyDescent="0.25">
      <c r="A20" s="17" t="s">
        <v>647</v>
      </c>
      <c r="B20" s="17" t="str">
        <f>IF(ISNUMBER(SEARCH("(",A20)),IF(ISNUMBER(SEARCH("/",A20)),CONCATENATE(MID(A20,1,2)," ",(SUM(MID(A20,FIND("(",A20)+1,FIND(":",A20)-FIND("(",A20)-1),MID(A20,FIND("/",A20)+1,FIND(":",A20,FIND("/",A20))-FIND("/",A20)-1))),":",SUM(MID(A20,FIND(":",A20)+1,FIND("/",A20)-FIND(":",A20)-1),MID(A20,FIND(":",A20,FIND("/",A20))+1,FIND(")",A20)-FIND(":",A20,FIND("/",A20))-1)),MID(A20,(FIND(")",A20)+1),100)),CONCATENATE(MID(A20,1,2)," ",(SUM(MID(A20,FIND("(",A20)+1,FIND(":",A20)-FIND("(",A20)-1),MID(A20,FIND("_",A20)+1,FIND(":",A20,FIND("_",A20))-FIND("_",A20)-1))),":",SUM(MID(A20,FIND(":",A20)+1,FIND("_",A20)-FIND(":",A20)-1),MID(A20,FIND(":",A20,FIND("_",A20))+1,FIND(")",A20)-FIND(":",A20,FIND("_",A20))-1)),MID(A20,(FIND(")",A20)+1),100))),A20)</f>
        <v>LPG 23:0</v>
      </c>
      <c r="C20" s="1" t="str">
        <f>MID(B20,5,FIND(":",B20)-FIND(" ",B20)-1)</f>
        <v>23</v>
      </c>
      <c r="D20" s="1" t="str">
        <f>IF(ISNUMBER(SEARCH("__",B20)),MID(B20,FIND(":",B20)+1,FIND("__",B20)-FIND(":",B20)-1),MID(B20,FIND(":",B20)+1,7))</f>
        <v>0</v>
      </c>
      <c r="G20" s="17">
        <f>C20+6</f>
        <v>29</v>
      </c>
      <c r="H20" s="17">
        <f>2*G20-(2*D20)+1-((LEN(A20)-LEN(SUBSTITUTE(A20,"_O_","")))/LEN("_O_"))*2-((LEN(A20)-LEN(SUBSTITUTE(A20,"_CHO_","")))/LEN("_CHO_"))*2-((LEN(A20)-LEN(SUBSTITUTE(A20,"_COOH_","")))/LEN("_COOH_"))*2</f>
        <v>59</v>
      </c>
      <c r="I20" s="17">
        <f>9+((LEN(A20)-LEN(SUBSTITUTE(A20,"_OH_","")))/LEN("_OH_"))*1+((LEN(A20)-LEN(SUBSTITUTE(A20,"_OOH_","")))/LEN("_OOH_"))*2+((LEN(A20)-LEN(SUBSTITUTE(A20,"_O_","")))/LEN("_O_"))*1+((LEN(A20)-LEN(SUBSTITUTE(A20,"_CHO_","")))/LEN("_CHO_"))*1+((LEN(A20)-LEN(SUBSTITUTE(A20,"_COOH_","")))/LEN("_COOH_"))*2</f>
        <v>9</v>
      </c>
      <c r="J20" s="17">
        <v>1</v>
      </c>
      <c r="L20" s="19" t="str">
        <f>CONCATENATE("C",G20,"H",H20,"O",I20,"P",J20)</f>
        <v>C29H59O9P1</v>
      </c>
      <c r="M20" s="19">
        <f>(G20*12)+(H20*1.0078246)+(I20*15.994915)+(J20*30.973763)</f>
        <v>582.38964939999994</v>
      </c>
      <c r="N20" s="19">
        <f>M20+1.0078246-0.00055</f>
        <v>583.39692400000001</v>
      </c>
      <c r="O20" s="19">
        <f>N20-18.01057-0.00055</f>
        <v>565.38580400000001</v>
      </c>
      <c r="P20" s="19">
        <f>M20+18.03437-0.00055</f>
        <v>600.42346939999993</v>
      </c>
      <c r="Q20" s="42">
        <f>M20+22.98977-0.00055</f>
        <v>605.37886939999999</v>
      </c>
      <c r="R20" s="19">
        <f>M20+38.96371-0.00055</f>
        <v>621.35280939999996</v>
      </c>
      <c r="S20" s="19">
        <f>M20+7.01601-0.00055</f>
        <v>589.40510940000001</v>
      </c>
      <c r="T20" s="42">
        <f>M20-1.0078246+0.00055</f>
        <v>581.38237479999987</v>
      </c>
      <c r="U20" s="19">
        <f>M20+44.99767+0.00055</f>
        <v>627.38786939999989</v>
      </c>
      <c r="V20" s="19">
        <f>M20+59.01332+0.00055</f>
        <v>641.40351939999994</v>
      </c>
    </row>
    <row r="21" spans="1:22" x14ac:dyDescent="0.25">
      <c r="A21" s="17" t="s">
        <v>648</v>
      </c>
      <c r="B21" s="17" t="str">
        <f>IF(ISNUMBER(SEARCH("(",A21)),IF(ISNUMBER(SEARCH("/",A21)),CONCATENATE(MID(A21,1,2)," ",(SUM(MID(A21,FIND("(",A21)+1,FIND(":",A21)-FIND("(",A21)-1),MID(A21,FIND("/",A21)+1,FIND(":",A21,FIND("/",A21))-FIND("/",A21)-1))),":",SUM(MID(A21,FIND(":",A21)+1,FIND("/",A21)-FIND(":",A21)-1),MID(A21,FIND(":",A21,FIND("/",A21))+1,FIND(")",A21)-FIND(":",A21,FIND("/",A21))-1)),MID(A21,(FIND(")",A21)+1),100)),CONCATENATE(MID(A21,1,2)," ",(SUM(MID(A21,FIND("(",A21)+1,FIND(":",A21)-FIND("(",A21)-1),MID(A21,FIND("_",A21)+1,FIND(":",A21,FIND("_",A21))-FIND("_",A21)-1))),":",SUM(MID(A21,FIND(":",A21)+1,FIND("_",A21)-FIND(":",A21)-1),MID(A21,FIND(":",A21,FIND("_",A21))+1,FIND(")",A21)-FIND(":",A21,FIND("_",A21))-1)),MID(A21,(FIND(")",A21)+1),100))),A21)</f>
        <v>LPG 24:0</v>
      </c>
      <c r="C21" s="1" t="str">
        <f>MID(B21,5,FIND(":",B21)-FIND(" ",B21)-1)</f>
        <v>24</v>
      </c>
      <c r="D21" s="1" t="str">
        <f>IF(ISNUMBER(SEARCH("__",B21)),MID(B21,FIND(":",B21)+1,FIND("__",B21)-FIND(":",B21)-1),MID(B21,FIND(":",B21)+1,7))</f>
        <v>0</v>
      </c>
      <c r="G21" s="17">
        <f>C21+6</f>
        <v>30</v>
      </c>
      <c r="H21" s="17">
        <f>2*G21-(2*D21)+1-((LEN(A21)-LEN(SUBSTITUTE(A21,"_O_","")))/LEN("_O_"))*2-((LEN(A21)-LEN(SUBSTITUTE(A21,"_CHO_","")))/LEN("_CHO_"))*2-((LEN(A21)-LEN(SUBSTITUTE(A21,"_COOH_","")))/LEN("_COOH_"))*2</f>
        <v>61</v>
      </c>
      <c r="I21" s="17">
        <f>9+((LEN(A21)-LEN(SUBSTITUTE(A21,"_OH_","")))/LEN("_OH_"))*1+((LEN(A21)-LEN(SUBSTITUTE(A21,"_OOH_","")))/LEN("_OOH_"))*2+((LEN(A21)-LEN(SUBSTITUTE(A21,"_O_","")))/LEN("_O_"))*1+((LEN(A21)-LEN(SUBSTITUTE(A21,"_CHO_","")))/LEN("_CHO_"))*1+((LEN(A21)-LEN(SUBSTITUTE(A21,"_COOH_","")))/LEN("_COOH_"))*2</f>
        <v>9</v>
      </c>
      <c r="J21" s="17">
        <v>1</v>
      </c>
      <c r="L21" s="19" t="str">
        <f>CONCATENATE("C",G21,"H",H21,"O",I21,"P",J21)</f>
        <v>C30H61O9P1</v>
      </c>
      <c r="M21" s="19">
        <f>(G21*12)+(H21*1.0078246)+(I21*15.994915)+(J21*30.973763)</f>
        <v>596.40529859999992</v>
      </c>
      <c r="N21" s="19">
        <f>M21+1.0078246-0.00055</f>
        <v>597.4125732</v>
      </c>
      <c r="O21" s="19">
        <f>N21-18.01057-0.00055</f>
        <v>579.40145319999999</v>
      </c>
      <c r="P21" s="19">
        <f>M21+18.03437-0.00055</f>
        <v>614.43911859999992</v>
      </c>
      <c r="Q21" s="42">
        <f>M21+22.98977-0.00055</f>
        <v>619.39451859999997</v>
      </c>
      <c r="R21" s="19">
        <f>M21+38.96371-0.00055</f>
        <v>635.36845859999994</v>
      </c>
      <c r="S21" s="19">
        <f>M21+7.01601-0.00055</f>
        <v>603.4207586</v>
      </c>
      <c r="T21" s="42">
        <f>M21-1.0078246+0.00055</f>
        <v>595.39802399999985</v>
      </c>
      <c r="U21" s="19">
        <f>M21+44.99767+0.00055</f>
        <v>641.40351859999987</v>
      </c>
      <c r="V21" s="19">
        <f>M21+59.01332+0.00055</f>
        <v>655.41916859999992</v>
      </c>
    </row>
    <row r="22" spans="1:22" x14ac:dyDescent="0.25">
      <c r="A22" s="17" t="s">
        <v>649</v>
      </c>
      <c r="B22" s="17" t="str">
        <f>IF(ISNUMBER(SEARCH("(",A22)),IF(ISNUMBER(SEARCH("/",A22)),CONCATENATE(MID(A22,1,2)," ",(SUM(MID(A22,FIND("(",A22)+1,FIND(":",A22)-FIND("(",A22)-1),MID(A22,FIND("/",A22)+1,FIND(":",A22,FIND("/",A22))-FIND("/",A22)-1))),":",SUM(MID(A22,FIND(":",A22)+1,FIND("/",A22)-FIND(":",A22)-1),MID(A22,FIND(":",A22,FIND("/",A22))+1,FIND(")",A22)-FIND(":",A22,FIND("/",A22))-1)),MID(A22,(FIND(")",A22)+1),100)),CONCATENATE(MID(A22,1,2)," ",(SUM(MID(A22,FIND("(",A22)+1,FIND(":",A22)-FIND("(",A22)-1),MID(A22,FIND("_",A22)+1,FIND(":",A22,FIND("_",A22))-FIND("_",A22)-1))),":",SUM(MID(A22,FIND(":",A22)+1,FIND("_",A22)-FIND(":",A22)-1),MID(A22,FIND(":",A22,FIND("_",A22))+1,FIND(")",A22)-FIND(":",A22,FIND("_",A22))-1)),MID(A22,(FIND(")",A22)+1),100))),A22)</f>
        <v>LPG 25:0</v>
      </c>
      <c r="C22" s="1" t="str">
        <f>MID(B22,5,FIND(":",B22)-FIND(" ",B22)-1)</f>
        <v>25</v>
      </c>
      <c r="D22" s="1" t="str">
        <f>IF(ISNUMBER(SEARCH("__",B22)),MID(B22,FIND(":",B22)+1,FIND("__",B22)-FIND(":",B22)-1),MID(B22,FIND(":",B22)+1,7))</f>
        <v>0</v>
      </c>
      <c r="G22" s="17">
        <f>C22+6</f>
        <v>31</v>
      </c>
      <c r="H22" s="17">
        <f>2*G22-(2*D22)+1-((LEN(A22)-LEN(SUBSTITUTE(A22,"_O_","")))/LEN("_O_"))*2-((LEN(A22)-LEN(SUBSTITUTE(A22,"_CHO_","")))/LEN("_CHO_"))*2-((LEN(A22)-LEN(SUBSTITUTE(A22,"_COOH_","")))/LEN("_COOH_"))*2</f>
        <v>63</v>
      </c>
      <c r="I22" s="17">
        <f>9+((LEN(A22)-LEN(SUBSTITUTE(A22,"_OH_","")))/LEN("_OH_"))*1+((LEN(A22)-LEN(SUBSTITUTE(A22,"_OOH_","")))/LEN("_OOH_"))*2+((LEN(A22)-LEN(SUBSTITUTE(A22,"_O_","")))/LEN("_O_"))*1+((LEN(A22)-LEN(SUBSTITUTE(A22,"_CHO_","")))/LEN("_CHO_"))*1+((LEN(A22)-LEN(SUBSTITUTE(A22,"_COOH_","")))/LEN("_COOH_"))*2</f>
        <v>9</v>
      </c>
      <c r="J22" s="17">
        <v>1</v>
      </c>
      <c r="L22" s="19" t="str">
        <f>CONCATENATE("C",G22,"H",H22,"O",I22,"P",J22)</f>
        <v>C31H63O9P1</v>
      </c>
      <c r="M22" s="19">
        <f>(G22*12)+(H22*1.0078246)+(I22*15.994915)+(J22*30.973763)</f>
        <v>610.42094780000002</v>
      </c>
      <c r="N22" s="19">
        <f>M22+1.0078246-0.00055</f>
        <v>611.4282224000001</v>
      </c>
      <c r="O22" s="19">
        <f>N22-18.01057-0.00055</f>
        <v>593.41710240000009</v>
      </c>
      <c r="P22" s="19">
        <f>M22+18.03437-0.00055</f>
        <v>628.45476780000001</v>
      </c>
      <c r="Q22" s="42">
        <f>M22+22.98977-0.00055</f>
        <v>633.41016780000007</v>
      </c>
      <c r="R22" s="19">
        <f>M22+38.96371-0.00055</f>
        <v>649.38410780000004</v>
      </c>
      <c r="S22" s="19">
        <f>M22+7.01601-0.00055</f>
        <v>617.4364078000001</v>
      </c>
      <c r="T22" s="42">
        <f>M22-1.0078246+0.00055</f>
        <v>609.41367319999995</v>
      </c>
      <c r="U22" s="19">
        <f>M22+44.99767+0.00055</f>
        <v>655.41916779999997</v>
      </c>
      <c r="V22" s="19">
        <f>M22+59.01332+0.00055</f>
        <v>669.43481780000002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Y79"/>
  <sheetViews>
    <sheetView showGridLines="0" zoomScaleNormal="100" workbookViewId="0">
      <pane xSplit="1" ySplit="2" topLeftCell="B3" activePane="bottomRight" state="frozen"/>
      <selection pane="topRight"/>
      <selection pane="bottomLeft"/>
      <selection pane="bottomRight" activeCell="L6" sqref="L6"/>
    </sheetView>
  </sheetViews>
  <sheetFormatPr defaultColWidth="9.140625" defaultRowHeight="15.75" x14ac:dyDescent="0.25"/>
  <cols>
    <col min="1" max="1" width="26.28515625" style="17" customWidth="1"/>
    <col min="2" max="2" width="21.140625" style="17" hidden="1" customWidth="1"/>
    <col min="3" max="4" width="3.85546875" style="17" hidden="1" customWidth="1"/>
    <col min="5" max="5" width="9.140625" style="17" hidden="1" customWidth="1"/>
    <col min="6" max="7" width="10.85546875" style="17" hidden="1" customWidth="1"/>
    <col min="8" max="8" width="9.5703125" style="17" hidden="1" customWidth="1"/>
    <col min="9" max="11" width="9.140625" style="17" hidden="1" customWidth="1"/>
    <col min="12" max="12" width="12.7109375" style="19" bestFit="1" customWidth="1"/>
    <col min="13" max="13" width="15.85546875" style="19" bestFit="1" customWidth="1"/>
    <col min="14" max="14" width="12.140625" style="19" bestFit="1" customWidth="1"/>
    <col min="15" max="15" width="14.42578125" style="42" bestFit="1" customWidth="1"/>
    <col min="16" max="20" width="12.140625" style="19" bestFit="1" customWidth="1"/>
    <col min="21" max="21" width="13.5703125" style="19" bestFit="1" customWidth="1"/>
    <col min="22" max="22" width="16.5703125" style="19" bestFit="1" customWidth="1"/>
    <col min="23" max="23" width="13.28515625" style="17" bestFit="1" customWidth="1"/>
    <col min="24" max="24" width="13.5703125" style="17" bestFit="1" customWidth="1"/>
    <col min="25" max="25" width="16.140625" style="17" bestFit="1" customWidth="1"/>
  </cols>
  <sheetData>
    <row r="1" spans="1:25" s="28" customFormat="1" x14ac:dyDescent="0.25">
      <c r="A1" s="27" t="s">
        <v>59</v>
      </c>
      <c r="B1" s="27" t="s">
        <v>5</v>
      </c>
      <c r="C1" s="27"/>
      <c r="D1" s="27"/>
      <c r="E1" s="27"/>
      <c r="F1" s="27" t="s">
        <v>0</v>
      </c>
      <c r="G1" s="27" t="s">
        <v>1</v>
      </c>
      <c r="H1" s="27" t="s">
        <v>2</v>
      </c>
      <c r="I1" s="27"/>
      <c r="J1" s="27"/>
      <c r="K1" s="27"/>
      <c r="L1" s="29" t="s">
        <v>14</v>
      </c>
      <c r="M1" s="29" t="s">
        <v>3</v>
      </c>
      <c r="N1" s="29" t="s">
        <v>7</v>
      </c>
      <c r="O1" s="40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  <c r="W1" s="27"/>
      <c r="X1" s="27"/>
      <c r="Y1" s="27"/>
    </row>
    <row r="2" spans="1:25" hidden="1" x14ac:dyDescent="0.25">
      <c r="A2" s="17" t="s">
        <v>68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DG 23:18</v>
      </c>
      <c r="C2" s="17" t="str">
        <f>MID(B2,4,FIND(":",B2)-FIND(" ",B2)-1)</f>
        <v>23</v>
      </c>
      <c r="D2" s="17" t="str">
        <f>IF(ISNUMBER(SEARCH("__",B2)),MID(B2,FIND(":",B2)+1,FIND("__",B2)-FIND(":",B2)-1),MID(B2,FIND(":",B2)+1,7))</f>
        <v>18</v>
      </c>
      <c r="F2" s="17">
        <f t="shared" ref="F2" si="0">C2+3</f>
        <v>26</v>
      </c>
      <c r="G2" s="17">
        <f>2*F2-(2*D2)-2-((LEN(A2)-LEN(SUBSTITUTE(A2,"_O_","")))/LEN("_O_"))*2-((LEN(A2)-LEN(SUBSTITUTE(A2,"_CHO_","")))/LEN("_CHO_"))*2-((LEN(A2)-LEN(SUBSTITUTE(A2,"_COOH_","")))/LEN("_COOH_"))*2</f>
        <v>14</v>
      </c>
      <c r="H2" s="17">
        <f>5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5</v>
      </c>
      <c r="L2" s="19" t="str">
        <f>CONCATENATE("C",F2,"H",G2,"O",H2)</f>
        <v>C26H14O5</v>
      </c>
      <c r="M2" s="19">
        <f>(F2*12)+(G2*1.0078246)+(H2*15.994915)</f>
        <v>406.08411940000002</v>
      </c>
      <c r="N2" s="19">
        <f>M2+1.0078246-0.00055</f>
        <v>407.09139400000004</v>
      </c>
      <c r="O2" s="42">
        <f>N2-18.01057-0.00055</f>
        <v>389.08027400000003</v>
      </c>
      <c r="P2" s="19">
        <f>M2+18.03437-0.00055</f>
        <v>424.11793940000007</v>
      </c>
      <c r="Q2" s="19">
        <f>M2+22.98977-0.00055</f>
        <v>429.07333940000007</v>
      </c>
      <c r="R2" s="19">
        <f>M2+38.96371-0.00055</f>
        <v>445.04727940000004</v>
      </c>
      <c r="S2" s="19">
        <f>M2+7.01601-0.00055</f>
        <v>413.09957940000004</v>
      </c>
      <c r="T2" s="19">
        <f>M2-1.0078246+0.00055</f>
        <v>405.0768448</v>
      </c>
      <c r="U2" s="19">
        <f>M2+44.99767+0.00055</f>
        <v>451.08233940000002</v>
      </c>
      <c r="V2" s="19">
        <f>M2+59.01332+0.00055</f>
        <v>465.09798940000002</v>
      </c>
    </row>
    <row r="3" spans="1:25" s="58" customFormat="1" x14ac:dyDescent="0.25">
      <c r="A3" s="17" t="s">
        <v>666</v>
      </c>
      <c r="B3" s="17" t="str">
        <f>IF(ISNUMBER(SEARCH("(",A3)),IF(ISNUMBER(SEARCH("/",A3)),CONCATENATE(MID(A3,1,2),"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3,1,2)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>DG 28:0</v>
      </c>
      <c r="C3" s="17" t="str">
        <f>MID(B3,4,FIND(":",B3)-FIND(" ",B3)-1)</f>
        <v>28</v>
      </c>
      <c r="D3" s="17" t="str">
        <f>IF(ISNUMBER(SEARCH("__",B3)),MID(B3,FIND(":",B3)+1,FIND("__",B3)-FIND(":",B3)-1),MID(B3,FIND(":",B3)+1,7))</f>
        <v>0</v>
      </c>
      <c r="E3" s="17"/>
      <c r="F3" s="17">
        <f t="shared" ref="F3:F4" si="1">C3+3</f>
        <v>31</v>
      </c>
      <c r="G3" s="17">
        <f>2*F3-(2*D3)-2-((LEN(A3)-LEN(SUBSTITUTE(A3,"_O_","")))/LEN("_O_"))*2-((LEN(A3)-LEN(SUBSTITUTE(A3,"_CHO_","")))/LEN("_CHO_"))*2-((LEN(A3)-LEN(SUBSTITUTE(A3,"_COOH_","")))/LEN("_COOH_"))*2</f>
        <v>60</v>
      </c>
      <c r="H3" s="17">
        <f>5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5</v>
      </c>
      <c r="I3" s="17"/>
      <c r="J3" s="17"/>
      <c r="K3" s="17"/>
      <c r="L3" s="19" t="str">
        <f>CONCATENATE("C",F3,"H",G3,"O",H3)</f>
        <v>C31H60O5</v>
      </c>
      <c r="M3" s="19">
        <f>(F3*12)+(G3*1.0078246)+(H3*15.994915)</f>
        <v>512.44405099999994</v>
      </c>
      <c r="N3" s="19">
        <f>M3+1.0078246-0.00055</f>
        <v>513.45132560000002</v>
      </c>
      <c r="O3" s="42">
        <f>N3-18.01057-0.00055</f>
        <v>495.44020560000001</v>
      </c>
      <c r="P3" s="19">
        <f>M3+18.03437-0.00055</f>
        <v>530.47787099999994</v>
      </c>
      <c r="Q3" s="19">
        <f>M3+22.98977-0.00055</f>
        <v>535.43327099999999</v>
      </c>
      <c r="R3" s="19">
        <f>M3+38.96371-0.00055</f>
        <v>551.40721099999996</v>
      </c>
      <c r="S3" s="19">
        <f>M3+7.01601-0.00055</f>
        <v>519.45951100000002</v>
      </c>
      <c r="T3" s="19">
        <f>M3-1.0078246+0.00055</f>
        <v>511.43677639999993</v>
      </c>
      <c r="U3" s="19">
        <f>M3+44.99767+0.00055</f>
        <v>557.44227099999989</v>
      </c>
      <c r="V3" s="19">
        <f>M3+59.01332+0.00055</f>
        <v>571.45792099999994</v>
      </c>
      <c r="W3" s="17"/>
      <c r="X3" s="17"/>
      <c r="Y3" s="17"/>
    </row>
    <row r="4" spans="1:25" s="58" customFormat="1" x14ac:dyDescent="0.25">
      <c r="A4" s="17" t="s">
        <v>667</v>
      </c>
      <c r="B4" s="17" t="str">
        <f>IF(ISNUMBER(SEARCH("(",A4)),IF(ISNUMBER(SEARCH("/",A4)),CONCATENATE(MID(A4,1,2)," ",(SUM(MID(A4,FIND("(",A4)+1,FIND(":",A4)-FIND("(",A4)-1),MID(A4,FIND("/",A4)+1,FIND(":",A4,FIND("/",A4))-FIND("/",A4)-1))),":",SUM(MID(A4,FIND(":",A4)+1,FIND("/",A4)-FIND(":",A4)-1),MID(A4,FIND(":",A4,FIND("/",A4))+1,FIND(")",A4)-FIND(":",A4,FIND("/",A4))-1)),MID(A4,(FIND(")",A4)+1),100)),CONCATENATE(MID(A4,1,2)," ",(SUM(MID(A4,FIND("(",A4)+1,FIND(":",A4)-FIND("(",A4)-1),MID(A4,FIND("_",A4)+1,FIND(":",A4,FIND("_",A4))-FIND("_",A4)-1))),":",SUM(MID(A4,FIND(":",A4)+1,FIND("_",A4)-FIND(":",A4)-1),MID(A4,FIND(":",A4,FIND("_",A4))+1,FIND(")",A4)-FIND(":",A4,FIND("_",A4))-1)),MID(A4,(FIND(")",A4)+1),100))),A4)</f>
        <v>DG 29:0</v>
      </c>
      <c r="C4" s="17" t="str">
        <f>MID(B4,4,FIND(":",B4)-FIND(" ",B4)-1)</f>
        <v>29</v>
      </c>
      <c r="D4" s="17" t="str">
        <f>IF(ISNUMBER(SEARCH("__",B4)),MID(B4,FIND(":",B4)+1,FIND("__",B4)-FIND(":",B4)-1),MID(B4,FIND(":",B4)+1,7))</f>
        <v>0</v>
      </c>
      <c r="E4" s="17"/>
      <c r="F4" s="17">
        <f t="shared" si="1"/>
        <v>32</v>
      </c>
      <c r="G4" s="17">
        <f>2*F4-(2*D4)-2-((LEN(A4)-LEN(SUBSTITUTE(A4,"_O_","")))/LEN("_O_"))*2-((LEN(A4)-LEN(SUBSTITUTE(A4,"_CHO_","")))/LEN("_CHO_"))*2-((LEN(A4)-LEN(SUBSTITUTE(A4,"_COOH_","")))/LEN("_COOH_"))*2</f>
        <v>62</v>
      </c>
      <c r="H4" s="17">
        <f>5+((LEN(A4)-LEN(SUBSTITUTE(A4,"_OH_","")))/LEN("_OH_"))*1+((LEN(A4)-LEN(SUBSTITUTE(A4,"_OOH_","")))/LEN("_OOH_"))*2+((LEN(A4)-LEN(SUBSTITUTE(A4,"_O_","")))/LEN("_O_"))*1+((LEN(A4)-LEN(SUBSTITUTE(A4,"_CHO_","")))/LEN("_CHO_"))*1+((LEN(A4)-LEN(SUBSTITUTE(A4,"_COOH_","")))/LEN("_COOH_"))*2</f>
        <v>5</v>
      </c>
      <c r="I4" s="17"/>
      <c r="J4" s="17"/>
      <c r="K4" s="17"/>
      <c r="L4" s="19" t="str">
        <f>CONCATENATE("C",F4,"H",G4,"O",H4)</f>
        <v>C32H62O5</v>
      </c>
      <c r="M4" s="19">
        <f>(F4*12)+(G4*1.0078246)+(H4*15.994915)</f>
        <v>526.45970019999993</v>
      </c>
      <c r="N4" s="19">
        <f>M4+1.0078246-0.00055</f>
        <v>527.4669748</v>
      </c>
      <c r="O4" s="42">
        <f>N4-18.01057-0.00055</f>
        <v>509.4558548</v>
      </c>
      <c r="P4" s="19">
        <f>M4+18.03437-0.00055</f>
        <v>544.49352019999992</v>
      </c>
      <c r="Q4" s="19">
        <f>M4+22.98977-0.00055</f>
        <v>549.44892019999998</v>
      </c>
      <c r="R4" s="19">
        <f>M4+38.96371-0.00055</f>
        <v>565.42286019999995</v>
      </c>
      <c r="S4" s="19">
        <f>M4+7.01601-0.00055</f>
        <v>533.4751602</v>
      </c>
      <c r="T4" s="19">
        <f>M4-1.0078246+0.00055</f>
        <v>525.45242559999986</v>
      </c>
      <c r="U4" s="19">
        <f>M4+44.99767+0.00055</f>
        <v>571.45792019999988</v>
      </c>
      <c r="V4" s="19">
        <f>M4+59.01332+0.00055</f>
        <v>585.47357019999993</v>
      </c>
      <c r="W4" s="17"/>
      <c r="X4" s="17"/>
      <c r="Y4" s="17"/>
    </row>
    <row r="5" spans="1:25" x14ac:dyDescent="0.25">
      <c r="A5" s="17" t="s">
        <v>560</v>
      </c>
      <c r="B5" s="17" t="str">
        <f t="shared" ref="B5:B25" si="2">IF(ISNUMBER(SEARCH("(",A5)),IF(ISNUMBER(SEARCH("/",A5)),CONCATENATE(MID(A5,1,2)," ",(SUM(MID(A5,FIND("(",A5)+1,FIND(":",A5)-FIND("(",A5)-1),MID(A5,FIND("/",A5)+1,FIND(":",A5,FIND("/",A5))-FIND("/",A5)-1))),":",SUM(MID(A5,FIND(":",A5)+1,FIND("/",A5)-FIND(":",A5)-1),MID(A5,FIND(":",A5,FIND("/",A5))+1,FIND(")",A5)-FIND(":",A5,FIND("/",A5))-1)),MID(A5,(FIND(")",A5)+1),100)),CONCATENATE(MID(A5,1,2)," ",(SUM(MID(A5,FIND("(",A5)+1,FIND(":",A5)-FIND("(",A5)-1),MID(A5,FIND("_",A5)+1,FIND(":",A5,FIND("_",A5))-FIND("_",A5)-1))),":",SUM(MID(A5,FIND(":",A5)+1,FIND("_",A5)-FIND(":",A5)-1),MID(A5,FIND(":",A5,FIND("_",A5))+1,FIND(")",A5)-FIND(":",A5,FIND("_",A5))-1)),MID(A5,(FIND(")",A5)+1),100))),A5)</f>
        <v>DG 30:2</v>
      </c>
      <c r="C5" s="17" t="str">
        <f t="shared" ref="C5:C25" si="3">MID(B5,4,FIND(":",B5)-FIND(" ",B5)-1)</f>
        <v>30</v>
      </c>
      <c r="D5" s="17" t="str">
        <f t="shared" ref="D5:D25" si="4">IF(ISNUMBER(SEARCH("__",B5)),MID(B5,FIND(":",B5)+1,FIND("__",B5)-FIND(":",B5)-1),MID(B5,FIND(":",B5)+1,7))</f>
        <v>2</v>
      </c>
      <c r="F5" s="17">
        <f t="shared" ref="F5:F25" si="5">C5+3</f>
        <v>33</v>
      </c>
      <c r="G5" s="17">
        <f t="shared" ref="G5:G25" si="6">2*F5-(2*D5)-2-((LEN(A5)-LEN(SUBSTITUTE(A5,"_O_","")))/LEN("_O_"))*2-((LEN(A5)-LEN(SUBSTITUTE(A5,"_CHO_","")))/LEN("_CHO_"))*2-((LEN(A5)-LEN(SUBSTITUTE(A5,"_COOH_","")))/LEN("_COOH_"))*2</f>
        <v>60</v>
      </c>
      <c r="H5" s="17">
        <f t="shared" ref="H5:H25" si="7">5+((LEN(A5)-LEN(SUBSTITUTE(A5,"_OH_","")))/LEN("_OH_"))*1+((LEN(A5)-LEN(SUBSTITUTE(A5,"_OOH_","")))/LEN("_OOH_"))*2+((LEN(A5)-LEN(SUBSTITUTE(A5,"_O_","")))/LEN("_O_"))*1+((LEN(A5)-LEN(SUBSTITUTE(A5,"_CHO_","")))/LEN("_CHO_"))*1+((LEN(A5)-LEN(SUBSTITUTE(A5,"_COOH_","")))/LEN("_COOH_"))*2</f>
        <v>5</v>
      </c>
      <c r="L5" s="19" t="str">
        <f t="shared" ref="L5:L25" si="8">CONCATENATE("C",F5,"H",G5,"O",H5)</f>
        <v>C33H60O5</v>
      </c>
      <c r="M5" s="19">
        <f t="shared" ref="M5:M25" si="9">(F5*12)+(G5*1.0078246)+(H5*15.994915)</f>
        <v>536.44405099999994</v>
      </c>
      <c r="N5" s="19">
        <f t="shared" ref="N5:N25" si="10">M5+1.0078246-0.00055</f>
        <v>537.45132560000002</v>
      </c>
      <c r="O5" s="42">
        <f t="shared" ref="O5:O25" si="11">N5-18.01057-0.00055</f>
        <v>519.44020560000001</v>
      </c>
      <c r="P5" s="19">
        <f t="shared" ref="P5:P25" si="12">M5+18.03437-0.00055</f>
        <v>554.47787099999994</v>
      </c>
      <c r="Q5" s="19">
        <f t="shared" ref="Q5:Q25" si="13">M5+22.98977-0.00055</f>
        <v>559.43327099999999</v>
      </c>
      <c r="R5" s="19">
        <f t="shared" ref="R5:R25" si="14">M5+38.96371-0.00055</f>
        <v>575.40721099999996</v>
      </c>
      <c r="S5" s="19">
        <f t="shared" ref="S5:S25" si="15">M5+7.01601-0.00055</f>
        <v>543.45951100000002</v>
      </c>
      <c r="T5" s="19">
        <f t="shared" ref="T5:T25" si="16">M5-1.0078246+0.00055</f>
        <v>535.43677639999987</v>
      </c>
      <c r="U5" s="19">
        <f t="shared" ref="U5:U25" si="17">M5+44.99767+0.00055</f>
        <v>581.44227099999989</v>
      </c>
      <c r="V5" s="19">
        <f t="shared" ref="V5:V25" si="18">M5+59.01332+0.00055</f>
        <v>595.45792099999994</v>
      </c>
    </row>
    <row r="6" spans="1:25" x14ac:dyDescent="0.25">
      <c r="A6" s="17" t="s">
        <v>561</v>
      </c>
      <c r="B6" s="17" t="str">
        <f t="shared" si="2"/>
        <v>DG 30:1</v>
      </c>
      <c r="C6" s="17" t="str">
        <f t="shared" si="3"/>
        <v>30</v>
      </c>
      <c r="D6" s="17" t="str">
        <f t="shared" si="4"/>
        <v>1</v>
      </c>
      <c r="F6" s="17">
        <f t="shared" si="5"/>
        <v>33</v>
      </c>
      <c r="G6" s="17">
        <f t="shared" si="6"/>
        <v>62</v>
      </c>
      <c r="H6" s="17">
        <f t="shared" si="7"/>
        <v>5</v>
      </c>
      <c r="L6" s="19" t="str">
        <f t="shared" si="8"/>
        <v>C33H62O5</v>
      </c>
      <c r="M6" s="19">
        <f t="shared" si="9"/>
        <v>538.45970019999993</v>
      </c>
      <c r="N6" s="19">
        <f t="shared" si="10"/>
        <v>539.4669748</v>
      </c>
      <c r="O6" s="42">
        <f t="shared" si="11"/>
        <v>521.4558548</v>
      </c>
      <c r="P6" s="19">
        <f t="shared" si="12"/>
        <v>556.49352019999992</v>
      </c>
      <c r="Q6" s="19">
        <f t="shared" si="13"/>
        <v>561.44892019999998</v>
      </c>
      <c r="R6" s="19">
        <f t="shared" si="14"/>
        <v>577.42286019999995</v>
      </c>
      <c r="S6" s="19">
        <f t="shared" si="15"/>
        <v>545.4751602</v>
      </c>
      <c r="T6" s="19">
        <f t="shared" si="16"/>
        <v>537.45242559999986</v>
      </c>
      <c r="U6" s="19">
        <f t="shared" si="17"/>
        <v>583.45792019999988</v>
      </c>
      <c r="V6" s="19">
        <f t="shared" si="18"/>
        <v>597.47357019999993</v>
      </c>
    </row>
    <row r="7" spans="1:25" x14ac:dyDescent="0.25">
      <c r="A7" s="17" t="s">
        <v>562</v>
      </c>
      <c r="B7" s="17" t="str">
        <f t="shared" si="2"/>
        <v>DG 30:0</v>
      </c>
      <c r="C7" s="17" t="str">
        <f t="shared" si="3"/>
        <v>30</v>
      </c>
      <c r="D7" s="17" t="str">
        <f t="shared" si="4"/>
        <v>0</v>
      </c>
      <c r="F7" s="17">
        <f t="shared" si="5"/>
        <v>33</v>
      </c>
      <c r="G7" s="17">
        <f t="shared" si="6"/>
        <v>64</v>
      </c>
      <c r="H7" s="17">
        <f t="shared" si="7"/>
        <v>5</v>
      </c>
      <c r="L7" s="19" t="str">
        <f t="shared" si="8"/>
        <v>C33H64O5</v>
      </c>
      <c r="M7" s="19">
        <f t="shared" si="9"/>
        <v>540.47534940000003</v>
      </c>
      <c r="N7" s="19">
        <f t="shared" si="10"/>
        <v>541.4826240000001</v>
      </c>
      <c r="O7" s="42">
        <f t="shared" si="11"/>
        <v>523.4715040000001</v>
      </c>
      <c r="P7" s="19">
        <f t="shared" si="12"/>
        <v>558.50916940000002</v>
      </c>
      <c r="Q7" s="19">
        <f t="shared" si="13"/>
        <v>563.46456940000007</v>
      </c>
      <c r="R7" s="19">
        <f t="shared" si="14"/>
        <v>579.43850940000004</v>
      </c>
      <c r="S7" s="19">
        <f t="shared" si="15"/>
        <v>547.4908094000001</v>
      </c>
      <c r="T7" s="19">
        <f t="shared" si="16"/>
        <v>539.46807479999995</v>
      </c>
      <c r="U7" s="19">
        <f t="shared" si="17"/>
        <v>585.47356939999997</v>
      </c>
      <c r="V7" s="19">
        <f t="shared" si="18"/>
        <v>599.48921940000002</v>
      </c>
    </row>
    <row r="8" spans="1:25" x14ac:dyDescent="0.25">
      <c r="A8" s="17" t="s">
        <v>563</v>
      </c>
      <c r="B8" s="17" t="str">
        <f t="shared" si="2"/>
        <v>DG 31:2</v>
      </c>
      <c r="C8" s="17" t="str">
        <f t="shared" si="3"/>
        <v>31</v>
      </c>
      <c r="D8" s="17" t="str">
        <f t="shared" si="4"/>
        <v>2</v>
      </c>
      <c r="F8" s="17">
        <f t="shared" si="5"/>
        <v>34</v>
      </c>
      <c r="G8" s="17">
        <f t="shared" si="6"/>
        <v>62</v>
      </c>
      <c r="H8" s="17">
        <f t="shared" si="7"/>
        <v>5</v>
      </c>
      <c r="L8" s="19" t="str">
        <f t="shared" si="8"/>
        <v>C34H62O5</v>
      </c>
      <c r="M8" s="19">
        <f t="shared" si="9"/>
        <v>550.45970019999993</v>
      </c>
      <c r="N8" s="19">
        <f t="shared" si="10"/>
        <v>551.4669748</v>
      </c>
      <c r="O8" s="42">
        <f t="shared" si="11"/>
        <v>533.4558548</v>
      </c>
      <c r="P8" s="19">
        <f t="shared" si="12"/>
        <v>568.49352019999992</v>
      </c>
      <c r="Q8" s="19">
        <f t="shared" si="13"/>
        <v>573.44892019999998</v>
      </c>
      <c r="R8" s="19">
        <f t="shared" si="14"/>
        <v>589.42286019999995</v>
      </c>
      <c r="S8" s="19">
        <f t="shared" si="15"/>
        <v>557.4751602</v>
      </c>
      <c r="T8" s="19">
        <f t="shared" si="16"/>
        <v>549.45242559999986</v>
      </c>
      <c r="U8" s="19">
        <f t="shared" si="17"/>
        <v>595.45792019999988</v>
      </c>
      <c r="V8" s="19">
        <f t="shared" si="18"/>
        <v>609.47357019999993</v>
      </c>
    </row>
    <row r="9" spans="1:25" x14ac:dyDescent="0.25">
      <c r="A9" s="17" t="s">
        <v>564</v>
      </c>
      <c r="B9" s="17" t="str">
        <f t="shared" si="2"/>
        <v>DG 31:1</v>
      </c>
      <c r="C9" s="17" t="str">
        <f t="shared" si="3"/>
        <v>31</v>
      </c>
      <c r="D9" s="17" t="str">
        <f t="shared" si="4"/>
        <v>1</v>
      </c>
      <c r="F9" s="17">
        <f t="shared" si="5"/>
        <v>34</v>
      </c>
      <c r="G9" s="17">
        <f t="shared" si="6"/>
        <v>64</v>
      </c>
      <c r="H9" s="17">
        <f t="shared" si="7"/>
        <v>5</v>
      </c>
      <c r="L9" s="19" t="str">
        <f t="shared" si="8"/>
        <v>C34H64O5</v>
      </c>
      <c r="M9" s="19">
        <f t="shared" si="9"/>
        <v>552.47534940000003</v>
      </c>
      <c r="N9" s="19">
        <f t="shared" si="10"/>
        <v>553.4826240000001</v>
      </c>
      <c r="O9" s="42">
        <f t="shared" si="11"/>
        <v>535.4715040000001</v>
      </c>
      <c r="P9" s="19">
        <f t="shared" si="12"/>
        <v>570.50916940000002</v>
      </c>
      <c r="Q9" s="19">
        <f t="shared" si="13"/>
        <v>575.46456940000007</v>
      </c>
      <c r="R9" s="19">
        <f t="shared" si="14"/>
        <v>591.43850940000004</v>
      </c>
      <c r="S9" s="19">
        <f t="shared" si="15"/>
        <v>559.4908094000001</v>
      </c>
      <c r="T9" s="19">
        <f t="shared" si="16"/>
        <v>551.46807479999995</v>
      </c>
      <c r="U9" s="19">
        <f t="shared" si="17"/>
        <v>597.47356939999997</v>
      </c>
      <c r="V9" s="19">
        <f t="shared" si="18"/>
        <v>611.48921940000002</v>
      </c>
    </row>
    <row r="10" spans="1:25" x14ac:dyDescent="0.25">
      <c r="A10" s="17" t="s">
        <v>565</v>
      </c>
      <c r="B10" s="17" t="str">
        <f t="shared" si="2"/>
        <v>DG 31:0</v>
      </c>
      <c r="C10" s="17" t="str">
        <f t="shared" si="3"/>
        <v>31</v>
      </c>
      <c r="D10" s="17" t="str">
        <f t="shared" si="4"/>
        <v>0</v>
      </c>
      <c r="F10" s="17">
        <f t="shared" si="5"/>
        <v>34</v>
      </c>
      <c r="G10" s="17">
        <f t="shared" si="6"/>
        <v>66</v>
      </c>
      <c r="H10" s="17">
        <f t="shared" si="7"/>
        <v>5</v>
      </c>
      <c r="L10" s="19" t="str">
        <f t="shared" si="8"/>
        <v>C34H66O5</v>
      </c>
      <c r="M10" s="19">
        <f t="shared" si="9"/>
        <v>554.49099860000001</v>
      </c>
      <c r="N10" s="19">
        <f t="shared" si="10"/>
        <v>555.49827320000009</v>
      </c>
      <c r="O10" s="42">
        <f t="shared" si="11"/>
        <v>537.48715320000008</v>
      </c>
      <c r="P10" s="19">
        <f t="shared" si="12"/>
        <v>572.5248186</v>
      </c>
      <c r="Q10" s="19">
        <f t="shared" si="13"/>
        <v>577.48021860000006</v>
      </c>
      <c r="R10" s="19">
        <f t="shared" si="14"/>
        <v>593.45415860000003</v>
      </c>
      <c r="S10" s="19">
        <f t="shared" si="15"/>
        <v>561.50645860000009</v>
      </c>
      <c r="T10" s="19">
        <f t="shared" si="16"/>
        <v>553.48372399999994</v>
      </c>
      <c r="U10" s="19">
        <f t="shared" si="17"/>
        <v>599.48921859999996</v>
      </c>
      <c r="V10" s="19">
        <f t="shared" si="18"/>
        <v>613.50486860000001</v>
      </c>
    </row>
    <row r="11" spans="1:25" x14ac:dyDescent="0.25">
      <c r="A11" s="17" t="s">
        <v>566</v>
      </c>
      <c r="B11" s="17" t="str">
        <f t="shared" si="2"/>
        <v>DG 32:2</v>
      </c>
      <c r="C11" s="17" t="str">
        <f t="shared" si="3"/>
        <v>32</v>
      </c>
      <c r="D11" s="17" t="str">
        <f t="shared" si="4"/>
        <v>2</v>
      </c>
      <c r="F11" s="17">
        <f t="shared" si="5"/>
        <v>35</v>
      </c>
      <c r="G11" s="17">
        <f t="shared" si="6"/>
        <v>64</v>
      </c>
      <c r="H11" s="17">
        <f t="shared" si="7"/>
        <v>5</v>
      </c>
      <c r="L11" s="19" t="str">
        <f t="shared" si="8"/>
        <v>C35H64O5</v>
      </c>
      <c r="M11" s="19">
        <f t="shared" si="9"/>
        <v>564.47534940000003</v>
      </c>
      <c r="N11" s="19">
        <f t="shared" si="10"/>
        <v>565.4826240000001</v>
      </c>
      <c r="O11" s="42">
        <f t="shared" si="11"/>
        <v>547.4715040000001</v>
      </c>
      <c r="P11" s="19">
        <f t="shared" si="12"/>
        <v>582.50916940000002</v>
      </c>
      <c r="Q11" s="19">
        <f t="shared" si="13"/>
        <v>587.46456940000007</v>
      </c>
      <c r="R11" s="19">
        <f t="shared" si="14"/>
        <v>603.43850940000004</v>
      </c>
      <c r="S11" s="19">
        <f t="shared" si="15"/>
        <v>571.4908094000001</v>
      </c>
      <c r="T11" s="19">
        <f t="shared" si="16"/>
        <v>563.46807479999995</v>
      </c>
      <c r="U11" s="19">
        <f t="shared" si="17"/>
        <v>609.47356939999997</v>
      </c>
      <c r="V11" s="19">
        <f t="shared" si="18"/>
        <v>623.48921940000002</v>
      </c>
    </row>
    <row r="12" spans="1:25" x14ac:dyDescent="0.25">
      <c r="A12" s="17" t="s">
        <v>567</v>
      </c>
      <c r="B12" s="17" t="str">
        <f t="shared" si="2"/>
        <v>DG 32:1</v>
      </c>
      <c r="C12" s="17" t="str">
        <f t="shared" si="3"/>
        <v>32</v>
      </c>
      <c r="D12" s="17" t="str">
        <f t="shared" si="4"/>
        <v>1</v>
      </c>
      <c r="F12" s="17">
        <f t="shared" si="5"/>
        <v>35</v>
      </c>
      <c r="G12" s="17">
        <f t="shared" si="6"/>
        <v>66</v>
      </c>
      <c r="H12" s="17">
        <f t="shared" si="7"/>
        <v>5</v>
      </c>
      <c r="L12" s="19" t="str">
        <f t="shared" si="8"/>
        <v>C35H66O5</v>
      </c>
      <c r="M12" s="19">
        <f t="shared" si="9"/>
        <v>566.49099860000001</v>
      </c>
      <c r="N12" s="19">
        <f t="shared" si="10"/>
        <v>567.49827320000009</v>
      </c>
      <c r="O12" s="42">
        <f t="shared" si="11"/>
        <v>549.48715320000008</v>
      </c>
      <c r="P12" s="19">
        <f t="shared" si="12"/>
        <v>584.5248186</v>
      </c>
      <c r="Q12" s="19">
        <f t="shared" si="13"/>
        <v>589.48021860000006</v>
      </c>
      <c r="R12" s="19">
        <f t="shared" si="14"/>
        <v>605.45415860000003</v>
      </c>
      <c r="S12" s="19">
        <f t="shared" si="15"/>
        <v>573.50645860000009</v>
      </c>
      <c r="T12" s="19">
        <f t="shared" si="16"/>
        <v>565.48372399999994</v>
      </c>
      <c r="U12" s="19">
        <f t="shared" si="17"/>
        <v>611.48921859999996</v>
      </c>
      <c r="V12" s="19">
        <f t="shared" si="18"/>
        <v>625.50486860000001</v>
      </c>
    </row>
    <row r="13" spans="1:25" x14ac:dyDescent="0.25">
      <c r="A13" s="17" t="s">
        <v>568</v>
      </c>
      <c r="B13" s="17" t="str">
        <f t="shared" si="2"/>
        <v>DG 32:0</v>
      </c>
      <c r="C13" s="17" t="str">
        <f t="shared" si="3"/>
        <v>32</v>
      </c>
      <c r="D13" s="17" t="str">
        <f t="shared" si="4"/>
        <v>0</v>
      </c>
      <c r="F13" s="17">
        <f t="shared" si="5"/>
        <v>35</v>
      </c>
      <c r="G13" s="17">
        <f t="shared" si="6"/>
        <v>68</v>
      </c>
      <c r="H13" s="17">
        <f t="shared" si="7"/>
        <v>5</v>
      </c>
      <c r="L13" s="19" t="str">
        <f t="shared" si="8"/>
        <v>C35H68O5</v>
      </c>
      <c r="M13" s="19">
        <f t="shared" si="9"/>
        <v>568.5066478</v>
      </c>
      <c r="N13" s="19">
        <f t="shared" si="10"/>
        <v>569.51392240000007</v>
      </c>
      <c r="O13" s="42">
        <f t="shared" si="11"/>
        <v>551.50280240000006</v>
      </c>
      <c r="P13" s="19">
        <f t="shared" si="12"/>
        <v>586.54046779999999</v>
      </c>
      <c r="Q13" s="19">
        <f t="shared" si="13"/>
        <v>591.49586780000004</v>
      </c>
      <c r="R13" s="19">
        <f t="shared" si="14"/>
        <v>607.46980780000001</v>
      </c>
      <c r="S13" s="19">
        <f t="shared" si="15"/>
        <v>575.52210780000007</v>
      </c>
      <c r="T13" s="19">
        <f t="shared" si="16"/>
        <v>567.49937319999992</v>
      </c>
      <c r="U13" s="19">
        <f t="shared" si="17"/>
        <v>613.50486779999994</v>
      </c>
      <c r="V13" s="19">
        <f t="shared" si="18"/>
        <v>627.52051779999999</v>
      </c>
    </row>
    <row r="14" spans="1:25" x14ac:dyDescent="0.25">
      <c r="A14" s="17" t="s">
        <v>569</v>
      </c>
      <c r="B14" s="17" t="str">
        <f t="shared" si="2"/>
        <v>DG 33:2</v>
      </c>
      <c r="C14" s="17" t="str">
        <f t="shared" si="3"/>
        <v>33</v>
      </c>
      <c r="D14" s="17" t="str">
        <f t="shared" si="4"/>
        <v>2</v>
      </c>
      <c r="F14" s="17">
        <f t="shared" si="5"/>
        <v>36</v>
      </c>
      <c r="G14" s="17">
        <f t="shared" si="6"/>
        <v>66</v>
      </c>
      <c r="H14" s="17">
        <f t="shared" si="7"/>
        <v>5</v>
      </c>
      <c r="L14" s="19" t="str">
        <f t="shared" si="8"/>
        <v>C36H66O5</v>
      </c>
      <c r="M14" s="19">
        <f t="shared" si="9"/>
        <v>578.49099860000001</v>
      </c>
      <c r="N14" s="19">
        <f t="shared" si="10"/>
        <v>579.49827320000009</v>
      </c>
      <c r="O14" s="42">
        <f t="shared" si="11"/>
        <v>561.48715320000008</v>
      </c>
      <c r="P14" s="19">
        <f t="shared" si="12"/>
        <v>596.5248186</v>
      </c>
      <c r="Q14" s="19">
        <f t="shared" si="13"/>
        <v>601.48021860000006</v>
      </c>
      <c r="R14" s="19">
        <f t="shared" si="14"/>
        <v>617.45415860000003</v>
      </c>
      <c r="S14" s="19">
        <f t="shared" si="15"/>
        <v>585.50645860000009</v>
      </c>
      <c r="T14" s="19">
        <f t="shared" si="16"/>
        <v>577.48372399999994</v>
      </c>
      <c r="U14" s="19">
        <f t="shared" si="17"/>
        <v>623.48921859999996</v>
      </c>
      <c r="V14" s="19">
        <f t="shared" si="18"/>
        <v>637.50486860000001</v>
      </c>
    </row>
    <row r="15" spans="1:25" x14ac:dyDescent="0.25">
      <c r="A15" s="17" t="s">
        <v>570</v>
      </c>
      <c r="B15" s="17" t="str">
        <f t="shared" si="2"/>
        <v>DG 33:1</v>
      </c>
      <c r="C15" s="17" t="str">
        <f t="shared" si="3"/>
        <v>33</v>
      </c>
      <c r="D15" s="17" t="str">
        <f t="shared" si="4"/>
        <v>1</v>
      </c>
      <c r="F15" s="17">
        <f t="shared" si="5"/>
        <v>36</v>
      </c>
      <c r="G15" s="17">
        <f t="shared" si="6"/>
        <v>68</v>
      </c>
      <c r="H15" s="17">
        <f t="shared" si="7"/>
        <v>5</v>
      </c>
      <c r="L15" s="19" t="str">
        <f t="shared" si="8"/>
        <v>C36H68O5</v>
      </c>
      <c r="M15" s="19">
        <f t="shared" si="9"/>
        <v>580.5066478</v>
      </c>
      <c r="N15" s="19">
        <f t="shared" si="10"/>
        <v>581.51392240000007</v>
      </c>
      <c r="O15" s="42">
        <f t="shared" si="11"/>
        <v>563.50280240000006</v>
      </c>
      <c r="P15" s="19">
        <f t="shared" si="12"/>
        <v>598.54046779999999</v>
      </c>
      <c r="Q15" s="19">
        <f t="shared" si="13"/>
        <v>603.49586780000004</v>
      </c>
      <c r="R15" s="19">
        <f t="shared" si="14"/>
        <v>619.46980780000001</v>
      </c>
      <c r="S15" s="19">
        <f t="shared" si="15"/>
        <v>587.52210780000007</v>
      </c>
      <c r="T15" s="19">
        <f t="shared" si="16"/>
        <v>579.49937319999992</v>
      </c>
      <c r="U15" s="19">
        <f t="shared" si="17"/>
        <v>625.50486779999994</v>
      </c>
      <c r="V15" s="19">
        <f t="shared" si="18"/>
        <v>639.52051779999999</v>
      </c>
    </row>
    <row r="16" spans="1:25" x14ac:dyDescent="0.25">
      <c r="A16" s="17" t="s">
        <v>571</v>
      </c>
      <c r="B16" s="17" t="str">
        <f t="shared" si="2"/>
        <v>DG 33:0</v>
      </c>
      <c r="C16" s="17" t="str">
        <f t="shared" si="3"/>
        <v>33</v>
      </c>
      <c r="D16" s="17" t="str">
        <f t="shared" si="4"/>
        <v>0</v>
      </c>
      <c r="F16" s="17">
        <f t="shared" si="5"/>
        <v>36</v>
      </c>
      <c r="G16" s="17">
        <f t="shared" si="6"/>
        <v>70</v>
      </c>
      <c r="H16" s="17">
        <f t="shared" si="7"/>
        <v>5</v>
      </c>
      <c r="L16" s="19" t="str">
        <f t="shared" si="8"/>
        <v>C36H70O5</v>
      </c>
      <c r="M16" s="19">
        <f t="shared" si="9"/>
        <v>582.52229699999998</v>
      </c>
      <c r="N16" s="19">
        <f t="shared" si="10"/>
        <v>583.52957160000005</v>
      </c>
      <c r="O16" s="42">
        <f t="shared" si="11"/>
        <v>565.51845160000005</v>
      </c>
      <c r="P16" s="19">
        <f t="shared" si="12"/>
        <v>600.55611699999997</v>
      </c>
      <c r="Q16" s="19">
        <f t="shared" si="13"/>
        <v>605.51151700000003</v>
      </c>
      <c r="R16" s="19">
        <f t="shared" si="14"/>
        <v>621.485457</v>
      </c>
      <c r="S16" s="19">
        <f t="shared" si="15"/>
        <v>589.53775700000006</v>
      </c>
      <c r="T16" s="19">
        <f t="shared" si="16"/>
        <v>581.51502239999991</v>
      </c>
      <c r="U16" s="19">
        <f t="shared" si="17"/>
        <v>627.52051699999993</v>
      </c>
      <c r="V16" s="19">
        <f t="shared" si="18"/>
        <v>641.53616699999998</v>
      </c>
    </row>
    <row r="17" spans="1:25" x14ac:dyDescent="0.25">
      <c r="A17" s="17" t="s">
        <v>572</v>
      </c>
      <c r="B17" s="17" t="str">
        <f t="shared" si="2"/>
        <v>DG 34:2</v>
      </c>
      <c r="C17" s="17" t="str">
        <f t="shared" si="3"/>
        <v>34</v>
      </c>
      <c r="D17" s="17" t="str">
        <f t="shared" si="4"/>
        <v>2</v>
      </c>
      <c r="F17" s="17">
        <f t="shared" si="5"/>
        <v>37</v>
      </c>
      <c r="G17" s="17">
        <f t="shared" si="6"/>
        <v>68</v>
      </c>
      <c r="H17" s="17">
        <f t="shared" si="7"/>
        <v>5</v>
      </c>
      <c r="L17" s="19" t="str">
        <f t="shared" si="8"/>
        <v>C37H68O5</v>
      </c>
      <c r="M17" s="19">
        <f t="shared" si="9"/>
        <v>592.5066478</v>
      </c>
      <c r="N17" s="19">
        <f t="shared" si="10"/>
        <v>593.51392240000007</v>
      </c>
      <c r="O17" s="42">
        <f t="shared" si="11"/>
        <v>575.50280240000006</v>
      </c>
      <c r="P17" s="19">
        <f t="shared" si="12"/>
        <v>610.54046779999999</v>
      </c>
      <c r="Q17" s="19">
        <f t="shared" si="13"/>
        <v>615.49586780000004</v>
      </c>
      <c r="R17" s="19">
        <f t="shared" si="14"/>
        <v>631.46980780000001</v>
      </c>
      <c r="S17" s="19">
        <f t="shared" si="15"/>
        <v>599.52210780000007</v>
      </c>
      <c r="T17" s="19">
        <f t="shared" si="16"/>
        <v>591.49937319999992</v>
      </c>
      <c r="U17" s="19">
        <f t="shared" si="17"/>
        <v>637.50486779999994</v>
      </c>
      <c r="V17" s="19">
        <f t="shared" si="18"/>
        <v>651.52051779999999</v>
      </c>
    </row>
    <row r="18" spans="1:25" x14ac:dyDescent="0.25">
      <c r="A18" s="17" t="s">
        <v>573</v>
      </c>
      <c r="B18" s="17" t="str">
        <f t="shared" si="2"/>
        <v>DG 34:1</v>
      </c>
      <c r="C18" s="17" t="str">
        <f t="shared" si="3"/>
        <v>34</v>
      </c>
      <c r="D18" s="17" t="str">
        <f t="shared" si="4"/>
        <v>1</v>
      </c>
      <c r="F18" s="17">
        <f t="shared" si="5"/>
        <v>37</v>
      </c>
      <c r="G18" s="17">
        <f t="shared" si="6"/>
        <v>70</v>
      </c>
      <c r="H18" s="17">
        <f t="shared" si="7"/>
        <v>5</v>
      </c>
      <c r="L18" s="19" t="str">
        <f t="shared" si="8"/>
        <v>C37H70O5</v>
      </c>
      <c r="M18" s="19">
        <f t="shared" si="9"/>
        <v>594.52229699999998</v>
      </c>
      <c r="N18" s="19">
        <f t="shared" si="10"/>
        <v>595.52957160000005</v>
      </c>
      <c r="O18" s="42">
        <f t="shared" si="11"/>
        <v>577.51845160000005</v>
      </c>
      <c r="P18" s="19">
        <f t="shared" si="12"/>
        <v>612.55611699999997</v>
      </c>
      <c r="Q18" s="19">
        <f t="shared" si="13"/>
        <v>617.51151700000003</v>
      </c>
      <c r="R18" s="19">
        <f t="shared" si="14"/>
        <v>633.485457</v>
      </c>
      <c r="S18" s="19">
        <f t="shared" si="15"/>
        <v>601.53775700000006</v>
      </c>
      <c r="T18" s="19">
        <f t="shared" si="16"/>
        <v>593.51502239999991</v>
      </c>
      <c r="U18" s="19">
        <f t="shared" si="17"/>
        <v>639.52051699999993</v>
      </c>
      <c r="V18" s="19">
        <f t="shared" si="18"/>
        <v>653.53616699999998</v>
      </c>
    </row>
    <row r="19" spans="1:25" x14ac:dyDescent="0.25">
      <c r="A19" s="17" t="s">
        <v>77</v>
      </c>
      <c r="B19" s="17" t="str">
        <f t="shared" si="2"/>
        <v>DG 34:0</v>
      </c>
      <c r="C19" s="17" t="str">
        <f t="shared" si="3"/>
        <v>34</v>
      </c>
      <c r="D19" s="17" t="str">
        <f t="shared" si="4"/>
        <v>0</v>
      </c>
      <c r="F19" s="17">
        <f t="shared" si="5"/>
        <v>37</v>
      </c>
      <c r="G19" s="17">
        <f t="shared" si="6"/>
        <v>72</v>
      </c>
      <c r="H19" s="17">
        <f t="shared" si="7"/>
        <v>5</v>
      </c>
      <c r="L19" s="19" t="str">
        <f t="shared" si="8"/>
        <v>C37H72O5</v>
      </c>
      <c r="M19" s="19">
        <f t="shared" si="9"/>
        <v>596.53794619999996</v>
      </c>
      <c r="N19" s="19">
        <f t="shared" si="10"/>
        <v>597.54522080000004</v>
      </c>
      <c r="O19" s="42">
        <f t="shared" si="11"/>
        <v>579.53410080000003</v>
      </c>
      <c r="P19" s="19">
        <f t="shared" si="12"/>
        <v>614.57176619999996</v>
      </c>
      <c r="Q19" s="19">
        <f t="shared" si="13"/>
        <v>619.52716620000001</v>
      </c>
      <c r="R19" s="19">
        <f t="shared" si="14"/>
        <v>635.50110619999998</v>
      </c>
      <c r="S19" s="19">
        <f t="shared" si="15"/>
        <v>603.55340620000004</v>
      </c>
      <c r="T19" s="19">
        <f t="shared" si="16"/>
        <v>595.53067159999989</v>
      </c>
      <c r="U19" s="19">
        <f t="shared" si="17"/>
        <v>641.53616619999991</v>
      </c>
      <c r="V19" s="19">
        <f t="shared" si="18"/>
        <v>655.55181619999996</v>
      </c>
    </row>
    <row r="20" spans="1:25" x14ac:dyDescent="0.25">
      <c r="A20" s="17" t="s">
        <v>574</v>
      </c>
      <c r="B20" s="17" t="str">
        <f t="shared" si="2"/>
        <v>DG 35:2</v>
      </c>
      <c r="C20" s="17" t="str">
        <f t="shared" si="3"/>
        <v>35</v>
      </c>
      <c r="D20" s="17" t="str">
        <f t="shared" si="4"/>
        <v>2</v>
      </c>
      <c r="F20" s="17">
        <f t="shared" si="5"/>
        <v>38</v>
      </c>
      <c r="G20" s="17">
        <f t="shared" si="6"/>
        <v>70</v>
      </c>
      <c r="H20" s="17">
        <f t="shared" si="7"/>
        <v>5</v>
      </c>
      <c r="L20" s="19" t="str">
        <f t="shared" si="8"/>
        <v>C38H70O5</v>
      </c>
      <c r="M20" s="19">
        <f t="shared" si="9"/>
        <v>606.52229699999998</v>
      </c>
      <c r="N20" s="19">
        <f t="shared" si="10"/>
        <v>607.52957160000005</v>
      </c>
      <c r="O20" s="42">
        <f t="shared" si="11"/>
        <v>589.51845160000005</v>
      </c>
      <c r="P20" s="19">
        <f t="shared" si="12"/>
        <v>624.55611699999997</v>
      </c>
      <c r="Q20" s="19">
        <f t="shared" si="13"/>
        <v>629.51151700000003</v>
      </c>
      <c r="R20" s="19">
        <f t="shared" si="14"/>
        <v>645.485457</v>
      </c>
      <c r="S20" s="19">
        <f t="shared" si="15"/>
        <v>613.53775700000006</v>
      </c>
      <c r="T20" s="19">
        <f t="shared" si="16"/>
        <v>605.51502239999991</v>
      </c>
      <c r="U20" s="19">
        <f t="shared" si="17"/>
        <v>651.52051699999993</v>
      </c>
      <c r="V20" s="19">
        <f t="shared" si="18"/>
        <v>665.53616699999998</v>
      </c>
    </row>
    <row r="21" spans="1:25" x14ac:dyDescent="0.25">
      <c r="A21" s="17" t="s">
        <v>575</v>
      </c>
      <c r="B21" s="17" t="str">
        <f t="shared" si="2"/>
        <v>DG 35:1</v>
      </c>
      <c r="C21" s="17" t="str">
        <f t="shared" si="3"/>
        <v>35</v>
      </c>
      <c r="D21" s="17" t="str">
        <f t="shared" si="4"/>
        <v>1</v>
      </c>
      <c r="F21" s="17">
        <f t="shared" si="5"/>
        <v>38</v>
      </c>
      <c r="G21" s="17">
        <f t="shared" si="6"/>
        <v>72</v>
      </c>
      <c r="H21" s="17">
        <f t="shared" si="7"/>
        <v>5</v>
      </c>
      <c r="L21" s="19" t="str">
        <f t="shared" si="8"/>
        <v>C38H72O5</v>
      </c>
      <c r="M21" s="19">
        <f t="shared" si="9"/>
        <v>608.53794619999996</v>
      </c>
      <c r="N21" s="19">
        <f t="shared" si="10"/>
        <v>609.54522080000004</v>
      </c>
      <c r="O21" s="42">
        <f t="shared" si="11"/>
        <v>591.53410080000003</v>
      </c>
      <c r="P21" s="19">
        <f t="shared" si="12"/>
        <v>626.57176619999996</v>
      </c>
      <c r="Q21" s="19">
        <f t="shared" si="13"/>
        <v>631.52716620000001</v>
      </c>
      <c r="R21" s="19">
        <f t="shared" si="14"/>
        <v>647.50110619999998</v>
      </c>
      <c r="S21" s="19">
        <f t="shared" si="15"/>
        <v>615.55340620000004</v>
      </c>
      <c r="T21" s="19">
        <f t="shared" si="16"/>
        <v>607.53067159999989</v>
      </c>
      <c r="U21" s="19">
        <f t="shared" si="17"/>
        <v>653.53616619999991</v>
      </c>
      <c r="V21" s="19">
        <f t="shared" si="18"/>
        <v>667.55181619999996</v>
      </c>
    </row>
    <row r="22" spans="1:25" x14ac:dyDescent="0.25">
      <c r="A22" s="17" t="s">
        <v>576</v>
      </c>
      <c r="B22" s="17" t="str">
        <f t="shared" si="2"/>
        <v>DG 35:0</v>
      </c>
      <c r="C22" s="17" t="str">
        <f t="shared" si="3"/>
        <v>35</v>
      </c>
      <c r="D22" s="17" t="str">
        <f t="shared" si="4"/>
        <v>0</v>
      </c>
      <c r="F22" s="17">
        <f t="shared" si="5"/>
        <v>38</v>
      </c>
      <c r="G22" s="17">
        <f t="shared" si="6"/>
        <v>74</v>
      </c>
      <c r="H22" s="17">
        <f t="shared" si="7"/>
        <v>5</v>
      </c>
      <c r="L22" s="19" t="str">
        <f t="shared" si="8"/>
        <v>C38H74O5</v>
      </c>
      <c r="M22" s="19">
        <f t="shared" si="9"/>
        <v>610.55359539999995</v>
      </c>
      <c r="N22" s="19">
        <f t="shared" si="10"/>
        <v>611.56087000000002</v>
      </c>
      <c r="O22" s="42">
        <f t="shared" si="11"/>
        <v>593.54975000000002</v>
      </c>
      <c r="P22" s="19">
        <f t="shared" si="12"/>
        <v>628.58741539999994</v>
      </c>
      <c r="Q22" s="19">
        <f t="shared" si="13"/>
        <v>633.54281539999999</v>
      </c>
      <c r="R22" s="19">
        <f t="shared" si="14"/>
        <v>649.51675539999997</v>
      </c>
      <c r="S22" s="19">
        <f t="shared" si="15"/>
        <v>617.56905540000002</v>
      </c>
      <c r="T22" s="19">
        <f t="shared" si="16"/>
        <v>609.54632079999988</v>
      </c>
      <c r="U22" s="19">
        <f t="shared" si="17"/>
        <v>655.5518153999999</v>
      </c>
      <c r="V22" s="19">
        <f t="shared" si="18"/>
        <v>669.56746539999995</v>
      </c>
    </row>
    <row r="23" spans="1:25" x14ac:dyDescent="0.25">
      <c r="A23" s="17" t="s">
        <v>577</v>
      </c>
      <c r="B23" s="17" t="str">
        <f t="shared" si="2"/>
        <v>DG 36:2</v>
      </c>
      <c r="C23" s="17" t="str">
        <f t="shared" si="3"/>
        <v>36</v>
      </c>
      <c r="D23" s="17" t="str">
        <f t="shared" si="4"/>
        <v>2</v>
      </c>
      <c r="F23" s="17">
        <f t="shared" si="5"/>
        <v>39</v>
      </c>
      <c r="G23" s="17">
        <f t="shared" si="6"/>
        <v>72</v>
      </c>
      <c r="H23" s="17">
        <f t="shared" si="7"/>
        <v>5</v>
      </c>
      <c r="L23" s="19" t="str">
        <f t="shared" si="8"/>
        <v>C39H72O5</v>
      </c>
      <c r="M23" s="19">
        <f t="shared" si="9"/>
        <v>620.53794619999996</v>
      </c>
      <c r="N23" s="19">
        <f t="shared" si="10"/>
        <v>621.54522080000004</v>
      </c>
      <c r="O23" s="42">
        <f t="shared" si="11"/>
        <v>603.53410080000003</v>
      </c>
      <c r="P23" s="19">
        <f t="shared" si="12"/>
        <v>638.57176619999996</v>
      </c>
      <c r="Q23" s="19">
        <f t="shared" si="13"/>
        <v>643.52716620000001</v>
      </c>
      <c r="R23" s="19">
        <f t="shared" si="14"/>
        <v>659.50110619999998</v>
      </c>
      <c r="S23" s="19">
        <f t="shared" si="15"/>
        <v>627.55340620000004</v>
      </c>
      <c r="T23" s="19">
        <f t="shared" si="16"/>
        <v>619.53067159999989</v>
      </c>
      <c r="U23" s="19">
        <f t="shared" si="17"/>
        <v>665.53616619999991</v>
      </c>
      <c r="V23" s="19">
        <f t="shared" si="18"/>
        <v>679.55181619999996</v>
      </c>
    </row>
    <row r="24" spans="1:25" x14ac:dyDescent="0.25">
      <c r="A24" s="17" t="s">
        <v>578</v>
      </c>
      <c r="B24" s="17" t="str">
        <f t="shared" si="2"/>
        <v>DG 36:1</v>
      </c>
      <c r="C24" s="17" t="str">
        <f t="shared" si="3"/>
        <v>36</v>
      </c>
      <c r="D24" s="17" t="str">
        <f t="shared" si="4"/>
        <v>1</v>
      </c>
      <c r="F24" s="17">
        <f t="shared" si="5"/>
        <v>39</v>
      </c>
      <c r="G24" s="17">
        <f t="shared" si="6"/>
        <v>74</v>
      </c>
      <c r="H24" s="17">
        <f t="shared" si="7"/>
        <v>5</v>
      </c>
      <c r="L24" s="19" t="str">
        <f t="shared" si="8"/>
        <v>C39H74O5</v>
      </c>
      <c r="M24" s="19">
        <f t="shared" si="9"/>
        <v>622.55359539999995</v>
      </c>
      <c r="N24" s="19">
        <f t="shared" si="10"/>
        <v>623.56087000000002</v>
      </c>
      <c r="O24" s="42">
        <f t="shared" si="11"/>
        <v>605.54975000000002</v>
      </c>
      <c r="P24" s="19">
        <f t="shared" si="12"/>
        <v>640.58741539999994</v>
      </c>
      <c r="Q24" s="19">
        <f t="shared" si="13"/>
        <v>645.54281539999999</v>
      </c>
      <c r="R24" s="19">
        <f t="shared" si="14"/>
        <v>661.51675539999997</v>
      </c>
      <c r="S24" s="19">
        <f t="shared" si="15"/>
        <v>629.56905540000002</v>
      </c>
      <c r="T24" s="19">
        <f t="shared" si="16"/>
        <v>621.54632079999988</v>
      </c>
      <c r="U24" s="19">
        <f t="shared" si="17"/>
        <v>667.5518153999999</v>
      </c>
      <c r="V24" s="19">
        <f t="shared" si="18"/>
        <v>681.56746539999995</v>
      </c>
    </row>
    <row r="25" spans="1:25" x14ac:dyDescent="0.25">
      <c r="A25" s="17" t="s">
        <v>579</v>
      </c>
      <c r="B25" s="17" t="str">
        <f t="shared" si="2"/>
        <v>DG 36:0</v>
      </c>
      <c r="C25" s="17" t="str">
        <f t="shared" si="3"/>
        <v>36</v>
      </c>
      <c r="D25" s="17" t="str">
        <f t="shared" si="4"/>
        <v>0</v>
      </c>
      <c r="F25" s="17">
        <f t="shared" si="5"/>
        <v>39</v>
      </c>
      <c r="G25" s="17">
        <f t="shared" si="6"/>
        <v>76</v>
      </c>
      <c r="H25" s="17">
        <f t="shared" si="7"/>
        <v>5</v>
      </c>
      <c r="L25" s="19" t="str">
        <f t="shared" si="8"/>
        <v>C39H76O5</v>
      </c>
      <c r="M25" s="19">
        <f t="shared" si="9"/>
        <v>624.56924459999993</v>
      </c>
      <c r="N25" s="19">
        <f t="shared" si="10"/>
        <v>625.57651920000001</v>
      </c>
      <c r="O25" s="42">
        <f t="shared" si="11"/>
        <v>607.5653992</v>
      </c>
      <c r="P25" s="19">
        <f t="shared" si="12"/>
        <v>642.60306459999993</v>
      </c>
      <c r="Q25" s="19">
        <f t="shared" si="13"/>
        <v>647.55846459999998</v>
      </c>
      <c r="R25" s="19">
        <f t="shared" si="14"/>
        <v>663.53240459999995</v>
      </c>
      <c r="S25" s="19">
        <f t="shared" si="15"/>
        <v>631.58470460000001</v>
      </c>
      <c r="T25" s="19">
        <f t="shared" si="16"/>
        <v>623.56196999999986</v>
      </c>
      <c r="U25" s="19">
        <f t="shared" si="17"/>
        <v>669.56746459999988</v>
      </c>
      <c r="V25" s="19">
        <f t="shared" si="18"/>
        <v>683.58311459999993</v>
      </c>
    </row>
    <row r="26" spans="1:25" x14ac:dyDescent="0.25">
      <c r="D26"/>
      <c r="E26"/>
      <c r="F26"/>
      <c r="G26"/>
      <c r="H26"/>
      <c r="I26"/>
      <c r="J26"/>
      <c r="K26"/>
      <c r="L26"/>
      <c r="M26"/>
      <c r="N26"/>
      <c r="O26" s="47"/>
      <c r="P26"/>
      <c r="Q26"/>
      <c r="R26"/>
      <c r="S26"/>
      <c r="T26"/>
      <c r="U26"/>
      <c r="V26"/>
      <c r="W26"/>
      <c r="X26"/>
      <c r="Y26"/>
    </row>
    <row r="27" spans="1:25" x14ac:dyDescent="0.25">
      <c r="D27"/>
      <c r="E27"/>
      <c r="F27"/>
      <c r="G27"/>
      <c r="H27"/>
      <c r="I27"/>
      <c r="J27"/>
      <c r="K27"/>
      <c r="L27"/>
      <c r="M27"/>
      <c r="N27"/>
      <c r="O27" s="47"/>
      <c r="P27"/>
      <c r="Q27"/>
      <c r="R27"/>
      <c r="S27"/>
      <c r="T27"/>
      <c r="U27"/>
      <c r="V27"/>
      <c r="W27"/>
      <c r="X27"/>
      <c r="Y27"/>
    </row>
    <row r="30" spans="1:25" x14ac:dyDescent="0.25">
      <c r="D30"/>
      <c r="E30"/>
      <c r="F30"/>
      <c r="G30"/>
      <c r="H30"/>
      <c r="I30"/>
      <c r="J30"/>
      <c r="K30"/>
      <c r="L30"/>
      <c r="M30"/>
      <c r="N30"/>
      <c r="O30" s="47"/>
      <c r="P30"/>
      <c r="Q30"/>
      <c r="R30"/>
      <c r="S30"/>
      <c r="T30"/>
      <c r="U30"/>
      <c r="V30"/>
      <c r="W30"/>
      <c r="X30"/>
      <c r="Y30"/>
    </row>
    <row r="31" spans="1:25" x14ac:dyDescent="0.25">
      <c r="D31"/>
      <c r="E31"/>
      <c r="F31"/>
      <c r="G31"/>
      <c r="H31"/>
      <c r="I31"/>
      <c r="J31"/>
      <c r="K31"/>
      <c r="L31"/>
      <c r="M31"/>
      <c r="N31"/>
      <c r="O31" s="47"/>
      <c r="P31"/>
      <c r="Q31"/>
      <c r="R31"/>
      <c r="S31"/>
      <c r="T31"/>
      <c r="U31"/>
      <c r="V31"/>
      <c r="W31"/>
      <c r="X31"/>
      <c r="Y31"/>
    </row>
    <row r="32" spans="1:25" x14ac:dyDescent="0.25">
      <c r="D32"/>
      <c r="E32"/>
      <c r="F32"/>
      <c r="G32"/>
      <c r="H32"/>
      <c r="I32"/>
      <c r="J32"/>
      <c r="K32"/>
      <c r="L32"/>
      <c r="M32"/>
      <c r="N32"/>
      <c r="O32" s="47"/>
      <c r="P32"/>
      <c r="Q32"/>
      <c r="R32"/>
      <c r="S32"/>
      <c r="T32"/>
      <c r="U32"/>
      <c r="V32"/>
      <c r="W32"/>
      <c r="X32"/>
      <c r="Y32"/>
    </row>
    <row r="33" spans="4:25" x14ac:dyDescent="0.25">
      <c r="D33"/>
      <c r="E33"/>
      <c r="F33"/>
      <c r="G33"/>
      <c r="H33"/>
      <c r="I33"/>
      <c r="J33"/>
      <c r="K33"/>
      <c r="L33"/>
      <c r="M33"/>
      <c r="N33"/>
      <c r="O33" s="47"/>
      <c r="P33"/>
      <c r="Q33"/>
      <c r="R33"/>
      <c r="S33"/>
      <c r="T33"/>
      <c r="U33"/>
      <c r="V33"/>
      <c r="W33"/>
      <c r="X33"/>
      <c r="Y33"/>
    </row>
    <row r="34" spans="4:25" x14ac:dyDescent="0.25">
      <c r="D34"/>
      <c r="E34"/>
      <c r="F34"/>
      <c r="G34"/>
      <c r="H34"/>
      <c r="I34"/>
      <c r="J34"/>
      <c r="K34"/>
      <c r="L34"/>
      <c r="M34"/>
      <c r="N34"/>
      <c r="O34" s="47"/>
      <c r="P34"/>
      <c r="Q34"/>
      <c r="R34"/>
      <c r="S34"/>
      <c r="T34"/>
      <c r="U34"/>
      <c r="V34"/>
      <c r="W34"/>
      <c r="X34"/>
      <c r="Y34"/>
    </row>
    <row r="35" spans="4:25" x14ac:dyDescent="0.25">
      <c r="D35"/>
      <c r="E35"/>
      <c r="F35"/>
      <c r="G35"/>
      <c r="H35"/>
      <c r="I35"/>
      <c r="J35"/>
      <c r="K35"/>
      <c r="L35"/>
      <c r="M35"/>
      <c r="N35"/>
      <c r="O35" s="47"/>
      <c r="P35"/>
      <c r="Q35"/>
      <c r="R35"/>
      <c r="S35"/>
      <c r="T35"/>
      <c r="U35"/>
      <c r="V35"/>
      <c r="W35"/>
      <c r="X35"/>
      <c r="Y35"/>
    </row>
    <row r="36" spans="4:25" x14ac:dyDescent="0.25">
      <c r="D36"/>
      <c r="E36"/>
      <c r="F36"/>
      <c r="G36"/>
      <c r="H36"/>
      <c r="I36"/>
      <c r="J36"/>
      <c r="K36"/>
      <c r="L36"/>
      <c r="M36"/>
      <c r="N36"/>
      <c r="O36" s="47"/>
      <c r="P36"/>
      <c r="Q36"/>
      <c r="R36"/>
      <c r="S36"/>
      <c r="T36"/>
      <c r="U36"/>
      <c r="V36"/>
      <c r="W36"/>
      <c r="X36"/>
      <c r="Y36"/>
    </row>
    <row r="37" spans="4:25" x14ac:dyDescent="0.25">
      <c r="D37"/>
      <c r="E37"/>
      <c r="F37"/>
      <c r="G37"/>
      <c r="H37"/>
      <c r="I37"/>
      <c r="J37"/>
      <c r="K37"/>
      <c r="L37"/>
      <c r="M37"/>
      <c r="N37"/>
      <c r="O37" s="47"/>
      <c r="P37"/>
      <c r="Q37"/>
      <c r="R37"/>
      <c r="S37"/>
      <c r="T37"/>
      <c r="U37"/>
      <c r="V37"/>
      <c r="W37"/>
      <c r="X37"/>
      <c r="Y37"/>
    </row>
    <row r="38" spans="4:25" x14ac:dyDescent="0.25">
      <c r="D38"/>
      <c r="E38"/>
      <c r="F38"/>
      <c r="G38"/>
      <c r="H38"/>
      <c r="I38"/>
      <c r="J38"/>
      <c r="K38"/>
      <c r="L38"/>
      <c r="M38"/>
      <c r="N38"/>
      <c r="O38" s="47"/>
      <c r="P38"/>
      <c r="Q38"/>
      <c r="R38"/>
      <c r="S38"/>
      <c r="T38"/>
      <c r="U38"/>
      <c r="V38"/>
      <c r="W38"/>
      <c r="X38"/>
      <c r="Y38"/>
    </row>
    <row r="39" spans="4:25" x14ac:dyDescent="0.25">
      <c r="D39"/>
      <c r="E39"/>
      <c r="F39"/>
      <c r="G39"/>
      <c r="H39"/>
      <c r="I39"/>
      <c r="J39"/>
      <c r="K39"/>
      <c r="L39"/>
      <c r="M39"/>
      <c r="N39"/>
      <c r="O39" s="47"/>
      <c r="P39"/>
      <c r="Q39"/>
      <c r="R39"/>
      <c r="S39"/>
      <c r="T39"/>
      <c r="U39"/>
      <c r="V39"/>
      <c r="W39"/>
      <c r="X39"/>
      <c r="Y39"/>
    </row>
    <row r="40" spans="4:25" x14ac:dyDescent="0.25">
      <c r="D40"/>
      <c r="E40"/>
      <c r="F40"/>
      <c r="G40"/>
      <c r="H40"/>
      <c r="I40"/>
      <c r="J40"/>
      <c r="K40"/>
      <c r="L40"/>
      <c r="M40"/>
      <c r="N40"/>
      <c r="O40" s="47"/>
      <c r="P40"/>
      <c r="Q40"/>
      <c r="R40"/>
      <c r="S40"/>
      <c r="T40"/>
      <c r="U40"/>
      <c r="V40"/>
      <c r="W40"/>
      <c r="X40"/>
      <c r="Y40"/>
    </row>
    <row r="41" spans="4:25" x14ac:dyDescent="0.25">
      <c r="D41"/>
      <c r="E41"/>
      <c r="F41"/>
      <c r="G41"/>
      <c r="H41"/>
      <c r="I41"/>
      <c r="J41"/>
      <c r="K41"/>
      <c r="L41"/>
      <c r="M41"/>
      <c r="N41"/>
      <c r="O41" s="47"/>
      <c r="P41"/>
      <c r="Q41"/>
      <c r="R41"/>
      <c r="S41"/>
      <c r="T41"/>
      <c r="U41"/>
      <c r="V41"/>
      <c r="W41"/>
      <c r="X41"/>
      <c r="Y41"/>
    </row>
    <row r="42" spans="4:25" x14ac:dyDescent="0.25">
      <c r="D42"/>
      <c r="E42"/>
      <c r="F42"/>
      <c r="G42"/>
      <c r="H42"/>
      <c r="I42"/>
      <c r="J42"/>
      <c r="K42"/>
      <c r="L42"/>
      <c r="M42"/>
      <c r="N42"/>
      <c r="O42" s="47"/>
      <c r="P42"/>
      <c r="Q42"/>
      <c r="R42"/>
      <c r="S42"/>
      <c r="T42"/>
      <c r="U42"/>
      <c r="V42"/>
      <c r="W42"/>
      <c r="X42"/>
      <c r="Y42"/>
    </row>
    <row r="43" spans="4:25" x14ac:dyDescent="0.25">
      <c r="D43"/>
      <c r="E43"/>
      <c r="F43"/>
      <c r="G43"/>
      <c r="H43"/>
      <c r="I43"/>
      <c r="J43"/>
      <c r="K43"/>
      <c r="L43"/>
      <c r="M43"/>
      <c r="N43"/>
      <c r="O43" s="47"/>
      <c r="P43"/>
      <c r="Q43"/>
      <c r="R43"/>
      <c r="S43"/>
      <c r="T43"/>
      <c r="U43"/>
      <c r="V43"/>
      <c r="W43"/>
      <c r="X43"/>
      <c r="Y43"/>
    </row>
    <row r="44" spans="4:25" x14ac:dyDescent="0.25">
      <c r="D44"/>
      <c r="E44"/>
      <c r="F44"/>
      <c r="G44"/>
      <c r="H44"/>
      <c r="I44"/>
      <c r="J44"/>
      <c r="K44"/>
      <c r="L44"/>
      <c r="M44"/>
      <c r="N44"/>
      <c r="O44" s="47"/>
      <c r="P44"/>
      <c r="Q44"/>
      <c r="R44"/>
      <c r="S44"/>
      <c r="T44"/>
      <c r="U44"/>
      <c r="V44"/>
      <c r="W44"/>
      <c r="X44"/>
      <c r="Y44"/>
    </row>
    <row r="45" spans="4:25" x14ac:dyDescent="0.25">
      <c r="D45"/>
      <c r="E45"/>
      <c r="F45"/>
      <c r="G45"/>
      <c r="H45"/>
      <c r="I45"/>
      <c r="J45"/>
      <c r="K45"/>
      <c r="L45"/>
      <c r="M45"/>
      <c r="N45"/>
      <c r="O45" s="47"/>
      <c r="P45"/>
      <c r="Q45"/>
      <c r="R45"/>
      <c r="S45"/>
      <c r="T45"/>
      <c r="U45"/>
      <c r="V45"/>
      <c r="W45"/>
      <c r="X45"/>
      <c r="Y45"/>
    </row>
    <row r="46" spans="4:25" x14ac:dyDescent="0.25">
      <c r="D46"/>
      <c r="E46"/>
      <c r="F46"/>
      <c r="G46"/>
      <c r="H46"/>
      <c r="I46"/>
      <c r="J46"/>
      <c r="K46"/>
      <c r="L46"/>
      <c r="M46"/>
      <c r="N46"/>
      <c r="O46" s="47"/>
      <c r="P46"/>
      <c r="Q46"/>
      <c r="R46"/>
      <c r="S46"/>
      <c r="T46"/>
      <c r="U46"/>
      <c r="V46"/>
      <c r="W46"/>
      <c r="X46"/>
      <c r="Y46"/>
    </row>
    <row r="47" spans="4:25" x14ac:dyDescent="0.25">
      <c r="D47"/>
      <c r="E47"/>
      <c r="F47"/>
      <c r="G47"/>
      <c r="H47"/>
      <c r="I47"/>
      <c r="J47"/>
      <c r="K47"/>
      <c r="L47"/>
      <c r="M47"/>
      <c r="N47"/>
      <c r="O47" s="47"/>
      <c r="P47"/>
      <c r="Q47"/>
      <c r="R47"/>
      <c r="S47"/>
      <c r="T47"/>
      <c r="U47"/>
      <c r="V47"/>
      <c r="W47"/>
      <c r="X47"/>
      <c r="Y47"/>
    </row>
    <row r="48" spans="4:25" x14ac:dyDescent="0.25">
      <c r="D48"/>
      <c r="E48"/>
      <c r="F48"/>
      <c r="G48"/>
      <c r="H48"/>
      <c r="I48"/>
      <c r="J48"/>
      <c r="K48"/>
      <c r="L48"/>
      <c r="M48"/>
      <c r="N48"/>
      <c r="O48" s="47"/>
      <c r="P48"/>
      <c r="Q48"/>
      <c r="R48"/>
      <c r="S48"/>
      <c r="T48"/>
      <c r="U48"/>
      <c r="V48"/>
      <c r="W48"/>
      <c r="X48"/>
      <c r="Y48"/>
    </row>
    <row r="49" spans="4:25" x14ac:dyDescent="0.25">
      <c r="D49"/>
      <c r="E49"/>
      <c r="F49"/>
      <c r="G49"/>
      <c r="H49"/>
      <c r="I49"/>
      <c r="J49"/>
      <c r="K49"/>
      <c r="L49"/>
      <c r="M49"/>
      <c r="N49"/>
      <c r="O49" s="47"/>
      <c r="P49"/>
      <c r="Q49"/>
      <c r="R49"/>
      <c r="S49"/>
      <c r="T49"/>
      <c r="U49"/>
      <c r="V49"/>
      <c r="W49"/>
      <c r="X49"/>
      <c r="Y49"/>
    </row>
    <row r="50" spans="4:25" x14ac:dyDescent="0.25">
      <c r="D50"/>
      <c r="E50"/>
      <c r="F50"/>
      <c r="G50"/>
      <c r="H50"/>
      <c r="I50"/>
      <c r="J50"/>
      <c r="K50"/>
      <c r="L50"/>
      <c r="M50"/>
      <c r="N50"/>
      <c r="O50" s="47"/>
      <c r="P50"/>
      <c r="Q50"/>
      <c r="R50"/>
      <c r="S50"/>
      <c r="T50"/>
      <c r="U50"/>
      <c r="V50"/>
      <c r="W50"/>
      <c r="X50"/>
      <c r="Y50"/>
    </row>
    <row r="51" spans="4:25" x14ac:dyDescent="0.25">
      <c r="D51"/>
      <c r="E51"/>
      <c r="F51"/>
      <c r="G51"/>
      <c r="H51"/>
      <c r="I51"/>
      <c r="J51"/>
      <c r="K51"/>
      <c r="L51"/>
      <c r="M51"/>
      <c r="N51"/>
      <c r="O51" s="47"/>
      <c r="P51"/>
      <c r="Q51"/>
      <c r="R51"/>
      <c r="S51"/>
      <c r="T51"/>
      <c r="U51"/>
      <c r="V51"/>
      <c r="W51"/>
      <c r="X51"/>
      <c r="Y51"/>
    </row>
    <row r="52" spans="4:25" x14ac:dyDescent="0.25">
      <c r="D52"/>
      <c r="E52"/>
      <c r="F52"/>
      <c r="G52"/>
      <c r="H52"/>
      <c r="I52"/>
      <c r="J52"/>
      <c r="K52"/>
      <c r="L52"/>
      <c r="M52"/>
      <c r="N52"/>
      <c r="O52" s="47"/>
      <c r="P52"/>
      <c r="Q52"/>
      <c r="R52"/>
      <c r="S52"/>
      <c r="T52"/>
      <c r="U52"/>
      <c r="V52"/>
      <c r="W52"/>
      <c r="X52"/>
      <c r="Y52"/>
    </row>
    <row r="53" spans="4:25" x14ac:dyDescent="0.25">
      <c r="D53"/>
      <c r="E53"/>
      <c r="F53"/>
      <c r="G53"/>
      <c r="H53"/>
      <c r="I53"/>
      <c r="J53"/>
      <c r="K53"/>
      <c r="L53"/>
      <c r="M53"/>
      <c r="N53"/>
      <c r="O53" s="47"/>
      <c r="P53"/>
      <c r="Q53"/>
      <c r="R53"/>
      <c r="S53"/>
      <c r="T53"/>
      <c r="U53"/>
      <c r="V53"/>
      <c r="W53"/>
      <c r="X53"/>
      <c r="Y53"/>
    </row>
    <row r="54" spans="4:25" x14ac:dyDescent="0.25">
      <c r="D54"/>
      <c r="E54"/>
      <c r="F54"/>
      <c r="G54"/>
      <c r="H54"/>
      <c r="I54"/>
      <c r="J54"/>
      <c r="K54"/>
      <c r="L54"/>
      <c r="M54"/>
      <c r="N54"/>
      <c r="O54" s="47"/>
      <c r="P54"/>
      <c r="Q54"/>
      <c r="R54"/>
      <c r="S54"/>
      <c r="T54"/>
      <c r="U54"/>
      <c r="V54"/>
      <c r="W54"/>
      <c r="X54"/>
      <c r="Y54"/>
    </row>
    <row r="55" spans="4:25" x14ac:dyDescent="0.25">
      <c r="D55"/>
      <c r="E55"/>
      <c r="F55"/>
      <c r="G55"/>
      <c r="H55"/>
      <c r="I55"/>
      <c r="J55"/>
      <c r="K55"/>
      <c r="L55"/>
      <c r="M55"/>
      <c r="N55"/>
      <c r="O55" s="47"/>
      <c r="P55"/>
      <c r="Q55"/>
      <c r="R55"/>
      <c r="S55"/>
      <c r="T55"/>
      <c r="U55"/>
      <c r="V55"/>
      <c r="W55"/>
      <c r="X55"/>
      <c r="Y55"/>
    </row>
    <row r="56" spans="4:25" x14ac:dyDescent="0.25">
      <c r="D56"/>
      <c r="E56"/>
      <c r="F56"/>
      <c r="G56"/>
      <c r="H56"/>
      <c r="I56"/>
      <c r="J56"/>
      <c r="K56"/>
      <c r="L56"/>
      <c r="M56"/>
      <c r="N56"/>
      <c r="O56" s="47"/>
      <c r="P56"/>
      <c r="Q56"/>
      <c r="R56"/>
      <c r="S56"/>
      <c r="T56"/>
      <c r="U56"/>
      <c r="V56"/>
      <c r="W56"/>
      <c r="X56"/>
      <c r="Y56"/>
    </row>
    <row r="57" spans="4:25" x14ac:dyDescent="0.25">
      <c r="D57"/>
      <c r="E57"/>
      <c r="F57"/>
      <c r="G57"/>
      <c r="H57"/>
      <c r="I57"/>
      <c r="J57"/>
      <c r="K57"/>
      <c r="L57"/>
      <c r="M57"/>
      <c r="N57"/>
      <c r="O57" s="47"/>
      <c r="P57"/>
      <c r="Q57"/>
      <c r="R57"/>
      <c r="S57"/>
      <c r="T57"/>
      <c r="U57"/>
      <c r="V57"/>
      <c r="W57"/>
      <c r="X57"/>
      <c r="Y57"/>
    </row>
    <row r="58" spans="4:25" x14ac:dyDescent="0.25">
      <c r="D58"/>
      <c r="E58"/>
      <c r="F58"/>
      <c r="G58"/>
      <c r="H58"/>
      <c r="I58"/>
      <c r="J58"/>
      <c r="K58"/>
      <c r="L58"/>
      <c r="M58"/>
      <c r="N58"/>
      <c r="O58" s="47"/>
      <c r="P58"/>
      <c r="Q58"/>
      <c r="R58"/>
      <c r="S58"/>
      <c r="T58"/>
      <c r="U58"/>
      <c r="V58"/>
      <c r="W58"/>
      <c r="X58"/>
      <c r="Y58"/>
    </row>
    <row r="59" spans="4:25" x14ac:dyDescent="0.25">
      <c r="D59"/>
      <c r="E59"/>
      <c r="F59"/>
      <c r="G59"/>
      <c r="H59"/>
      <c r="I59"/>
      <c r="J59"/>
      <c r="K59"/>
      <c r="L59"/>
      <c r="M59"/>
      <c r="N59"/>
      <c r="O59" s="47"/>
      <c r="P59"/>
      <c r="Q59"/>
      <c r="R59"/>
      <c r="S59"/>
      <c r="T59"/>
      <c r="U59"/>
      <c r="V59"/>
      <c r="W59"/>
      <c r="X59"/>
      <c r="Y59"/>
    </row>
    <row r="60" spans="4:25" x14ac:dyDescent="0.25">
      <c r="D60"/>
      <c r="E60"/>
      <c r="F60"/>
      <c r="G60"/>
      <c r="H60"/>
      <c r="I60"/>
      <c r="J60"/>
      <c r="K60"/>
      <c r="L60"/>
      <c r="M60"/>
      <c r="N60"/>
      <c r="O60" s="47"/>
      <c r="P60"/>
      <c r="Q60"/>
      <c r="R60"/>
      <c r="S60"/>
      <c r="T60"/>
      <c r="U60"/>
      <c r="V60"/>
      <c r="W60"/>
      <c r="X60"/>
      <c r="Y60"/>
    </row>
    <row r="61" spans="4:25" x14ac:dyDescent="0.25">
      <c r="D61"/>
      <c r="E61"/>
      <c r="F61"/>
      <c r="G61"/>
      <c r="H61"/>
      <c r="I61"/>
      <c r="J61"/>
      <c r="K61"/>
      <c r="L61"/>
      <c r="M61"/>
      <c r="N61"/>
      <c r="O61" s="47"/>
      <c r="P61"/>
      <c r="Q61"/>
      <c r="R61"/>
      <c r="S61"/>
      <c r="T61"/>
      <c r="U61"/>
      <c r="V61"/>
      <c r="W61"/>
      <c r="X61"/>
      <c r="Y61"/>
    </row>
    <row r="62" spans="4:25" x14ac:dyDescent="0.25">
      <c r="D62"/>
      <c r="E62"/>
      <c r="F62"/>
      <c r="G62"/>
      <c r="H62"/>
      <c r="I62"/>
      <c r="J62"/>
      <c r="K62"/>
      <c r="L62"/>
      <c r="M62"/>
      <c r="N62"/>
      <c r="O62" s="47"/>
      <c r="P62"/>
      <c r="Q62"/>
      <c r="R62"/>
      <c r="S62"/>
      <c r="T62"/>
      <c r="U62"/>
      <c r="V62"/>
      <c r="W62"/>
      <c r="X62"/>
      <c r="Y62"/>
    </row>
    <row r="63" spans="4:25" x14ac:dyDescent="0.25">
      <c r="D63"/>
      <c r="E63"/>
      <c r="F63"/>
      <c r="G63"/>
      <c r="H63"/>
      <c r="I63"/>
      <c r="J63"/>
      <c r="K63"/>
      <c r="L63"/>
      <c r="M63"/>
      <c r="N63"/>
      <c r="O63" s="47"/>
      <c r="P63"/>
      <c r="Q63"/>
      <c r="R63"/>
      <c r="S63"/>
      <c r="T63"/>
      <c r="U63"/>
      <c r="V63"/>
      <c r="W63"/>
      <c r="X63"/>
      <c r="Y63"/>
    </row>
    <row r="64" spans="4:25" x14ac:dyDescent="0.25">
      <c r="D64"/>
      <c r="E64"/>
      <c r="F64"/>
      <c r="G64"/>
      <c r="H64"/>
      <c r="I64"/>
      <c r="J64"/>
      <c r="K64"/>
      <c r="L64"/>
      <c r="M64"/>
      <c r="N64"/>
      <c r="O64" s="47"/>
      <c r="P64"/>
      <c r="Q64"/>
      <c r="R64"/>
      <c r="S64"/>
      <c r="T64"/>
      <c r="U64"/>
      <c r="V64"/>
      <c r="W64"/>
      <c r="X64"/>
      <c r="Y64"/>
    </row>
    <row r="65" spans="4:25" x14ac:dyDescent="0.25">
      <c r="D65"/>
      <c r="E65"/>
      <c r="F65"/>
      <c r="G65"/>
      <c r="H65"/>
      <c r="I65"/>
      <c r="J65"/>
      <c r="K65"/>
      <c r="L65"/>
      <c r="M65"/>
      <c r="N65"/>
      <c r="O65" s="47"/>
      <c r="P65"/>
      <c r="Q65"/>
      <c r="R65"/>
      <c r="S65"/>
      <c r="T65"/>
      <c r="U65"/>
      <c r="V65"/>
      <c r="W65"/>
      <c r="X65"/>
      <c r="Y65"/>
    </row>
    <row r="66" spans="4:25" x14ac:dyDescent="0.25">
      <c r="D66"/>
      <c r="E66"/>
      <c r="F66"/>
      <c r="G66"/>
      <c r="H66"/>
      <c r="I66"/>
      <c r="J66"/>
      <c r="K66"/>
      <c r="L66"/>
      <c r="M66"/>
      <c r="N66"/>
      <c r="O66" s="47"/>
      <c r="P66"/>
      <c r="Q66"/>
      <c r="R66"/>
      <c r="S66"/>
      <c r="T66"/>
      <c r="U66"/>
      <c r="V66"/>
      <c r="W66"/>
      <c r="X66"/>
      <c r="Y66"/>
    </row>
    <row r="67" spans="4:25" x14ac:dyDescent="0.25">
      <c r="D67"/>
      <c r="E67"/>
      <c r="F67"/>
      <c r="G67"/>
      <c r="H67"/>
      <c r="I67"/>
      <c r="J67"/>
      <c r="K67"/>
      <c r="L67"/>
      <c r="M67"/>
      <c r="N67"/>
      <c r="O67" s="47"/>
      <c r="P67"/>
      <c r="Q67"/>
      <c r="R67"/>
      <c r="S67"/>
      <c r="T67"/>
      <c r="U67"/>
      <c r="V67"/>
      <c r="W67"/>
      <c r="X67"/>
      <c r="Y67"/>
    </row>
    <row r="68" spans="4:25" x14ac:dyDescent="0.25">
      <c r="D68"/>
      <c r="E68"/>
      <c r="F68"/>
      <c r="G68"/>
      <c r="H68"/>
      <c r="I68"/>
      <c r="J68"/>
      <c r="K68"/>
      <c r="L68"/>
      <c r="M68"/>
      <c r="N68"/>
      <c r="O68" s="47"/>
      <c r="P68"/>
      <c r="Q68"/>
      <c r="R68"/>
      <c r="S68"/>
      <c r="T68"/>
      <c r="U68"/>
      <c r="V68"/>
      <c r="W68"/>
      <c r="X68"/>
      <c r="Y68"/>
    </row>
    <row r="69" spans="4:25" x14ac:dyDescent="0.25">
      <c r="D69"/>
      <c r="E69"/>
      <c r="F69"/>
      <c r="G69"/>
      <c r="H69"/>
      <c r="I69"/>
      <c r="J69"/>
      <c r="K69"/>
      <c r="L69"/>
      <c r="M69"/>
      <c r="N69"/>
      <c r="O69" s="47"/>
      <c r="P69"/>
      <c r="Q69"/>
      <c r="R69"/>
      <c r="S69"/>
      <c r="T69"/>
      <c r="U69"/>
      <c r="V69"/>
      <c r="W69"/>
      <c r="X69"/>
      <c r="Y69"/>
    </row>
    <row r="70" spans="4:25" x14ac:dyDescent="0.25">
      <c r="D70"/>
      <c r="E70"/>
      <c r="F70"/>
      <c r="G70"/>
      <c r="H70"/>
      <c r="I70"/>
      <c r="J70"/>
      <c r="K70"/>
      <c r="L70"/>
      <c r="M70"/>
      <c r="N70"/>
      <c r="O70" s="47"/>
      <c r="P70"/>
      <c r="Q70"/>
      <c r="R70"/>
      <c r="S70"/>
      <c r="T70"/>
      <c r="U70"/>
      <c r="V70"/>
      <c r="W70"/>
      <c r="X70"/>
      <c r="Y70"/>
    </row>
    <row r="71" spans="4:25" x14ac:dyDescent="0.25">
      <c r="D71"/>
      <c r="E71"/>
      <c r="F71"/>
      <c r="G71"/>
      <c r="H71"/>
      <c r="I71"/>
      <c r="J71"/>
      <c r="K71"/>
      <c r="L71"/>
      <c r="M71"/>
      <c r="N71"/>
      <c r="O71" s="47"/>
      <c r="P71"/>
      <c r="Q71"/>
      <c r="R71"/>
      <c r="S71"/>
      <c r="T71"/>
      <c r="U71"/>
      <c r="V71"/>
      <c r="W71"/>
      <c r="X71"/>
      <c r="Y71"/>
    </row>
    <row r="72" spans="4:25" x14ac:dyDescent="0.25">
      <c r="D72"/>
      <c r="E72"/>
      <c r="F72"/>
      <c r="G72"/>
      <c r="H72"/>
      <c r="I72"/>
      <c r="J72"/>
      <c r="K72"/>
      <c r="L72"/>
      <c r="M72"/>
      <c r="N72"/>
      <c r="O72" s="47"/>
      <c r="P72"/>
      <c r="Q72"/>
      <c r="R72"/>
      <c r="S72"/>
      <c r="T72"/>
      <c r="U72"/>
      <c r="V72"/>
      <c r="W72"/>
      <c r="X72"/>
      <c r="Y72"/>
    </row>
    <row r="73" spans="4:25" x14ac:dyDescent="0.25">
      <c r="D73"/>
      <c r="E73"/>
      <c r="F73"/>
      <c r="G73"/>
      <c r="H73"/>
      <c r="I73"/>
      <c r="J73"/>
      <c r="K73"/>
      <c r="L73"/>
      <c r="M73"/>
      <c r="N73"/>
      <c r="O73" s="47"/>
      <c r="P73"/>
      <c r="Q73"/>
      <c r="R73"/>
      <c r="S73"/>
      <c r="T73"/>
      <c r="U73"/>
      <c r="V73"/>
      <c r="W73"/>
      <c r="X73"/>
      <c r="Y73"/>
    </row>
    <row r="74" spans="4:25" x14ac:dyDescent="0.25">
      <c r="D74"/>
      <c r="E74"/>
      <c r="F74"/>
      <c r="G74"/>
      <c r="H74"/>
      <c r="I74"/>
      <c r="J74"/>
      <c r="K74"/>
      <c r="L74"/>
      <c r="M74"/>
      <c r="N74"/>
      <c r="O74" s="47"/>
      <c r="P74"/>
      <c r="Q74"/>
      <c r="R74"/>
      <c r="S74"/>
      <c r="T74"/>
      <c r="U74"/>
      <c r="V74"/>
      <c r="W74"/>
      <c r="X74"/>
      <c r="Y74"/>
    </row>
    <row r="75" spans="4:25" x14ac:dyDescent="0.25">
      <c r="D75"/>
      <c r="E75"/>
      <c r="F75"/>
      <c r="G75"/>
      <c r="H75"/>
      <c r="I75"/>
      <c r="J75"/>
      <c r="K75"/>
      <c r="L75"/>
      <c r="M75"/>
      <c r="N75"/>
      <c r="O75" s="47"/>
      <c r="P75"/>
      <c r="Q75"/>
      <c r="R75"/>
      <c r="S75"/>
      <c r="T75"/>
      <c r="U75"/>
      <c r="V75"/>
      <c r="W75"/>
      <c r="X75"/>
      <c r="Y75"/>
    </row>
    <row r="76" spans="4:25" x14ac:dyDescent="0.25">
      <c r="D76"/>
      <c r="E76"/>
      <c r="F76"/>
      <c r="G76"/>
      <c r="H76"/>
      <c r="I76"/>
      <c r="J76"/>
      <c r="K76"/>
      <c r="L76"/>
      <c r="M76"/>
      <c r="N76"/>
      <c r="O76" s="47"/>
      <c r="P76"/>
      <c r="Q76"/>
      <c r="R76"/>
      <c r="S76"/>
      <c r="T76"/>
      <c r="U76"/>
      <c r="V76"/>
      <c r="W76"/>
      <c r="X76"/>
      <c r="Y76"/>
    </row>
    <row r="77" spans="4:25" x14ac:dyDescent="0.25">
      <c r="D77"/>
      <c r="E77"/>
      <c r="F77"/>
      <c r="G77"/>
      <c r="H77"/>
      <c r="I77"/>
      <c r="J77"/>
      <c r="K77"/>
      <c r="L77"/>
      <c r="M77"/>
      <c r="N77"/>
      <c r="O77" s="47"/>
      <c r="P77"/>
      <c r="Q77"/>
      <c r="R77"/>
      <c r="S77"/>
      <c r="T77"/>
      <c r="U77"/>
      <c r="V77"/>
      <c r="W77"/>
      <c r="X77"/>
      <c r="Y77"/>
    </row>
    <row r="78" spans="4:25" x14ac:dyDescent="0.25">
      <c r="D78"/>
      <c r="E78"/>
      <c r="F78"/>
      <c r="G78"/>
      <c r="H78"/>
      <c r="I78"/>
      <c r="J78"/>
      <c r="K78"/>
      <c r="L78"/>
      <c r="M78"/>
      <c r="N78"/>
      <c r="O78" s="47"/>
      <c r="P78"/>
      <c r="Q78"/>
      <c r="R78"/>
      <c r="S78"/>
      <c r="T78"/>
      <c r="U78"/>
      <c r="V78"/>
      <c r="W78"/>
      <c r="X78"/>
      <c r="Y78"/>
    </row>
    <row r="79" spans="4:25" x14ac:dyDescent="0.25">
      <c r="D79"/>
      <c r="E79"/>
      <c r="F79"/>
      <c r="G79"/>
      <c r="H79"/>
      <c r="I79"/>
      <c r="J79"/>
      <c r="K79"/>
      <c r="L79"/>
      <c r="M79"/>
      <c r="N79"/>
      <c r="O79" s="47"/>
      <c r="P79"/>
      <c r="Q79"/>
      <c r="R79"/>
      <c r="S79"/>
      <c r="T79"/>
      <c r="U79"/>
      <c r="V79"/>
      <c r="W79"/>
      <c r="X79"/>
      <c r="Y7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W14"/>
  <sheetViews>
    <sheetView showGridLines="0" zoomScaleNormal="100" workbookViewId="0">
      <pane xSplit="11" ySplit="2" topLeftCell="L3" activePane="bottomRight" state="frozen"/>
      <selection pane="topRight"/>
      <selection pane="bottomLeft"/>
      <selection pane="bottomRight" activeCell="L4" sqref="L4"/>
    </sheetView>
  </sheetViews>
  <sheetFormatPr defaultColWidth="9.140625" defaultRowHeight="15.75" x14ac:dyDescent="0.25"/>
  <cols>
    <col min="1" max="1" width="20.42578125" style="17" customWidth="1"/>
    <col min="2" max="2" width="21.5703125" style="17" hidden="1" customWidth="1"/>
    <col min="3" max="3" width="3.85546875" style="17" hidden="1" customWidth="1"/>
    <col min="4" max="4" width="3.140625" style="17" hidden="1" customWidth="1"/>
    <col min="5" max="5" width="1.85546875" style="17" hidden="1" customWidth="1"/>
    <col min="6" max="6" width="9.140625" style="17" hidden="1" customWidth="1"/>
    <col min="7" max="8" width="10.85546875" style="17" hidden="1" customWidth="1"/>
    <col min="9" max="10" width="9.5703125" style="17" hidden="1" customWidth="1"/>
    <col min="11" max="11" width="9.140625" style="17" hidden="1" customWidth="1"/>
    <col min="12" max="12" width="15.7109375" style="19" bestFit="1" customWidth="1"/>
    <col min="13" max="13" width="15.85546875" style="19" bestFit="1" customWidth="1"/>
    <col min="14" max="14" width="12.140625" style="19" bestFit="1" customWidth="1"/>
    <col min="15" max="15" width="14.5703125" style="19" bestFit="1" customWidth="1"/>
    <col min="16" max="20" width="12.140625" style="19" bestFit="1" customWidth="1"/>
    <col min="21" max="21" width="13.5703125" style="19" bestFit="1" customWidth="1"/>
    <col min="22" max="22" width="16.5703125" style="19" bestFit="1" customWidth="1"/>
    <col min="23" max="23" width="16.140625" style="17" bestFit="1" customWidth="1"/>
  </cols>
  <sheetData>
    <row r="1" spans="1:23" s="28" customFormat="1" x14ac:dyDescent="0.25">
      <c r="A1" s="27" t="s">
        <v>59</v>
      </c>
      <c r="B1" s="27" t="s">
        <v>5</v>
      </c>
      <c r="C1" s="27"/>
      <c r="D1" s="27"/>
      <c r="E1" s="27"/>
      <c r="F1" s="27"/>
      <c r="G1" s="27" t="s">
        <v>0</v>
      </c>
      <c r="H1" s="27" t="s">
        <v>1</v>
      </c>
      <c r="I1" s="27" t="s">
        <v>2</v>
      </c>
      <c r="J1" s="27" t="s">
        <v>9</v>
      </c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  <c r="W1" s="27"/>
    </row>
    <row r="2" spans="1:23" hidden="1" x14ac:dyDescent="0.25">
      <c r="A2" s="17" t="s">
        <v>78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LPA 16:0</v>
      </c>
      <c r="C2" s="1" t="str">
        <f>MID(B2,5,FIND(":",B2)-FIND(" ",B2)-1)</f>
        <v>16</v>
      </c>
      <c r="D2" s="1" t="str">
        <f>IF(ISNUMBER(SEARCH("__",B2)),MID(B2,FIND(":",B2)+1,FIND("__",B2)-FIND(":",B2)-1),MID(B2,FIND(":",B2)+1,7))</f>
        <v>0</v>
      </c>
      <c r="G2" s="17">
        <f>C2+3</f>
        <v>19</v>
      </c>
      <c r="H2" s="17">
        <f>2*G2-(2*D2)+1-((LEN(A2)-LEN(SUBSTITUTE(A2,"_O_","")))/LEN("_O_"))*2-((LEN(A2)-LEN(SUBSTITUTE(A2,"_CHO_","")))/LEN("_CHO_"))*2-((LEN(A2)-LEN(SUBSTITUTE(A2,"_COOH_","")))/LEN("_COOH_"))*2</f>
        <v>39</v>
      </c>
      <c r="I2" s="17">
        <f>7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7</v>
      </c>
      <c r="J2" s="17">
        <v>1</v>
      </c>
      <c r="L2" s="19" t="str">
        <f>CONCATENATE("C",G2,"H",H2,"O",I2,"P",J2)</f>
        <v>C19H39O7P1</v>
      </c>
      <c r="M2" s="19">
        <f t="shared" ref="M2" si="0">(G2*12)+(H2*1.0078246)+(I2*15.994915)+(J2*30.973763)</f>
        <v>410.2433274</v>
      </c>
      <c r="N2" s="19">
        <f>M2+1.0078246-0.00055</f>
        <v>411.25060200000001</v>
      </c>
      <c r="O2" s="19">
        <f>N2-18.01057-0.00055</f>
        <v>393.23948200000007</v>
      </c>
      <c r="P2" s="19">
        <f>M2+18.03437-0.00055</f>
        <v>428.27714740000005</v>
      </c>
      <c r="Q2" s="19">
        <f>M2+22.98977-0.00055</f>
        <v>433.23254740000004</v>
      </c>
      <c r="R2" s="19">
        <f>M2+38.96371-0.00055</f>
        <v>449.20648740000001</v>
      </c>
      <c r="S2" s="19">
        <f>M2+7.01601-0.00055</f>
        <v>417.25878740000002</v>
      </c>
      <c r="T2" s="19">
        <f>M2-1.0078246+0.00055</f>
        <v>409.23605279999998</v>
      </c>
      <c r="U2" s="19">
        <f>M2+44.99767+0.00055</f>
        <v>455.24154739999994</v>
      </c>
      <c r="V2" s="19">
        <f>M2+59.01332+0.00055</f>
        <v>469.2571974</v>
      </c>
    </row>
    <row r="3" spans="1:23" x14ac:dyDescent="0.25">
      <c r="A3" s="17" t="s">
        <v>79</v>
      </c>
      <c r="B3" s="17" t="str">
        <f>IF(ISNUMBER(SEARCH("(",A3)),IF(ISNUMBER(SEARCH("/",A3)),CONCATENATE(MID(A3,1,2),"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3,1,2)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 xml:space="preserve">LPA 18:0 </v>
      </c>
      <c r="C3" s="1" t="str">
        <f>MID(B3,5,FIND(":",B3)-FIND(" ",B3)-1)</f>
        <v>18</v>
      </c>
      <c r="D3" s="1" t="str">
        <f>IF(ISNUMBER(SEARCH("__",B3)),MID(B3,FIND(":",B3)+1,FIND("__",B3)-FIND(":",B3)-1),MID(B3,FIND(":",B3)+1,7))</f>
        <v xml:space="preserve">0 </v>
      </c>
      <c r="G3" s="17">
        <f>C3+3</f>
        <v>21</v>
      </c>
      <c r="H3" s="17">
        <f>2*G3-(2*D3)+1-((LEN(A3)-LEN(SUBSTITUTE(A3,"_O_","")))/LEN("_O_"))*2-((LEN(A3)-LEN(SUBSTITUTE(A3,"_CHO_","")))/LEN("_CHO_"))*2-((LEN(A3)-LEN(SUBSTITUTE(A3,"_COOH_","")))/LEN("_COOH_"))*2</f>
        <v>43</v>
      </c>
      <c r="I3" s="17">
        <f>7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7</v>
      </c>
      <c r="J3" s="17">
        <v>1</v>
      </c>
      <c r="L3" s="19" t="str">
        <f>CONCATENATE("C",G3,"H",H3,"O",I3,"P",J3)</f>
        <v>C21H43O7P1</v>
      </c>
      <c r="M3" s="19">
        <f t="shared" ref="M3" si="1">(G3*12)+(H3*1.0078246)+(I3*15.994915)+(J3*30.973763)</f>
        <v>438.27462580000002</v>
      </c>
      <c r="N3" s="19">
        <f>M3+1.0078246-0.00055</f>
        <v>439.28190040000004</v>
      </c>
      <c r="O3" s="19">
        <f>N3-18.01057-0.00055</f>
        <v>421.27078040000004</v>
      </c>
      <c r="P3" s="19">
        <f>M3+18.03437-0.00055</f>
        <v>456.30844580000007</v>
      </c>
      <c r="Q3" s="19">
        <f>M3+22.98977-0.00055</f>
        <v>461.26384580000007</v>
      </c>
      <c r="R3" s="19">
        <f>M3+38.96371-0.00055</f>
        <v>477.23778580000004</v>
      </c>
      <c r="S3" s="19">
        <f>M3+7.01601-0.00055</f>
        <v>445.29008580000004</v>
      </c>
      <c r="T3" s="19">
        <f>M3-1.0078246+0.00055</f>
        <v>437.26735120000001</v>
      </c>
      <c r="U3" s="19">
        <f>M3+44.99767+0.00055</f>
        <v>483.27284580000003</v>
      </c>
      <c r="V3" s="19">
        <f>M3+59.01332+0.00055</f>
        <v>497.28849580000002</v>
      </c>
    </row>
    <row r="5" spans="1:23" x14ac:dyDescent="0.25">
      <c r="A5" s="17" t="s">
        <v>402</v>
      </c>
      <c r="B5" s="17" t="str">
        <f t="shared" ref="B5:B14" si="2">IF(ISNUMBER(SEARCH("(",A5)),IF(ISNUMBER(SEARCH("/",A5)),CONCATENATE(MID(A5,1,2)," ",(SUM(MID(A5,FIND("(",A5)+1,FIND(":",A5)-FIND("(",A5)-1),MID(A5,FIND("/",A5)+1,FIND(":",A5,FIND("/",A5))-FIND("/",A5)-1))),":",SUM(MID(A5,FIND(":",A5)+1,FIND("/",A5)-FIND(":",A5)-1),MID(A5,FIND(":",A5,FIND("/",A5))+1,FIND(")",A5)-FIND(":",A5,FIND("/",A5))-1)),MID(A5,(FIND(")",A5)+1),100)),CONCATENATE(MID(A5,1,2)," ",(SUM(MID(A5,FIND("(",A5)+1,FIND(":",A5)-FIND("(",A5)-1),MID(A5,FIND("_",A5)+1,FIND(":",A5,FIND("_",A5))-FIND("_",A5)-1))),":",SUM(MID(A5,FIND(":",A5)+1,FIND("_",A5)-FIND(":",A5)-1),MID(A5,FIND(":",A5,FIND("_",A5))+1,FIND(")",A5)-FIND(":",A5,FIND("_",A5))-1)),MID(A5,(FIND(")",A5)+1),100))),A5)</f>
        <v>LPA 12:0</v>
      </c>
      <c r="C5" s="1" t="str">
        <f t="shared" ref="C5:C14" si="3">MID(B5,5,FIND(":",B5)-FIND(" ",B5)-1)</f>
        <v>12</v>
      </c>
      <c r="D5" s="1" t="str">
        <f t="shared" ref="D5:D14" si="4">IF(ISNUMBER(SEARCH("__",B5)),MID(B5,FIND(":",B5)+1,FIND("__",B5)-FIND(":",B5)-1),MID(B5,FIND(":",B5)+1,7))</f>
        <v>0</v>
      </c>
      <c r="G5" s="17">
        <f t="shared" ref="G5:G14" si="5">C5+3</f>
        <v>15</v>
      </c>
      <c r="H5" s="17">
        <f t="shared" ref="H5:H14" si="6">2*G5-(2*D5)+1-((LEN(A5)-LEN(SUBSTITUTE(A5,"_O_","")))/LEN("_O_"))*2-((LEN(A5)-LEN(SUBSTITUTE(A5,"_CHO_","")))/LEN("_CHO_"))*2-((LEN(A5)-LEN(SUBSTITUTE(A5,"_COOH_","")))/LEN("_COOH_"))*2</f>
        <v>31</v>
      </c>
      <c r="I5" s="17">
        <f t="shared" ref="I5:I14" si="7">7+((LEN(A5)-LEN(SUBSTITUTE(A5,"_OH_","")))/LEN("_OH_"))*1+((LEN(A5)-LEN(SUBSTITUTE(A5,"_OOH_","")))/LEN("_OOH_"))*2+((LEN(A5)-LEN(SUBSTITUTE(A5,"_O_","")))/LEN("_O_"))*1+((LEN(A5)-LEN(SUBSTITUTE(A5,"_CHO_","")))/LEN("_CHO_"))*1+((LEN(A5)-LEN(SUBSTITUTE(A5,"_COOH_","")))/LEN("_COOH_"))*2</f>
        <v>7</v>
      </c>
      <c r="J5" s="17">
        <v>1</v>
      </c>
      <c r="L5" s="19" t="str">
        <f t="shared" ref="L5:L14" si="8">CONCATENATE("C",G5,"H",H5,"O",I5,"P",J5)</f>
        <v>C15H31O7P1</v>
      </c>
      <c r="M5" s="19">
        <f t="shared" ref="M5:M14" si="9">(G5*12)+(H5*1.0078246)+(I5*15.994915)+(J5*30.973763)</f>
        <v>354.1807306</v>
      </c>
      <c r="N5" s="19">
        <f t="shared" ref="N5:N14" si="10">M5+1.0078246-0.00055</f>
        <v>355.18800520000002</v>
      </c>
      <c r="O5" s="19">
        <f t="shared" ref="O5:O14" si="11">N5-18.01057-0.00055</f>
        <v>337.17688520000002</v>
      </c>
      <c r="P5" s="19">
        <f t="shared" ref="P5:P14" si="12">M5+18.03437-0.00055</f>
        <v>372.21455060000005</v>
      </c>
      <c r="Q5" s="19">
        <f t="shared" ref="Q5:Q14" si="13">M5+22.98977-0.00055</f>
        <v>377.16995060000005</v>
      </c>
      <c r="R5" s="19">
        <f t="shared" ref="R5:R14" si="14">M5+38.96371-0.00055</f>
        <v>393.14389060000002</v>
      </c>
      <c r="S5" s="19">
        <f t="shared" ref="S5:S14" si="15">M5+7.01601-0.00055</f>
        <v>361.19619060000002</v>
      </c>
      <c r="T5" s="19">
        <f t="shared" ref="T5:T14" si="16">M5-1.0078246+0.00055</f>
        <v>353.17345599999999</v>
      </c>
      <c r="U5" s="19">
        <f t="shared" ref="U5:U14" si="17">M5+44.99767+0.00055</f>
        <v>399.17895060000001</v>
      </c>
      <c r="V5" s="19">
        <f t="shared" ref="V5:V14" si="18">M5+59.01332+0.00055</f>
        <v>413.1946006</v>
      </c>
    </row>
    <row r="6" spans="1:23" x14ac:dyDescent="0.25">
      <c r="A6" s="17" t="s">
        <v>403</v>
      </c>
      <c r="B6" s="17" t="str">
        <f t="shared" si="2"/>
        <v>LPA 13:0</v>
      </c>
      <c r="C6" s="1" t="str">
        <f t="shared" si="3"/>
        <v>13</v>
      </c>
      <c r="D6" s="1" t="str">
        <f t="shared" si="4"/>
        <v>0</v>
      </c>
      <c r="G6" s="17">
        <f t="shared" si="5"/>
        <v>16</v>
      </c>
      <c r="H6" s="17">
        <f t="shared" si="6"/>
        <v>33</v>
      </c>
      <c r="I6" s="17">
        <f t="shared" si="7"/>
        <v>7</v>
      </c>
      <c r="J6" s="17">
        <v>1</v>
      </c>
      <c r="L6" s="19" t="str">
        <f t="shared" si="8"/>
        <v>C16H33O7P1</v>
      </c>
      <c r="M6" s="19">
        <f t="shared" si="9"/>
        <v>368.19637979999999</v>
      </c>
      <c r="N6" s="19">
        <f t="shared" si="10"/>
        <v>369.2036544</v>
      </c>
      <c r="O6" s="19">
        <f t="shared" si="11"/>
        <v>351.1925344</v>
      </c>
      <c r="P6" s="19">
        <f t="shared" si="12"/>
        <v>386.23019980000004</v>
      </c>
      <c r="Q6" s="19">
        <f t="shared" si="13"/>
        <v>391.18559980000003</v>
      </c>
      <c r="R6" s="19">
        <f t="shared" si="14"/>
        <v>407.1595398</v>
      </c>
      <c r="S6" s="19">
        <f t="shared" si="15"/>
        <v>375.21183980000001</v>
      </c>
      <c r="T6" s="19">
        <f t="shared" si="16"/>
        <v>367.18910519999997</v>
      </c>
      <c r="U6" s="19">
        <f t="shared" si="17"/>
        <v>413.19459979999999</v>
      </c>
      <c r="V6" s="19">
        <f t="shared" si="18"/>
        <v>427.21024979999999</v>
      </c>
    </row>
    <row r="7" spans="1:23" x14ac:dyDescent="0.25">
      <c r="A7" s="17" t="s">
        <v>404</v>
      </c>
      <c r="B7" s="17" t="str">
        <f t="shared" si="2"/>
        <v>LPA 14:0</v>
      </c>
      <c r="C7" s="1" t="str">
        <f t="shared" si="3"/>
        <v>14</v>
      </c>
      <c r="D7" s="1" t="str">
        <f t="shared" si="4"/>
        <v>0</v>
      </c>
      <c r="G7" s="17">
        <f t="shared" si="5"/>
        <v>17</v>
      </c>
      <c r="H7" s="17">
        <f t="shared" si="6"/>
        <v>35</v>
      </c>
      <c r="I7" s="17">
        <f t="shared" si="7"/>
        <v>7</v>
      </c>
      <c r="J7" s="17">
        <v>1</v>
      </c>
      <c r="L7" s="19" t="str">
        <f t="shared" si="8"/>
        <v>C17H35O7P1</v>
      </c>
      <c r="M7" s="19">
        <f t="shared" si="9"/>
        <v>382.21202900000003</v>
      </c>
      <c r="N7" s="19">
        <f t="shared" si="10"/>
        <v>383.21930360000005</v>
      </c>
      <c r="O7" s="19">
        <f t="shared" si="11"/>
        <v>365.2081836000001</v>
      </c>
      <c r="P7" s="19">
        <f t="shared" si="12"/>
        <v>400.24584900000008</v>
      </c>
      <c r="Q7" s="19">
        <f t="shared" si="13"/>
        <v>405.20124900000008</v>
      </c>
      <c r="R7" s="19">
        <f t="shared" si="14"/>
        <v>421.17518900000005</v>
      </c>
      <c r="S7" s="19">
        <f t="shared" si="15"/>
        <v>389.22748900000005</v>
      </c>
      <c r="T7" s="19">
        <f t="shared" si="16"/>
        <v>381.20475440000001</v>
      </c>
      <c r="U7" s="19">
        <f t="shared" si="17"/>
        <v>427.21024899999998</v>
      </c>
      <c r="V7" s="19">
        <f t="shared" si="18"/>
        <v>441.22589900000003</v>
      </c>
    </row>
    <row r="8" spans="1:23" x14ac:dyDescent="0.25">
      <c r="A8" s="17" t="s">
        <v>405</v>
      </c>
      <c r="B8" s="17" t="str">
        <f t="shared" si="2"/>
        <v>LPA 15:0</v>
      </c>
      <c r="C8" s="1" t="str">
        <f t="shared" si="3"/>
        <v>15</v>
      </c>
      <c r="D8" s="1" t="str">
        <f t="shared" si="4"/>
        <v>0</v>
      </c>
      <c r="G8" s="17">
        <f t="shared" si="5"/>
        <v>18</v>
      </c>
      <c r="H8" s="17">
        <f t="shared" si="6"/>
        <v>37</v>
      </c>
      <c r="I8" s="17">
        <f t="shared" si="7"/>
        <v>7</v>
      </c>
      <c r="J8" s="17">
        <v>1</v>
      </c>
      <c r="L8" s="19" t="str">
        <f t="shared" si="8"/>
        <v>C18H37O7P1</v>
      </c>
      <c r="M8" s="19">
        <f t="shared" si="9"/>
        <v>396.22767820000001</v>
      </c>
      <c r="N8" s="19">
        <f t="shared" si="10"/>
        <v>397.23495280000003</v>
      </c>
      <c r="O8" s="19">
        <f t="shared" si="11"/>
        <v>379.22383280000008</v>
      </c>
      <c r="P8" s="19">
        <f t="shared" si="12"/>
        <v>414.26149820000006</v>
      </c>
      <c r="Q8" s="19">
        <f t="shared" si="13"/>
        <v>419.21689820000006</v>
      </c>
      <c r="R8" s="19">
        <f t="shared" si="14"/>
        <v>435.19083820000003</v>
      </c>
      <c r="S8" s="19">
        <f t="shared" si="15"/>
        <v>403.24313820000003</v>
      </c>
      <c r="T8" s="19">
        <f t="shared" si="16"/>
        <v>395.2204036</v>
      </c>
      <c r="U8" s="19">
        <f t="shared" si="17"/>
        <v>441.22589819999996</v>
      </c>
      <c r="V8" s="19">
        <f t="shared" si="18"/>
        <v>455.24154820000001</v>
      </c>
    </row>
    <row r="9" spans="1:23" x14ac:dyDescent="0.25">
      <c r="A9" s="17" t="s">
        <v>78</v>
      </c>
      <c r="B9" s="17" t="str">
        <f t="shared" si="2"/>
        <v>LPA 16:0</v>
      </c>
      <c r="C9" s="1" t="str">
        <f t="shared" si="3"/>
        <v>16</v>
      </c>
      <c r="D9" s="1" t="str">
        <f t="shared" si="4"/>
        <v>0</v>
      </c>
      <c r="G9" s="17">
        <f t="shared" si="5"/>
        <v>19</v>
      </c>
      <c r="H9" s="17">
        <f t="shared" si="6"/>
        <v>39</v>
      </c>
      <c r="I9" s="17">
        <f t="shared" si="7"/>
        <v>7</v>
      </c>
      <c r="J9" s="17">
        <v>1</v>
      </c>
      <c r="L9" s="19" t="str">
        <f t="shared" si="8"/>
        <v>C19H39O7P1</v>
      </c>
      <c r="M9" s="19">
        <f t="shared" si="9"/>
        <v>410.2433274</v>
      </c>
      <c r="N9" s="19">
        <f t="shared" si="10"/>
        <v>411.25060200000001</v>
      </c>
      <c r="O9" s="19">
        <f t="shared" si="11"/>
        <v>393.23948200000007</v>
      </c>
      <c r="P9" s="19">
        <f t="shared" si="12"/>
        <v>428.27714740000005</v>
      </c>
      <c r="Q9" s="19">
        <f t="shared" si="13"/>
        <v>433.23254740000004</v>
      </c>
      <c r="R9" s="19">
        <f t="shared" si="14"/>
        <v>449.20648740000001</v>
      </c>
      <c r="S9" s="19">
        <f t="shared" si="15"/>
        <v>417.25878740000002</v>
      </c>
      <c r="T9" s="19">
        <f t="shared" si="16"/>
        <v>409.23605279999998</v>
      </c>
      <c r="U9" s="19">
        <f t="shared" si="17"/>
        <v>455.24154739999994</v>
      </c>
      <c r="V9" s="19">
        <f t="shared" si="18"/>
        <v>469.2571974</v>
      </c>
    </row>
    <row r="10" spans="1:23" x14ac:dyDescent="0.25">
      <c r="A10" s="17" t="s">
        <v>410</v>
      </c>
      <c r="B10" s="17" t="str">
        <f t="shared" si="2"/>
        <v>LPA 17:1</v>
      </c>
      <c r="C10" s="1" t="str">
        <f t="shared" si="3"/>
        <v>17</v>
      </c>
      <c r="D10" s="1" t="str">
        <f t="shared" si="4"/>
        <v>1</v>
      </c>
      <c r="G10" s="17">
        <f t="shared" si="5"/>
        <v>20</v>
      </c>
      <c r="H10" s="17">
        <f t="shared" si="6"/>
        <v>39</v>
      </c>
      <c r="I10" s="17">
        <f t="shared" si="7"/>
        <v>7</v>
      </c>
      <c r="J10" s="17">
        <v>1</v>
      </c>
      <c r="L10" s="19" t="str">
        <f t="shared" si="8"/>
        <v>C20H39O7P1</v>
      </c>
      <c r="M10" s="19">
        <f t="shared" si="9"/>
        <v>422.2433274</v>
      </c>
      <c r="N10" s="19">
        <f t="shared" si="10"/>
        <v>423.25060200000001</v>
      </c>
      <c r="O10" s="19">
        <f t="shared" si="11"/>
        <v>405.23948200000007</v>
      </c>
      <c r="P10" s="19">
        <f t="shared" si="12"/>
        <v>440.27714740000005</v>
      </c>
      <c r="Q10" s="19">
        <f t="shared" si="13"/>
        <v>445.23254740000004</v>
      </c>
      <c r="R10" s="19">
        <f t="shared" si="14"/>
        <v>461.20648740000001</v>
      </c>
      <c r="S10" s="19">
        <f t="shared" si="15"/>
        <v>429.25878740000002</v>
      </c>
      <c r="T10" s="19">
        <f t="shared" si="16"/>
        <v>421.23605279999998</v>
      </c>
      <c r="U10" s="19">
        <f t="shared" si="17"/>
        <v>467.24154739999994</v>
      </c>
      <c r="V10" s="19">
        <f t="shared" si="18"/>
        <v>481.2571974</v>
      </c>
    </row>
    <row r="11" spans="1:23" x14ac:dyDescent="0.25">
      <c r="A11" s="17" t="s">
        <v>406</v>
      </c>
      <c r="B11" s="17" t="str">
        <f t="shared" si="2"/>
        <v>LPA 17:0</v>
      </c>
      <c r="C11" s="1" t="str">
        <f t="shared" si="3"/>
        <v>17</v>
      </c>
      <c r="D11" s="1" t="str">
        <f t="shared" si="4"/>
        <v>0</v>
      </c>
      <c r="G11" s="17">
        <f t="shared" si="5"/>
        <v>20</v>
      </c>
      <c r="H11" s="17">
        <f t="shared" si="6"/>
        <v>41</v>
      </c>
      <c r="I11" s="17">
        <f t="shared" si="7"/>
        <v>7</v>
      </c>
      <c r="J11" s="17">
        <v>1</v>
      </c>
      <c r="L11" s="19" t="str">
        <f t="shared" si="8"/>
        <v>C20H41O7P1</v>
      </c>
      <c r="M11" s="19">
        <f t="shared" si="9"/>
        <v>424.25897660000004</v>
      </c>
      <c r="N11" s="19">
        <f t="shared" si="10"/>
        <v>425.26625120000006</v>
      </c>
      <c r="O11" s="19">
        <f t="shared" si="11"/>
        <v>407.25513120000005</v>
      </c>
      <c r="P11" s="19">
        <f t="shared" si="12"/>
        <v>442.29279660000009</v>
      </c>
      <c r="Q11" s="19">
        <f t="shared" si="13"/>
        <v>447.24819660000009</v>
      </c>
      <c r="R11" s="19">
        <f t="shared" si="14"/>
        <v>463.22213660000006</v>
      </c>
      <c r="S11" s="19">
        <f t="shared" si="15"/>
        <v>431.27443660000006</v>
      </c>
      <c r="T11" s="19">
        <f t="shared" si="16"/>
        <v>423.25170200000002</v>
      </c>
      <c r="U11" s="19">
        <f t="shared" si="17"/>
        <v>469.25719660000004</v>
      </c>
      <c r="V11" s="19">
        <f t="shared" si="18"/>
        <v>483.27284660000004</v>
      </c>
    </row>
    <row r="12" spans="1:23" x14ac:dyDescent="0.25">
      <c r="A12" s="17" t="s">
        <v>407</v>
      </c>
      <c r="B12" s="17" t="str">
        <f t="shared" si="2"/>
        <v>LPA 18:0</v>
      </c>
      <c r="C12" s="1" t="str">
        <f t="shared" si="3"/>
        <v>18</v>
      </c>
      <c r="D12" s="1" t="str">
        <f t="shared" si="4"/>
        <v>0</v>
      </c>
      <c r="G12" s="17">
        <f t="shared" si="5"/>
        <v>21</v>
      </c>
      <c r="H12" s="17">
        <f t="shared" si="6"/>
        <v>43</v>
      </c>
      <c r="I12" s="17">
        <f t="shared" si="7"/>
        <v>7</v>
      </c>
      <c r="J12" s="17">
        <v>1</v>
      </c>
      <c r="L12" s="19" t="str">
        <f t="shared" si="8"/>
        <v>C21H43O7P1</v>
      </c>
      <c r="M12" s="19">
        <f t="shared" si="9"/>
        <v>438.27462580000002</v>
      </c>
      <c r="N12" s="19">
        <f t="shared" si="10"/>
        <v>439.28190040000004</v>
      </c>
      <c r="O12" s="19">
        <f t="shared" si="11"/>
        <v>421.27078040000004</v>
      </c>
      <c r="P12" s="19">
        <f t="shared" si="12"/>
        <v>456.30844580000007</v>
      </c>
      <c r="Q12" s="19">
        <f t="shared" si="13"/>
        <v>461.26384580000007</v>
      </c>
      <c r="R12" s="19">
        <f t="shared" si="14"/>
        <v>477.23778580000004</v>
      </c>
      <c r="S12" s="19">
        <f t="shared" si="15"/>
        <v>445.29008580000004</v>
      </c>
      <c r="T12" s="19">
        <f t="shared" si="16"/>
        <v>437.26735120000001</v>
      </c>
      <c r="U12" s="19">
        <f t="shared" si="17"/>
        <v>483.27284580000003</v>
      </c>
      <c r="V12" s="19">
        <f t="shared" si="18"/>
        <v>497.28849580000002</v>
      </c>
    </row>
    <row r="13" spans="1:23" x14ac:dyDescent="0.25">
      <c r="A13" s="17" t="s">
        <v>408</v>
      </c>
      <c r="B13" s="17" t="str">
        <f t="shared" si="2"/>
        <v>LPA 19:0</v>
      </c>
      <c r="C13" s="1" t="str">
        <f t="shared" si="3"/>
        <v>19</v>
      </c>
      <c r="D13" s="1" t="str">
        <f t="shared" si="4"/>
        <v>0</v>
      </c>
      <c r="G13" s="17">
        <f t="shared" si="5"/>
        <v>22</v>
      </c>
      <c r="H13" s="17">
        <f t="shared" si="6"/>
        <v>45</v>
      </c>
      <c r="I13" s="17">
        <f t="shared" si="7"/>
        <v>7</v>
      </c>
      <c r="J13" s="17">
        <v>1</v>
      </c>
      <c r="L13" s="19" t="str">
        <f t="shared" si="8"/>
        <v>C22H45O7P1</v>
      </c>
      <c r="M13" s="19">
        <f t="shared" si="9"/>
        <v>452.29027500000001</v>
      </c>
      <c r="N13" s="19">
        <f t="shared" si="10"/>
        <v>453.29754960000002</v>
      </c>
      <c r="O13" s="19">
        <f t="shared" si="11"/>
        <v>435.28642960000002</v>
      </c>
      <c r="P13" s="19">
        <f t="shared" si="12"/>
        <v>470.32409500000006</v>
      </c>
      <c r="Q13" s="19">
        <f t="shared" si="13"/>
        <v>475.27949500000005</v>
      </c>
      <c r="R13" s="19">
        <f t="shared" si="14"/>
        <v>491.25343500000002</v>
      </c>
      <c r="S13" s="19">
        <f t="shared" si="15"/>
        <v>459.30573500000003</v>
      </c>
      <c r="T13" s="19">
        <f t="shared" si="16"/>
        <v>451.28300039999999</v>
      </c>
      <c r="U13" s="19">
        <f t="shared" si="17"/>
        <v>497.28849500000001</v>
      </c>
      <c r="V13" s="19">
        <f t="shared" si="18"/>
        <v>511.30414500000001</v>
      </c>
    </row>
    <row r="14" spans="1:23" x14ac:dyDescent="0.25">
      <c r="A14" s="17" t="s">
        <v>409</v>
      </c>
      <c r="B14" s="17" t="str">
        <f t="shared" si="2"/>
        <v>LPA 20:0</v>
      </c>
      <c r="C14" s="1" t="str">
        <f t="shared" si="3"/>
        <v>20</v>
      </c>
      <c r="D14" s="1" t="str">
        <f t="shared" si="4"/>
        <v>0</v>
      </c>
      <c r="G14" s="17">
        <f t="shared" si="5"/>
        <v>23</v>
      </c>
      <c r="H14" s="17">
        <f t="shared" si="6"/>
        <v>47</v>
      </c>
      <c r="I14" s="17">
        <f t="shared" si="7"/>
        <v>7</v>
      </c>
      <c r="J14" s="17">
        <v>1</v>
      </c>
      <c r="L14" s="19" t="str">
        <f t="shared" si="8"/>
        <v>C23H47O7P1</v>
      </c>
      <c r="M14" s="19">
        <f t="shared" si="9"/>
        <v>466.30592419999999</v>
      </c>
      <c r="N14" s="19">
        <f t="shared" si="10"/>
        <v>467.31319880000001</v>
      </c>
      <c r="O14" s="19">
        <f t="shared" si="11"/>
        <v>449.3020788</v>
      </c>
      <c r="P14" s="19">
        <f t="shared" si="12"/>
        <v>484.33974420000004</v>
      </c>
      <c r="Q14" s="19">
        <f t="shared" si="13"/>
        <v>489.29514420000004</v>
      </c>
      <c r="R14" s="19">
        <f t="shared" si="14"/>
        <v>505.26908420000001</v>
      </c>
      <c r="S14" s="19">
        <f t="shared" si="15"/>
        <v>473.32138420000001</v>
      </c>
      <c r="T14" s="19">
        <f t="shared" si="16"/>
        <v>465.29864959999998</v>
      </c>
      <c r="U14" s="19">
        <f t="shared" si="17"/>
        <v>511.3041442</v>
      </c>
      <c r="V14" s="19">
        <f t="shared" si="18"/>
        <v>525.31979419999993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4"/>
  <dimension ref="A1:Y3"/>
  <sheetViews>
    <sheetView showGridLines="0" showRowColHeaders="0" zoomScaleNormal="100" workbookViewId="0">
      <pane xSplit="11" ySplit="2" topLeftCell="N3" activePane="bottomRight" state="frozen"/>
      <selection pane="topRight"/>
      <selection pane="bottomLeft"/>
      <selection pane="bottomRight" activeCell="S24" sqref="S24"/>
    </sheetView>
  </sheetViews>
  <sheetFormatPr defaultColWidth="9.140625" defaultRowHeight="15.75" x14ac:dyDescent="0.25"/>
  <cols>
    <col min="1" max="1" width="48.7109375" style="17" customWidth="1"/>
    <col min="2" max="2" width="19.42578125" style="17" hidden="1" customWidth="1"/>
    <col min="3" max="3" width="3.85546875" style="17" hidden="1" customWidth="1"/>
    <col min="4" max="4" width="2.5703125" style="17" hidden="1" customWidth="1"/>
    <col min="5" max="7" width="10.85546875" style="17" hidden="1" customWidth="1"/>
    <col min="8" max="8" width="9.5703125" style="17" hidden="1" customWidth="1"/>
    <col min="9" max="11" width="9.140625" style="17" hidden="1" customWidth="1"/>
    <col min="12" max="12" width="20.7109375" style="19" customWidth="1"/>
    <col min="13" max="22" width="16.7109375" style="19" customWidth="1"/>
    <col min="23" max="23" width="12.140625" style="17" bestFit="1" customWidth="1"/>
    <col min="24" max="24" width="14.42578125" style="17" bestFit="1" customWidth="1"/>
    <col min="25" max="25" width="15.42578125" style="17" bestFit="1" customWidth="1"/>
  </cols>
  <sheetData>
    <row r="1" spans="1:25" s="28" customFormat="1" x14ac:dyDescent="0.25">
      <c r="A1" s="27" t="s">
        <v>59</v>
      </c>
      <c r="B1" s="27" t="s">
        <v>5</v>
      </c>
      <c r="C1" s="27"/>
      <c r="D1" s="27"/>
      <c r="E1" s="27" t="s">
        <v>0</v>
      </c>
      <c r="F1" s="27" t="s">
        <v>1</v>
      </c>
      <c r="G1" s="27" t="s">
        <v>2</v>
      </c>
      <c r="H1" s="27" t="s">
        <v>9</v>
      </c>
      <c r="I1" s="27"/>
      <c r="J1" s="27"/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  <c r="W1" s="27"/>
      <c r="X1" s="27"/>
      <c r="Y1" s="27"/>
    </row>
    <row r="2" spans="1:25" hidden="1" x14ac:dyDescent="0.25">
      <c r="A2" s="17" t="s">
        <v>84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LPI 16:0</v>
      </c>
      <c r="C2" s="1" t="str">
        <f>MID(B2,5,FIND(":",B2)-FIND(" ",B2)-1)</f>
        <v>16</v>
      </c>
      <c r="D2" s="1" t="str">
        <f>IF(ISNUMBER(SEARCH("__",B2)),MID(B2,FIND(":",B2)+1,FIND("__",B2)-FIND(":",B2)-1),MID(B2,FIND(":",B2)+1,7))</f>
        <v>0</v>
      </c>
      <c r="E2" s="17">
        <f t="shared" ref="E2" si="0">C2+9</f>
        <v>25</v>
      </c>
      <c r="F2" s="17">
        <f>2*E2-(2*D2)-1-((LEN(A2)-LEN(SUBSTITUTE(A2,"_O_","")))/LEN("_O_"))*2-((LEN(A2)-LEN(SUBSTITUTE(A2,"_CHO_","")))/LEN("_CHO_"))*2-((LEN(A2)-LEN(SUBSTITUTE(A2,"_COOH_","")))/LEN("_COOH_"))*2</f>
        <v>49</v>
      </c>
      <c r="G2" s="17">
        <f>12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12</v>
      </c>
      <c r="H2" s="17">
        <v>1</v>
      </c>
      <c r="L2" s="19" t="str">
        <f>CONCATENATE("C",E2,"H",F2,"O",G2,"P",H2)</f>
        <v>C25H49O12P1</v>
      </c>
      <c r="M2" s="19">
        <f>(E2*12)+(F2*1.0078246)+(G2*15.994915)+(H2*30.973763)</f>
        <v>572.29614839999999</v>
      </c>
      <c r="N2" s="19">
        <f>M2+1.0078246-0.00055</f>
        <v>573.30342300000007</v>
      </c>
      <c r="O2" s="19">
        <f>N2-18.01057-0.00055</f>
        <v>555.29230300000006</v>
      </c>
      <c r="P2" s="19">
        <f>M2+18.03437-0.00055</f>
        <v>590.32996839999998</v>
      </c>
      <c r="Q2" s="19">
        <f>M2+22.98977-0.00055</f>
        <v>595.28536840000004</v>
      </c>
      <c r="R2" s="19">
        <f>M2+38.96371-0.00055</f>
        <v>611.25930840000001</v>
      </c>
      <c r="S2" s="19">
        <f>M2+7.01601-0.00055</f>
        <v>579.31160840000007</v>
      </c>
      <c r="T2" s="19">
        <f>M2-1.0078246+0.00055</f>
        <v>571.28887379999992</v>
      </c>
      <c r="U2" s="19">
        <f>M2+44.99767+0.00055</f>
        <v>617.29436839999994</v>
      </c>
      <c r="V2" s="19">
        <f>M2+59.01332+0.00055</f>
        <v>631.31001839999999</v>
      </c>
    </row>
    <row r="3" spans="1:25" x14ac:dyDescent="0.25">
      <c r="A3" s="17" t="s">
        <v>85</v>
      </c>
      <c r="B3" s="17" t="str">
        <f>IF(ISNUMBER(SEARCH("(",A3)),IF(ISNUMBER(SEARCH("/",A3)),CONCATENATE(MID(A3,1,2),"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3,1,2)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>LPI 16:1</v>
      </c>
      <c r="C3" s="1" t="str">
        <f>MID(B3,5,FIND(":",B3)-FIND(" ",B3)-1)</f>
        <v>16</v>
      </c>
      <c r="D3" s="1" t="str">
        <f>IF(ISNUMBER(SEARCH("__",B3)),MID(B3,FIND(":",B3)+1,FIND("__",B3)-FIND(":",B3)-1),MID(B3,FIND(":",B3)+1,7))</f>
        <v>1</v>
      </c>
      <c r="E3" s="17">
        <f t="shared" ref="E3" si="1">C3+9</f>
        <v>25</v>
      </c>
      <c r="F3" s="17">
        <f>2*E3-(2*D3)-1-((LEN(A3)-LEN(SUBSTITUTE(A3,"_O_","")))/LEN("_O_"))*2-((LEN(A3)-LEN(SUBSTITUTE(A3,"_CHO_","")))/LEN("_CHO_"))*2-((LEN(A3)-LEN(SUBSTITUTE(A3,"_COOH_","")))/LEN("_COOH_"))*2</f>
        <v>47</v>
      </c>
      <c r="G3" s="17">
        <f>12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12</v>
      </c>
      <c r="H3" s="17">
        <v>1</v>
      </c>
      <c r="L3" s="19" t="str">
        <f>CONCATENATE("C",E3,"H",F3,"O",G3,"P",H3)</f>
        <v>C25H47O12P1</v>
      </c>
      <c r="M3" s="19">
        <f>(E3*12)+(F3*1.0078246)+(G3*15.994915)+(H3*30.973763)</f>
        <v>570.28049919999989</v>
      </c>
      <c r="N3" s="19">
        <f>M3+1.0078246-0.00055</f>
        <v>571.28777379999997</v>
      </c>
      <c r="O3" s="19">
        <f>N3-18.01057-0.00055</f>
        <v>553.27665379999996</v>
      </c>
      <c r="P3" s="19">
        <f>M3+18.03437-0.00055</f>
        <v>588.31431919999989</v>
      </c>
      <c r="Q3" s="19">
        <f>M3+22.98977-0.00055</f>
        <v>593.26971919999994</v>
      </c>
      <c r="R3" s="19">
        <f>M3+38.96371-0.00055</f>
        <v>609.24365919999991</v>
      </c>
      <c r="S3" s="19">
        <f>M3+7.01601-0.00055</f>
        <v>577.29595919999997</v>
      </c>
      <c r="T3" s="19">
        <f>M3-1.0078246+0.00055</f>
        <v>569.27322459999982</v>
      </c>
      <c r="U3" s="19">
        <f>M3+44.99767+0.00055</f>
        <v>615.27871919999984</v>
      </c>
      <c r="V3" s="19">
        <f>M3+59.01332+0.00055</f>
        <v>629.29436919999989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1"/>
  <dimension ref="A1:Z17"/>
  <sheetViews>
    <sheetView showGridLines="0" zoomScaleNormal="100" workbookViewId="0">
      <pane xSplit="1" ySplit="2" topLeftCell="B3" activePane="bottomRight" state="frozen"/>
      <selection pane="topRight"/>
      <selection pane="bottomLeft"/>
      <selection pane="bottomRight" activeCell="B4" sqref="B4"/>
    </sheetView>
  </sheetViews>
  <sheetFormatPr defaultColWidth="9.140625" defaultRowHeight="15.75" x14ac:dyDescent="0.25"/>
  <cols>
    <col min="1" max="1" width="25.7109375" style="17" bestFit="1" customWidth="1"/>
    <col min="2" max="2" width="21.5703125" style="17" bestFit="1" customWidth="1"/>
    <col min="3" max="3" width="3.85546875" style="17" bestFit="1" customWidth="1"/>
    <col min="4" max="4" width="2.5703125" style="17" bestFit="1" customWidth="1"/>
    <col min="5" max="7" width="10.85546875" style="17" bestFit="1" customWidth="1"/>
    <col min="8" max="8" width="9.5703125" style="17" bestFit="1" customWidth="1"/>
    <col min="9" max="11" width="9.140625" style="17" hidden="1" customWidth="1"/>
    <col min="12" max="12" width="17" style="19" bestFit="1" customWidth="1"/>
    <col min="13" max="13" width="15.85546875" style="19" bestFit="1" customWidth="1"/>
    <col min="14" max="14" width="12.140625" style="19" bestFit="1" customWidth="1"/>
    <col min="15" max="15" width="14.5703125" style="19" bestFit="1" customWidth="1"/>
    <col min="16" max="20" width="12.140625" style="19" bestFit="1" customWidth="1"/>
    <col min="21" max="21" width="13.5703125" style="19" bestFit="1" customWidth="1"/>
    <col min="22" max="22" width="16.5703125" style="19" bestFit="1" customWidth="1"/>
    <col min="23" max="23" width="12.140625" style="17" bestFit="1" customWidth="1"/>
    <col min="24" max="24" width="14.42578125" style="17" bestFit="1" customWidth="1"/>
    <col min="25" max="25" width="15.42578125" style="17" bestFit="1" customWidth="1"/>
  </cols>
  <sheetData>
    <row r="1" spans="1:26" s="28" customFormat="1" x14ac:dyDescent="0.25">
      <c r="A1" s="27" t="s">
        <v>59</v>
      </c>
      <c r="B1" s="27" t="s">
        <v>5</v>
      </c>
      <c r="C1" s="27"/>
      <c r="D1" s="27"/>
      <c r="E1" s="27" t="s">
        <v>0</v>
      </c>
      <c r="F1" s="27" t="s">
        <v>1</v>
      </c>
      <c r="G1" s="27" t="s">
        <v>2</v>
      </c>
      <c r="H1" s="27" t="s">
        <v>9</v>
      </c>
      <c r="I1" s="27"/>
      <c r="J1" s="27"/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  <c r="W1" s="27"/>
      <c r="X1" s="27"/>
      <c r="Y1" s="27"/>
    </row>
    <row r="2" spans="1:26" hidden="1" x14ac:dyDescent="0.25">
      <c r="A2" s="17" t="s">
        <v>92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PI 32:0</v>
      </c>
      <c r="C2" s="1" t="str">
        <f>MID(B2,4,FIND(":",B2)-FIND(" ",B2)-1)</f>
        <v>32</v>
      </c>
      <c r="D2" s="1" t="str">
        <f>IF(ISNUMBER(SEARCH("__",B2)),MID(B2,FIND(":",B2)+1,FIND("__",B2)-FIND(":",B2)-1),MID(B2,FIND(":",B2)+1,7))</f>
        <v>0</v>
      </c>
      <c r="E2" s="17">
        <f t="shared" ref="E2" si="0">C2+9</f>
        <v>41</v>
      </c>
      <c r="F2" s="17">
        <f>2*E2-(2*D2)-3-((LEN(A2)-LEN(SUBSTITUTE(A2,"_O_","")))/LEN("_O_"))*2-((LEN(A2)-LEN(SUBSTITUTE(A2,"_CHO_","")))/LEN("_CHO_"))*2-((LEN(A2)-LEN(SUBSTITUTE(A2,"_COOH_","")))/LEN("_COOH_"))*2</f>
        <v>79</v>
      </c>
      <c r="G2" s="17">
        <f>13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13</v>
      </c>
      <c r="H2" s="17">
        <v>1</v>
      </c>
      <c r="L2" s="19" t="str">
        <f>CONCATENATE("C",E2,"H",F2,"O",G2,"P",H2)</f>
        <v>C41H79O13P1</v>
      </c>
      <c r="M2" s="19">
        <f>(E2*12)+(F2*1.0078246)+(G2*15.994915)+(H2*30.973763)</f>
        <v>810.52580139999998</v>
      </c>
      <c r="N2" s="19">
        <f>M2+1.0078246-0.00055</f>
        <v>811.53307600000005</v>
      </c>
      <c r="O2" s="19">
        <f>N2-18.01057-0.00055</f>
        <v>793.52195600000005</v>
      </c>
      <c r="P2" s="19">
        <f>M2+18.03437-0.00055</f>
        <v>828.55962139999997</v>
      </c>
      <c r="Q2" s="19">
        <f>M2+22.98977-0.00055</f>
        <v>833.51502140000002</v>
      </c>
      <c r="R2" s="19">
        <f>M2+38.96371-0.00055</f>
        <v>849.48896139999999</v>
      </c>
      <c r="S2" s="19">
        <f>M2+7.01601-0.00055</f>
        <v>817.54126140000005</v>
      </c>
      <c r="T2" s="19">
        <f>M2-1.0078246+0.00055</f>
        <v>809.5185267999999</v>
      </c>
      <c r="U2" s="19">
        <f>M2+44.99767+0.00055</f>
        <v>855.52402139999992</v>
      </c>
      <c r="V2" s="19">
        <f>M2+59.01332+0.00055</f>
        <v>869.53967139999997</v>
      </c>
    </row>
    <row r="3" spans="1:26" x14ac:dyDescent="0.25">
      <c r="A3" s="17" t="s">
        <v>93</v>
      </c>
      <c r="B3" s="17" t="str">
        <f>IF(ISNUMBER(SEARCH("(",A3)),IF(ISNUMBER(SEARCH("/",A3)),CONCATENATE(MID(A3,1,2),"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3,1,2)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>PI 32:1</v>
      </c>
      <c r="C3" s="1" t="str">
        <f>MID(B3,4,FIND(":",B3)-FIND(" ",B3)-1)</f>
        <v>32</v>
      </c>
      <c r="D3" s="1" t="str">
        <f>IF(ISNUMBER(SEARCH("__",B3)),MID(B3,FIND(":",B3)+1,FIND("__",B3)-FIND(":",B3)-1),MID(B3,FIND(":",B3)+1,7))</f>
        <v>1</v>
      </c>
      <c r="E3" s="17">
        <f t="shared" ref="E3:E4" si="1">C3+9</f>
        <v>41</v>
      </c>
      <c r="F3" s="17">
        <f>2*E3-(2*D3)-3-((LEN(A3)-LEN(SUBSTITUTE(A3,"_O_","")))/LEN("_O_"))*2-((LEN(A3)-LEN(SUBSTITUTE(A3,"_CHO_","")))/LEN("_CHO_"))*2-((LEN(A3)-LEN(SUBSTITUTE(A3,"_COOH_","")))/LEN("_COOH_"))*2</f>
        <v>77</v>
      </c>
      <c r="G3" s="17">
        <f>13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13</v>
      </c>
      <c r="H3" s="17">
        <v>1</v>
      </c>
      <c r="L3" s="19" t="str">
        <f>CONCATENATE("C",E3,"H",F3,"O",G3,"P",H3)</f>
        <v>C41H77O13P1</v>
      </c>
      <c r="M3" s="19">
        <f>(E3*12)+(F3*1.0078246)+(G3*15.994915)+(H3*30.973763)</f>
        <v>808.51015219999999</v>
      </c>
      <c r="N3" s="19">
        <f>M3+1.0078246-0.00055</f>
        <v>809.51742680000007</v>
      </c>
      <c r="O3" s="19">
        <f>N3-18.01057-0.00055</f>
        <v>791.50630680000006</v>
      </c>
      <c r="P3" s="19">
        <f>M3+18.03437-0.00055</f>
        <v>826.54397219999998</v>
      </c>
      <c r="Q3" s="19">
        <f>M3+22.98977-0.00055</f>
        <v>831.49937220000004</v>
      </c>
      <c r="R3" s="19">
        <f>M3+38.96371-0.00055</f>
        <v>847.47331220000001</v>
      </c>
      <c r="S3" s="19">
        <f>M3+7.01601-0.00055</f>
        <v>815.52561220000007</v>
      </c>
      <c r="T3" s="19">
        <f>M3-1.0078246+0.00055</f>
        <v>807.50287759999992</v>
      </c>
      <c r="U3" s="19">
        <f>M3+44.99767+0.00055</f>
        <v>853.50837219999994</v>
      </c>
      <c r="V3" s="19">
        <f>M3+59.01332+0.00055</f>
        <v>867.52402219999999</v>
      </c>
    </row>
    <row r="4" spans="1:26" x14ac:dyDescent="0.25">
      <c r="A4" s="17" t="s">
        <v>107</v>
      </c>
      <c r="B4" s="17" t="str">
        <f>IF(ISNUMBER(SEARCH("(",A4)),IF(ISNUMBER(SEARCH("/",A4)),CONCATENATE(MID(A4,1,2)," ",(SUM(MID(A4,FIND("(",A4)+1,FIND(":",A4)-FIND("(",A4)-1),MID(A4,FIND("/",A4)+1,FIND(":",A4,FIND("/",A4))-FIND("/",A4)-1))),":",SUM(MID(A4,FIND(":",A4)+1,FIND("/",A4)-FIND(":",A4)-1),MID(A4,FIND(":",A4,FIND("/",A4))+1,FIND(")",A4)-FIND(":",A4,FIND("/",A4))-1)),MID(A4,(FIND(")",A4)+1),100)),CONCATENATE(MID(A4,1,2)," ",(SUM(MID(A4,FIND("(",A4)+1,FIND(":",A4)-FIND("(",A4)-1),MID(A4,FIND("_",A4)+1,FIND(":",A4,FIND("_",A4))-FIND("_",A4)-1))),":",SUM(MID(A4,FIND(":",A4)+1,FIND("_",A4)-FIND(":",A4)-1),MID(A4,FIND(":",A4,FIND("_",A4))+1,FIND(")",A4)-FIND(":",A4,FIND("_",A4))-1)),MID(A4,(FIND(")",A4)+1),100))),A4)</f>
        <v>PI 34:1__CHO__</v>
      </c>
      <c r="C4" s="1" t="str">
        <f>MID(B4,4,FIND(":",B4)-FIND(" ",B4)-1)</f>
        <v>34</v>
      </c>
      <c r="D4" s="1" t="str">
        <f>IF(ISNUMBER(SEARCH("__",B4)),MID(B4,FIND(":",B4)+1,FIND("__",B4)-FIND(":",B4)-1),MID(B4,FIND(":",B4)+1,7))</f>
        <v>1</v>
      </c>
      <c r="E4" s="17">
        <f t="shared" si="1"/>
        <v>43</v>
      </c>
      <c r="F4" s="17">
        <f>2*E4-(2*D4)-3-((LEN(A4)-LEN(SUBSTITUTE(A4,"_O_","")))/LEN("_O_"))*2-((LEN(A4)-LEN(SUBSTITUTE(A4,"_CHO_","")))/LEN("_CHO_"))*2-((LEN(A4)-LEN(SUBSTITUTE(A4,"_COOH_","")))/LEN("_COOH_"))*2</f>
        <v>79</v>
      </c>
      <c r="G4" s="17">
        <f>13+((LEN(A4)-LEN(SUBSTITUTE(A4,"_OH_","")))/LEN("_OH_"))*1+((LEN(A4)-LEN(SUBSTITUTE(A4,"_OOH_","")))/LEN("_OOH_"))*2+((LEN(A4)-LEN(SUBSTITUTE(A4,"_O_","")))/LEN("_O_"))*1+((LEN(A4)-LEN(SUBSTITUTE(A4,"_CHO_","")))/LEN("_CHO_"))*1+((LEN(A4)-LEN(SUBSTITUTE(A4,"_COOH_","")))/LEN("_COOH_"))*2</f>
        <v>14</v>
      </c>
      <c r="H4" s="17">
        <v>1</v>
      </c>
      <c r="L4" s="19" t="str">
        <f>CONCATENATE("C",E4,"H",F4,"O",G4,"P",H4)</f>
        <v>C43H79O14P1</v>
      </c>
      <c r="M4" s="19">
        <f>(E4*12)+(F4*1.0078246)+(G4*15.994915)+(H4*30.973763)</f>
        <v>850.52071639999997</v>
      </c>
      <c r="N4" s="19">
        <f>M4+1.0078246-0.00055</f>
        <v>851.52799100000004</v>
      </c>
      <c r="O4" s="19">
        <f>N4-18.01057-0.00055</f>
        <v>833.51687100000004</v>
      </c>
      <c r="P4" s="19">
        <f>M4+18.03437-0.00055</f>
        <v>868.55453639999996</v>
      </c>
      <c r="Q4" s="19">
        <f>M4+22.98977-0.00055</f>
        <v>873.50993640000002</v>
      </c>
      <c r="R4" s="19">
        <f>M4+38.96371-0.00055</f>
        <v>889.48387639999999</v>
      </c>
      <c r="S4" s="19">
        <f>M4+7.01601-0.00055</f>
        <v>857.53617640000004</v>
      </c>
      <c r="T4" s="19">
        <f>M4-1.0078246+0.00055</f>
        <v>849.5134417999999</v>
      </c>
      <c r="U4" s="19">
        <f>M4+44.99767+0.00055</f>
        <v>895.51893639999992</v>
      </c>
      <c r="V4" s="19">
        <f>M4+59.01332+0.00055</f>
        <v>909.53458639999997</v>
      </c>
    </row>
    <row r="6" spans="1:26" x14ac:dyDescent="0.25">
      <c r="A6" s="17" t="s">
        <v>93</v>
      </c>
      <c r="B6" s="17" t="str">
        <f>IF(ISNUMBER(SEARCH("(",A6)),IF(ISNUMBER(SEARCH("/",A6)),CONCATENATE(MID(A6,1,2)," ",(SUM(MID(A6,FIND("(",A6)+1,FIND(":",A6)-FIND("(",A6)-1),MID(A6,FIND("/",A6)+1,FIND(":",A6,FIND("/",A6))-FIND("/",A6)-1))),":",SUM(MID(A6,FIND(":",A6)+1,FIND("/",A6)-FIND(":",A6)-1),MID(A6,FIND(":",A6,FIND("/",A6))+1,FIND(")",A6)-FIND(":",A6,FIND("/",A6))-1)),MID(A6,(FIND(")",A6)+1),100)),CONCATENATE(MID(A6,1,2)," ",(SUM(MID(A6,FIND("(",A6)+1,FIND(":",A6)-FIND("(",A6)-1),MID(A6,FIND("_",A6)+1,FIND(":",A6,FIND("_",A6))-FIND("_",A6)-1))),":",SUM(MID(A6,FIND(":",A6)+1,FIND("_",A6)-FIND(":",A6)-1),MID(A6,FIND(":",A6,FIND("_",A6))+1,FIND(")",A6)-FIND(":",A6,FIND("_",A6))-1)),MID(A6,(FIND(")",A6)+1),100))),A6)</f>
        <v>PI 32:1</v>
      </c>
      <c r="C6" s="1" t="str">
        <f>MID(B6,4,FIND(":",B6)-FIND(" ",B6)-1)</f>
        <v>32</v>
      </c>
      <c r="D6" s="1" t="str">
        <f>IF(ISNUMBER(SEARCH("__",B6)),MID(B6,FIND(":",B6)+1,FIND("__",B6)-FIND(":",B6)-1),MID(B6,FIND(":",B6)+1,7))</f>
        <v>1</v>
      </c>
      <c r="E6" s="17">
        <f t="shared" ref="E6:E7" si="2">C6+9</f>
        <v>41</v>
      </c>
      <c r="F6" s="17">
        <f>2*E6-(2*D6)-3-((LEN(A6)-LEN(SUBSTITUTE(A6,"_O_","")))/LEN("_O_"))*2-((LEN(A6)-LEN(SUBSTITUTE(A6,"_CHO_","")))/LEN("_CHO_"))*2-((LEN(A6)-LEN(SUBSTITUTE(A6,"_COOH_","")))/LEN("_COOH_"))*2</f>
        <v>77</v>
      </c>
      <c r="G6" s="17">
        <f>13+((LEN(A6)-LEN(SUBSTITUTE(A6,"_OH_","")))/LEN("_OH_"))*1+((LEN(A6)-LEN(SUBSTITUTE(A6,"_OOH_","")))/LEN("_OOH_"))*2+((LEN(A6)-LEN(SUBSTITUTE(A6,"_O_","")))/LEN("_O_"))*1+((LEN(A6)-LEN(SUBSTITUTE(A6,"_CHO_","")))/LEN("_CHO_"))*1+((LEN(A6)-LEN(SUBSTITUTE(A6,"_COOH_","")))/LEN("_COOH_"))*2</f>
        <v>13</v>
      </c>
      <c r="H6" s="17">
        <v>1</v>
      </c>
      <c r="L6" s="19" t="str">
        <f>CONCATENATE("C",E6,"H",F6,"O",G6,"P",H6)</f>
        <v>C41H77O13P1</v>
      </c>
      <c r="M6" s="19">
        <f>(E6*12)+(F6*1.0078246)+(G6*15.994915)+(H6*30.973763)</f>
        <v>808.51015219999999</v>
      </c>
      <c r="N6" s="19">
        <f>M6+1.0078246-0.00055</f>
        <v>809.51742680000007</v>
      </c>
      <c r="O6" s="19">
        <f>N6-18.01057-0.00055</f>
        <v>791.50630680000006</v>
      </c>
      <c r="P6" s="19">
        <f>M6+18.03437-0.00055</f>
        <v>826.54397219999998</v>
      </c>
      <c r="Q6" s="19">
        <f>M6+22.98977-0.00055</f>
        <v>831.49937220000004</v>
      </c>
      <c r="R6" s="19">
        <f>M6+38.96371-0.00055</f>
        <v>847.47331220000001</v>
      </c>
      <c r="S6" s="19">
        <f>M6+7.01601-0.00055</f>
        <v>815.52561220000007</v>
      </c>
      <c r="T6" s="19">
        <f>M6-1.0078246+0.00055</f>
        <v>807.50287759999992</v>
      </c>
      <c r="U6" s="19">
        <f>M6+44.99767+0.00055</f>
        <v>853.50837219999994</v>
      </c>
      <c r="V6" s="19">
        <f>M6+59.01332+0.00055</f>
        <v>867.52402219999999</v>
      </c>
    </row>
    <row r="7" spans="1:26" x14ac:dyDescent="0.25">
      <c r="A7" s="17" t="s">
        <v>623</v>
      </c>
      <c r="B7" s="17" t="str">
        <f>IF(ISNUMBER(SEARCH("(",A7)),IF(ISNUMBER(SEARCH("/",A7)),CONCATENATE(MID(A7,1,2)," ",(SUM(MID(A7,FIND("(",A7)+1,FIND(":",A7)-FIND("(",A7)-1),MID(A7,FIND("/",A7)+1,FIND(":",A7,FIND("/",A7))-FIND("/",A7)-1))),":",SUM(MID(A7,FIND(":",A7)+1,FIND("/",A7)-FIND(":",A7)-1),MID(A7,FIND(":",A7,FIND("/",A7))+1,FIND(")",A7)-FIND(":",A7,FIND("/",A7))-1)),MID(A7,(FIND(")",A7)+1),100)),CONCATENATE(MID(A7,1,2)," ",(SUM(MID(A7,FIND("(",A7)+1,FIND(":",A7)-FIND("(",A7)-1),MID(A7,FIND("_",A7)+1,FIND(":",A7,FIND("_",A7))-FIND("_",A7)-1))),":",SUM(MID(A7,FIND(":",A7)+1,FIND("_",A7)-FIND(":",A7)-1),MID(A7,FIND(":",A7,FIND("_",A7))+1,FIND(")",A7)-FIND(":",A7,FIND("_",A7))-1)),MID(A7,(FIND(")",A7)+1),100))),A7)</f>
        <v>PI 36:1</v>
      </c>
      <c r="C7" s="1" t="str">
        <f>MID(B7,4,FIND(":",B7)-FIND(" ",B7)-1)</f>
        <v>36</v>
      </c>
      <c r="D7" s="1" t="str">
        <f>IF(ISNUMBER(SEARCH("__",B7)),MID(B7,FIND(":",B7)+1,FIND("__",B7)-FIND(":",B7)-1),MID(B7,FIND(":",B7)+1,7))</f>
        <v>1</v>
      </c>
      <c r="E7" s="17">
        <f t="shared" si="2"/>
        <v>45</v>
      </c>
      <c r="F7" s="17">
        <f>2*E7-(2*D7)-3-((LEN(A7)-LEN(SUBSTITUTE(A7,"_O_","")))/LEN("_O_"))*2-((LEN(A7)-LEN(SUBSTITUTE(A7,"_CHO_","")))/LEN("_CHO_"))*2-((LEN(A7)-LEN(SUBSTITUTE(A7,"_COOH_","")))/LEN("_COOH_"))*2</f>
        <v>85</v>
      </c>
      <c r="G7" s="17">
        <f>13+((LEN(A7)-LEN(SUBSTITUTE(A7,"_OH_","")))/LEN("_OH_"))*1+((LEN(A7)-LEN(SUBSTITUTE(A7,"_OOH_","")))/LEN("_OOH_"))*2+((LEN(A7)-LEN(SUBSTITUTE(A7,"_O_","")))/LEN("_O_"))*1+((LEN(A7)-LEN(SUBSTITUTE(A7,"_CHO_","")))/LEN("_CHO_"))*1+((LEN(A7)-LEN(SUBSTITUTE(A7,"_COOH_","")))/LEN("_COOH_"))*2</f>
        <v>13</v>
      </c>
      <c r="H7" s="17">
        <v>1</v>
      </c>
      <c r="L7" s="19" t="str">
        <f>CONCATENATE("C",E7,"H",F7,"O",G7,"P",H7)</f>
        <v>C45H85O13P1</v>
      </c>
      <c r="M7" s="19">
        <f>(E7*12)+(F7*1.0078246)+(G7*15.994915)+(H7*30.973763)</f>
        <v>864.57274899999993</v>
      </c>
      <c r="N7" s="19">
        <f>M7+1.0078246-0.00055</f>
        <v>865.5800236</v>
      </c>
      <c r="O7" s="19">
        <f>N7-18.01057-0.00055</f>
        <v>847.5689036</v>
      </c>
      <c r="P7" s="19">
        <f>M7+18.03437-0.00055</f>
        <v>882.60656899999992</v>
      </c>
      <c r="Q7" s="19">
        <f>M7+22.98977-0.00055</f>
        <v>887.56196899999998</v>
      </c>
      <c r="R7" s="19">
        <f>M7+38.96371-0.00055</f>
        <v>903.53590899999995</v>
      </c>
      <c r="S7" s="19">
        <f>M7+7.01601-0.00055</f>
        <v>871.58820900000001</v>
      </c>
      <c r="T7" s="19">
        <f>M7-1.0078246+0.00055</f>
        <v>863.56547439999986</v>
      </c>
      <c r="U7" s="19">
        <f>M7+44.99767+0.00055</f>
        <v>909.57096899999988</v>
      </c>
      <c r="V7" s="19">
        <f>M7+59.01332+0.00055</f>
        <v>923.58661899999993</v>
      </c>
    </row>
    <row r="9" spans="1:26" x14ac:dyDescent="0.25">
      <c r="A9" s="17" t="s">
        <v>624</v>
      </c>
      <c r="B9" s="17" t="str">
        <f>IF(ISNUMBER(SEARCH("(",A9)),IF(ISNUMBER(SEARCH("/",A9)),CONCATENATE(MID(A9,1,2)," ",(SUM(MID(A9,FIND("(",A9)+1,FIND(":",A9)-FIND("(",A9)-1),MID(A9,FIND("/",A9)+1,FIND(":",A9,FIND("/",A9))-FIND("/",A9)-1))),":",SUM(MID(A9,FIND(":",A9)+1,FIND("/",A9)-FIND(":",A9)-1),MID(A9,FIND(":",A9,FIND("/",A9))+1,FIND(")",A9)-FIND(":",A9,FIND("/",A9))-1)),MID(A9,(FIND(")",A9)+1),100)),CONCATENATE(MID(A9,1,2)," ",(SUM(MID(A9,FIND("(",A9)+1,FIND(":",A9)-FIND("(",A9)-1),MID(A9,FIND("_",A9)+1,FIND(":",A9,FIND("_",A9))-FIND("_",A9)-1))),":",SUM(MID(A9,FIND(":",A9)+1,FIND("_",A9)-FIND(":",A9)-1),MID(A9,FIND(":",A9,FIND("_",A9))+1,FIND(")",A9)-FIND(":",A9,FIND("_",A9))-1)),MID(A9,(FIND(")",A9)+1),100))),A9)</f>
        <v>PI 38:1</v>
      </c>
      <c r="C9" s="1" t="str">
        <f>MID(B9,4,FIND(":",B9)-FIND(" ",B9)-1)</f>
        <v>38</v>
      </c>
      <c r="D9" s="1" t="str">
        <f>IF(ISNUMBER(SEARCH("__",B9)),MID(B9,FIND(":",B9)+1,FIND("__",B9)-FIND(":",B9)-1),MID(B9,FIND(":",B9)+1,7))</f>
        <v>1</v>
      </c>
      <c r="E9" s="17">
        <f t="shared" ref="E9" si="3">C9+9</f>
        <v>47</v>
      </c>
      <c r="F9" s="17">
        <f>2*E9-(2*D9)-3-((LEN(A9)-LEN(SUBSTITUTE(A9,"_O_","")))/LEN("_O_"))*2-((LEN(A9)-LEN(SUBSTITUTE(A9,"_CHO_","")))/LEN("_CHO_"))*2-((LEN(A9)-LEN(SUBSTITUTE(A9,"_COOH_","")))/LEN("_COOH_"))*2</f>
        <v>89</v>
      </c>
      <c r="G9" s="17">
        <f>13+((LEN(A9)-LEN(SUBSTITUTE(A9,"_OH_","")))/LEN("_OH_"))*1+((LEN(A9)-LEN(SUBSTITUTE(A9,"_OOH_","")))/LEN("_OOH_"))*2+((LEN(A9)-LEN(SUBSTITUTE(A9,"_O_","")))/LEN("_O_"))*1+((LEN(A9)-LEN(SUBSTITUTE(A9,"_CHO_","")))/LEN("_CHO_"))*1+((LEN(A9)-LEN(SUBSTITUTE(A9,"_COOH_","")))/LEN("_COOH_"))*2</f>
        <v>13</v>
      </c>
      <c r="H9" s="17">
        <v>1</v>
      </c>
      <c r="L9" s="19" t="str">
        <f>CONCATENATE("C",E9,"H",F9,"O",G9,"P",H9)</f>
        <v>C47H89O13P1</v>
      </c>
      <c r="M9" s="19">
        <f>(E9*12)+(F9*1.0078246)+(G9*15.994915)+(H9*30.973763)</f>
        <v>892.60404740000001</v>
      </c>
      <c r="N9" s="19">
        <f>M9+1.0078246-0.00055</f>
        <v>893.61132200000009</v>
      </c>
      <c r="O9" s="19">
        <f>N9-18.01057-0.00055</f>
        <v>875.60020200000008</v>
      </c>
      <c r="P9" s="19">
        <f>M9+18.03437-0.00055</f>
        <v>910.6378674</v>
      </c>
      <c r="Q9" s="19">
        <f>M9+22.98977-0.00055</f>
        <v>915.59326740000006</v>
      </c>
      <c r="R9" s="19">
        <f>M9+38.96371-0.00055</f>
        <v>931.56720740000003</v>
      </c>
      <c r="S9" s="19">
        <f>M9+7.01601-0.00055</f>
        <v>899.61950740000009</v>
      </c>
      <c r="T9" s="19">
        <f>M9-1.0078246+0.00055</f>
        <v>891.59677279999994</v>
      </c>
      <c r="U9" s="19">
        <f>M9+44.99767+0.00055</f>
        <v>937.60226739999996</v>
      </c>
      <c r="V9" s="19">
        <f>M9+59.01332+0.00055</f>
        <v>951.61791740000001</v>
      </c>
    </row>
    <row r="12" spans="1:26" x14ac:dyDescent="0.25">
      <c r="A12" s="17" t="s">
        <v>656</v>
      </c>
      <c r="B12" s="17" t="str">
        <f t="shared" ref="B12:B17" si="4">IF(ISNUMBER(SEARCH("(",A12)),IF(ISNUMBER(SEARCH("/",A12)),CONCATENATE(MID(A12,1,2)," ",(SUM(MID(A12,FIND("(",A12)+1,FIND(":",A12)-FIND("(",A12)-1),MID(A12,FIND("/",A12)+1,FIND(":",A12,FIND("/",A12))-FIND("/",A12)-1))),":",SUM(MID(A12,FIND(":",A12)+1,FIND("/",A12)-FIND(":",A12)-1),MID(A12,FIND(":",A12,FIND("/",A12))+1,FIND(")",A12)-FIND(":",A12,FIND("/",A12))-1)),MID(A12,(FIND(")",A12)+1),100)),CONCATENATE(MID(A12,1,2)," ",(SUM(MID(A12,FIND("(",A12)+1,FIND(":",A12)-FIND("(",A12)-1),MID(A12,FIND("_",A12)+1,FIND(":",A12,FIND("_",A12))-FIND("_",A12)-1))),":",SUM(MID(A12,FIND(":",A12)+1,FIND("_",A12)-FIND(":",A12)-1),MID(A12,FIND(":",A12,FIND("_",A12))+1,FIND(")",A12)-FIND(":",A12,FIND("_",A12))-1)),MID(A12,(FIND(")",A12)+1),100))),A12)</f>
        <v>PI 30:0</v>
      </c>
      <c r="C12" s="1" t="str">
        <f t="shared" ref="C12:C17" si="5">MID(B12,4,FIND(":",B12)-FIND(" ",B12)-1)</f>
        <v>30</v>
      </c>
      <c r="D12" s="1" t="str">
        <f t="shared" ref="D12:D17" si="6">IF(ISNUMBER(SEARCH("__",B12)),MID(B12,FIND(":",B12)+1,FIND("__",B12)-FIND(":",B12)-1),MID(B12,FIND(":",B12)+1,7))</f>
        <v>0</v>
      </c>
      <c r="E12" s="17">
        <f t="shared" ref="E12" si="7">C12+9</f>
        <v>39</v>
      </c>
      <c r="F12" s="17">
        <f t="shared" ref="F12:F17" si="8">2*E12-(2*D12)-3-((LEN(A12)-LEN(SUBSTITUTE(A12,"_O_","")))/LEN("_O_"))*2-((LEN(A12)-LEN(SUBSTITUTE(A12,"_CHO_","")))/LEN("_CHO_"))*2-((LEN(A12)-LEN(SUBSTITUTE(A12,"_COOH_","")))/LEN("_COOH_"))*2</f>
        <v>75</v>
      </c>
      <c r="G12" s="17">
        <f t="shared" ref="G12:G17" si="9">13+((LEN(A12)-LEN(SUBSTITUTE(A12,"_OH_","")))/LEN("_OH_"))*1+((LEN(A12)-LEN(SUBSTITUTE(A12,"_OOH_","")))/LEN("_OOH_"))*2+((LEN(A12)-LEN(SUBSTITUTE(A12,"_O_","")))/LEN("_O_"))*1+((LEN(A12)-LEN(SUBSTITUTE(A12,"_CHO_","")))/LEN("_CHO_"))*1+((LEN(A12)-LEN(SUBSTITUTE(A12,"_COOH_","")))/LEN("_COOH_"))*2</f>
        <v>13</v>
      </c>
      <c r="H12" s="17">
        <v>1</v>
      </c>
      <c r="L12" s="19" t="str">
        <f t="shared" ref="L12:L17" si="10">CONCATENATE("C",E12,"H",F12,"O",G12,"P",H12)</f>
        <v>C39H75O13P1</v>
      </c>
      <c r="M12" s="19">
        <f t="shared" ref="M12:M17" si="11">(E12*12)+(F12*1.0078246)+(G12*15.994915)+(H12*30.973763)</f>
        <v>782.49450300000001</v>
      </c>
      <c r="N12" s="19">
        <f t="shared" ref="N12:N17" si="12">M12+1.0078246-0.00055</f>
        <v>783.50177760000008</v>
      </c>
      <c r="O12" s="19">
        <f t="shared" ref="O12:O17" si="13">N12-18.01057-0.00055</f>
        <v>765.49065760000008</v>
      </c>
      <c r="P12" s="19">
        <f t="shared" ref="P12:P17" si="14">M12+18.03437-0.00055</f>
        <v>800.528323</v>
      </c>
      <c r="Q12" s="19">
        <f t="shared" ref="Q12:Q17" si="15">M12+22.98977-0.00055</f>
        <v>805.48372300000005</v>
      </c>
      <c r="R12" s="19">
        <f t="shared" ref="R12:R17" si="16">M12+38.96371-0.00055</f>
        <v>821.45766300000003</v>
      </c>
      <c r="S12" s="19">
        <f t="shared" ref="S12:S17" si="17">M12+7.01601-0.00055</f>
        <v>789.50996300000008</v>
      </c>
      <c r="T12" s="19">
        <f t="shared" ref="T12:T17" si="18">M12-1.0078246+0.00055</f>
        <v>781.48722839999994</v>
      </c>
      <c r="U12" s="19">
        <f t="shared" ref="U12:U17" si="19">M12+44.99767+0.00055</f>
        <v>827.49272299999996</v>
      </c>
      <c r="V12" s="19">
        <f t="shared" ref="V12:V17" si="20">M12+59.01332+0.00055</f>
        <v>841.50837300000001</v>
      </c>
      <c r="Z12" s="52"/>
    </row>
    <row r="13" spans="1:26" x14ac:dyDescent="0.25">
      <c r="A13" s="17" t="s">
        <v>657</v>
      </c>
      <c r="B13" s="17" t="str">
        <f t="shared" si="4"/>
        <v>PI 31:0</v>
      </c>
      <c r="C13" s="1" t="str">
        <f t="shared" si="5"/>
        <v>31</v>
      </c>
      <c r="D13" s="1" t="str">
        <f t="shared" si="6"/>
        <v>0</v>
      </c>
      <c r="E13" s="17">
        <f t="shared" ref="E13" si="21">C13+9</f>
        <v>40</v>
      </c>
      <c r="F13" s="17">
        <f t="shared" si="8"/>
        <v>77</v>
      </c>
      <c r="G13" s="17">
        <f t="shared" si="9"/>
        <v>13</v>
      </c>
      <c r="H13" s="17">
        <v>1</v>
      </c>
      <c r="L13" s="19" t="str">
        <f t="shared" si="10"/>
        <v>C40H77O13P1</v>
      </c>
      <c r="M13" s="19">
        <f t="shared" si="11"/>
        <v>796.51015219999999</v>
      </c>
      <c r="N13" s="19">
        <f t="shared" si="12"/>
        <v>797.51742680000007</v>
      </c>
      <c r="O13" s="19">
        <f t="shared" si="13"/>
        <v>779.50630680000006</v>
      </c>
      <c r="P13" s="19">
        <f t="shared" si="14"/>
        <v>814.54397219999998</v>
      </c>
      <c r="Q13" s="19">
        <f t="shared" si="15"/>
        <v>819.49937220000004</v>
      </c>
      <c r="R13" s="19">
        <f t="shared" si="16"/>
        <v>835.47331220000001</v>
      </c>
      <c r="S13" s="19">
        <f t="shared" si="17"/>
        <v>803.52561220000007</v>
      </c>
      <c r="T13" s="19">
        <f t="shared" si="18"/>
        <v>795.50287759999992</v>
      </c>
      <c r="U13" s="19">
        <f t="shared" si="19"/>
        <v>841.50837219999994</v>
      </c>
      <c r="V13" s="19">
        <f t="shared" si="20"/>
        <v>855.52402219999999</v>
      </c>
      <c r="Z13" s="52"/>
    </row>
    <row r="14" spans="1:26" x14ac:dyDescent="0.25">
      <c r="A14" s="17" t="s">
        <v>92</v>
      </c>
      <c r="B14" s="17" t="str">
        <f t="shared" si="4"/>
        <v>PI 32:0</v>
      </c>
      <c r="C14" s="1" t="str">
        <f t="shared" si="5"/>
        <v>32</v>
      </c>
      <c r="D14" s="1" t="str">
        <f t="shared" si="6"/>
        <v>0</v>
      </c>
      <c r="E14" s="17">
        <f t="shared" ref="E14:E17" si="22">C14+9</f>
        <v>41</v>
      </c>
      <c r="F14" s="17">
        <f t="shared" si="8"/>
        <v>79</v>
      </c>
      <c r="G14" s="17">
        <f t="shared" si="9"/>
        <v>13</v>
      </c>
      <c r="H14" s="17">
        <v>1</v>
      </c>
      <c r="L14" s="19" t="str">
        <f t="shared" si="10"/>
        <v>C41H79O13P1</v>
      </c>
      <c r="M14" s="19">
        <f t="shared" si="11"/>
        <v>810.52580139999998</v>
      </c>
      <c r="N14" s="19">
        <f t="shared" si="12"/>
        <v>811.53307600000005</v>
      </c>
      <c r="O14" s="19">
        <f t="shared" si="13"/>
        <v>793.52195600000005</v>
      </c>
      <c r="P14" s="19">
        <f t="shared" si="14"/>
        <v>828.55962139999997</v>
      </c>
      <c r="Q14" s="19">
        <f t="shared" si="15"/>
        <v>833.51502140000002</v>
      </c>
      <c r="R14" s="19">
        <f t="shared" si="16"/>
        <v>849.48896139999999</v>
      </c>
      <c r="S14" s="19">
        <f t="shared" si="17"/>
        <v>817.54126140000005</v>
      </c>
      <c r="T14" s="19">
        <f t="shared" si="18"/>
        <v>809.5185267999999</v>
      </c>
      <c r="U14" s="19">
        <f t="shared" si="19"/>
        <v>855.52402139999992</v>
      </c>
      <c r="V14" s="19">
        <f t="shared" si="20"/>
        <v>869.53967139999997</v>
      </c>
      <c r="Z14" s="52"/>
    </row>
    <row r="15" spans="1:26" x14ac:dyDescent="0.25">
      <c r="A15" s="17" t="s">
        <v>658</v>
      </c>
      <c r="B15" s="17" t="str">
        <f t="shared" si="4"/>
        <v>PI 33:0</v>
      </c>
      <c r="C15" s="1" t="str">
        <f t="shared" si="5"/>
        <v>33</v>
      </c>
      <c r="D15" s="1" t="str">
        <f t="shared" si="6"/>
        <v>0</v>
      </c>
      <c r="E15" s="17">
        <f t="shared" si="22"/>
        <v>42</v>
      </c>
      <c r="F15" s="17">
        <f t="shared" si="8"/>
        <v>81</v>
      </c>
      <c r="G15" s="17">
        <f t="shared" si="9"/>
        <v>13</v>
      </c>
      <c r="H15" s="17">
        <v>1</v>
      </c>
      <c r="L15" s="19" t="str">
        <f t="shared" si="10"/>
        <v>C42H81O13P1</v>
      </c>
      <c r="M15" s="19">
        <f t="shared" si="11"/>
        <v>824.54145059999996</v>
      </c>
      <c r="N15" s="19">
        <f t="shared" si="12"/>
        <v>825.54872520000004</v>
      </c>
      <c r="O15" s="19">
        <f t="shared" si="13"/>
        <v>807.53760520000003</v>
      </c>
      <c r="P15" s="19">
        <f t="shared" si="14"/>
        <v>842.57527059999995</v>
      </c>
      <c r="Q15" s="19">
        <f t="shared" si="15"/>
        <v>847.53067060000001</v>
      </c>
      <c r="R15" s="19">
        <f t="shared" si="16"/>
        <v>863.50461059999998</v>
      </c>
      <c r="S15" s="19">
        <f t="shared" si="17"/>
        <v>831.55691060000004</v>
      </c>
      <c r="T15" s="19">
        <f t="shared" si="18"/>
        <v>823.53417599999989</v>
      </c>
      <c r="U15" s="19">
        <f t="shared" si="19"/>
        <v>869.53967059999991</v>
      </c>
      <c r="V15" s="19">
        <f t="shared" si="20"/>
        <v>883.55532059999996</v>
      </c>
      <c r="Z15" s="52"/>
    </row>
    <row r="16" spans="1:26" x14ac:dyDescent="0.25">
      <c r="A16" s="17" t="s">
        <v>659</v>
      </c>
      <c r="B16" s="17" t="str">
        <f t="shared" si="4"/>
        <v>PI 34:0</v>
      </c>
      <c r="C16" s="1" t="str">
        <f t="shared" si="5"/>
        <v>34</v>
      </c>
      <c r="D16" s="1" t="str">
        <f t="shared" si="6"/>
        <v>0</v>
      </c>
      <c r="E16" s="17">
        <f t="shared" si="22"/>
        <v>43</v>
      </c>
      <c r="F16" s="17">
        <f t="shared" si="8"/>
        <v>83</v>
      </c>
      <c r="G16" s="17">
        <f t="shared" si="9"/>
        <v>13</v>
      </c>
      <c r="H16" s="17">
        <v>1</v>
      </c>
      <c r="L16" s="19" t="str">
        <f t="shared" si="10"/>
        <v>C43H83O13P1</v>
      </c>
      <c r="M16" s="19">
        <f t="shared" si="11"/>
        <v>838.55709979999995</v>
      </c>
      <c r="N16" s="19">
        <f t="shared" si="12"/>
        <v>839.56437440000002</v>
      </c>
      <c r="O16" s="19">
        <f t="shared" si="13"/>
        <v>821.55325440000001</v>
      </c>
      <c r="P16" s="19">
        <f t="shared" si="14"/>
        <v>856.59091979999994</v>
      </c>
      <c r="Q16" s="19">
        <f t="shared" si="15"/>
        <v>861.54631979999999</v>
      </c>
      <c r="R16" s="19">
        <f t="shared" si="16"/>
        <v>877.52025979999996</v>
      </c>
      <c r="S16" s="19">
        <f t="shared" si="17"/>
        <v>845.57255980000002</v>
      </c>
      <c r="T16" s="19">
        <f t="shared" si="18"/>
        <v>837.54982519999987</v>
      </c>
      <c r="U16" s="19">
        <f t="shared" si="19"/>
        <v>883.55531979999989</v>
      </c>
      <c r="V16" s="19">
        <f t="shared" si="20"/>
        <v>897.57096979999994</v>
      </c>
      <c r="Z16" s="52"/>
    </row>
    <row r="17" spans="1:26" x14ac:dyDescent="0.25">
      <c r="A17" s="17" t="s">
        <v>660</v>
      </c>
      <c r="B17" s="17" t="str">
        <f t="shared" si="4"/>
        <v>PI 35:0</v>
      </c>
      <c r="C17" s="1" t="str">
        <f t="shared" si="5"/>
        <v>35</v>
      </c>
      <c r="D17" s="1" t="str">
        <f t="shared" si="6"/>
        <v>0</v>
      </c>
      <c r="E17" s="17">
        <f t="shared" si="22"/>
        <v>44</v>
      </c>
      <c r="F17" s="17">
        <f t="shared" si="8"/>
        <v>85</v>
      </c>
      <c r="G17" s="17">
        <f t="shared" si="9"/>
        <v>13</v>
      </c>
      <c r="H17" s="17">
        <v>1</v>
      </c>
      <c r="L17" s="19" t="str">
        <f t="shared" si="10"/>
        <v>C44H85O13P1</v>
      </c>
      <c r="M17" s="19">
        <f t="shared" si="11"/>
        <v>852.57274899999993</v>
      </c>
      <c r="N17" s="19">
        <f t="shared" si="12"/>
        <v>853.5800236</v>
      </c>
      <c r="O17" s="19">
        <f t="shared" si="13"/>
        <v>835.5689036</v>
      </c>
      <c r="P17" s="19">
        <f t="shared" si="14"/>
        <v>870.60656899999992</v>
      </c>
      <c r="Q17" s="19">
        <f t="shared" si="15"/>
        <v>875.56196899999998</v>
      </c>
      <c r="R17" s="19">
        <f t="shared" si="16"/>
        <v>891.53590899999995</v>
      </c>
      <c r="S17" s="19">
        <f t="shared" si="17"/>
        <v>859.58820900000001</v>
      </c>
      <c r="T17" s="19">
        <f t="shared" si="18"/>
        <v>851.56547439999986</v>
      </c>
      <c r="U17" s="19">
        <f t="shared" si="19"/>
        <v>897.57096899999988</v>
      </c>
      <c r="V17" s="19">
        <f t="shared" si="20"/>
        <v>911.58661899999993</v>
      </c>
      <c r="Z17" s="52"/>
    </row>
  </sheetData>
  <sortState ref="A39:R43">
    <sortCondition ref="A39:A4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9"/>
  <dimension ref="A1:X8"/>
  <sheetViews>
    <sheetView showGridLines="0" showRowColHeaders="0" zoomScaleNormal="100" workbookViewId="0">
      <pane xSplit="11" ySplit="2" topLeftCell="M3" activePane="bottomRight" state="frozen"/>
      <selection pane="topRight"/>
      <selection pane="bottomLeft"/>
      <selection pane="bottomRight" activeCell="A9" sqref="A9"/>
    </sheetView>
  </sheetViews>
  <sheetFormatPr defaultColWidth="9.140625" defaultRowHeight="15.75" x14ac:dyDescent="0.25"/>
  <cols>
    <col min="1" max="1" width="48.7109375" style="17" customWidth="1"/>
    <col min="2" max="2" width="19.42578125" style="17" hidden="1" customWidth="1"/>
    <col min="3" max="3" width="3.85546875" style="17" hidden="1" customWidth="1"/>
    <col min="4" max="4" width="2.5703125" style="17" hidden="1" customWidth="1"/>
    <col min="5" max="6" width="10.85546875" style="17" hidden="1" customWidth="1"/>
    <col min="7" max="9" width="9.5703125" style="17" hidden="1" customWidth="1"/>
    <col min="10" max="11" width="9.140625" style="17" hidden="1" customWidth="1"/>
    <col min="12" max="12" width="20.7109375" style="19" customWidth="1"/>
    <col min="13" max="22" width="16.7109375" style="19" customWidth="1"/>
    <col min="23" max="23" width="14.42578125" style="17" bestFit="1" customWidth="1"/>
    <col min="24" max="24" width="15.42578125" style="17" bestFit="1" customWidth="1"/>
  </cols>
  <sheetData>
    <row r="1" spans="1:24" s="28" customFormat="1" x14ac:dyDescent="0.25">
      <c r="A1" s="27" t="s">
        <v>59</v>
      </c>
      <c r="B1" s="27" t="s">
        <v>5</v>
      </c>
      <c r="C1" s="27"/>
      <c r="D1" s="27"/>
      <c r="E1" s="27" t="s">
        <v>0</v>
      </c>
      <c r="F1" s="27" t="s">
        <v>1</v>
      </c>
      <c r="G1" s="27" t="s">
        <v>8</v>
      </c>
      <c r="H1" s="27" t="s">
        <v>2</v>
      </c>
      <c r="I1" s="27" t="s">
        <v>9</v>
      </c>
      <c r="J1" s="27"/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  <c r="W1" s="27"/>
      <c r="X1" s="27"/>
    </row>
    <row r="2" spans="1:24" hidden="1" x14ac:dyDescent="0.25">
      <c r="A2" s="17" t="s">
        <v>86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LPS 18:0</v>
      </c>
      <c r="C2" s="1" t="str">
        <f>MID(B2,5,FIND(":",B2)-FIND(" ",B2)-1)</f>
        <v>18</v>
      </c>
      <c r="D2" s="1" t="str">
        <f>IF(ISNUMBER(SEARCH("__",B2)),MID(B2,FIND(":",B2)+1,FIND("__",B2)-FIND(":",B2)-1),MID(B2,FIND(":",B2)+1,7))</f>
        <v>0</v>
      </c>
      <c r="E2" s="17">
        <f>C2+6</f>
        <v>24</v>
      </c>
      <c r="F2" s="17">
        <f>2*E2-(2*D2)-((LEN(A2)-LEN(SUBSTITUTE(A2,"_O_","")))/LEN("_O_"))*2-((LEN(A2)-LEN(SUBSTITUTE(A2,"_CHO_","")))/LEN("_CHO_"))*2-((LEN(A2)-LEN(SUBSTITUTE(A2,"_COOH_","")))/LEN("_COOH_"))*2</f>
        <v>48</v>
      </c>
      <c r="G2" s="17">
        <v>1</v>
      </c>
      <c r="H2" s="17">
        <f>9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9</v>
      </c>
      <c r="I2" s="17">
        <v>1</v>
      </c>
      <c r="L2" s="19" t="str">
        <f t="shared" ref="L2" si="0">CONCATENATE("C",E2,"H",F2,"N",G2,"O",H2,"P",I2)</f>
        <v>C24H48N1O9P1</v>
      </c>
      <c r="M2" s="19">
        <f t="shared" ref="M2" si="1">(E2*12)+(F2*1.0078246)+(G2*14.003074)+(H2*15.994915)+(I2*30.973763)</f>
        <v>525.30665279999994</v>
      </c>
      <c r="N2" s="19">
        <f>M2+1.0078246-0.00055</f>
        <v>526.31392740000001</v>
      </c>
      <c r="O2" s="19">
        <f>N2-18.01057-0.00055</f>
        <v>508.30280740000001</v>
      </c>
      <c r="P2" s="19">
        <f>M2+18.03437-0.00055</f>
        <v>543.34047279999993</v>
      </c>
      <c r="Q2" s="19">
        <f>M2+22.98977-0.00055</f>
        <v>548.29587279999998</v>
      </c>
      <c r="R2" s="19">
        <f>M2+38.96371-0.00055</f>
        <v>564.26981279999995</v>
      </c>
      <c r="S2" s="19">
        <f>M2+7.01601-0.00055</f>
        <v>532.32211280000001</v>
      </c>
      <c r="T2" s="19">
        <f>M2-1.0078246+0.00055</f>
        <v>524.29937819999986</v>
      </c>
      <c r="U2" s="19">
        <f>M2+44.99767+0.00055</f>
        <v>570.30487279999988</v>
      </c>
      <c r="V2" s="19">
        <f>M2+59.01332+0.00055</f>
        <v>584.32052279999994</v>
      </c>
    </row>
    <row r="3" spans="1:24" x14ac:dyDescent="0.25">
      <c r="A3" s="17" t="s">
        <v>87</v>
      </c>
      <c r="B3" s="17" t="str">
        <f>IF(ISNUMBER(SEARCH("(",A3)),IF(ISNUMBER(SEARCH("/",A3)),CONCATENATE(MID(A3,1,2),"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3,1,2)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>LPS 18:1</v>
      </c>
      <c r="C3" s="1" t="str">
        <f>MID(B3,5,FIND(":",B3)-FIND(" ",B3)-1)</f>
        <v>18</v>
      </c>
      <c r="D3" s="1" t="str">
        <f>IF(ISNUMBER(SEARCH("__",B3)),MID(B3,FIND(":",B3)+1,FIND("__",B3)-FIND(":",B3)-1),MID(B3,FIND(":",B3)+1,7))</f>
        <v>1</v>
      </c>
      <c r="E3" s="17">
        <f>C3+6</f>
        <v>24</v>
      </c>
      <c r="F3" s="17">
        <f>2*E3-(2*D3)-((LEN(A3)-LEN(SUBSTITUTE(A3,"_O_","")))/LEN("_O_"))*2-((LEN(A3)-LEN(SUBSTITUTE(A3,"_CHO_","")))/LEN("_CHO_"))*2-((LEN(A3)-LEN(SUBSTITUTE(A3,"_COOH_","")))/LEN("_COOH_"))*2</f>
        <v>46</v>
      </c>
      <c r="G3" s="17">
        <v>1</v>
      </c>
      <c r="H3" s="17">
        <f>9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9</v>
      </c>
      <c r="I3" s="17">
        <v>1</v>
      </c>
      <c r="L3" s="19" t="str">
        <f t="shared" ref="L3" si="2">CONCATENATE("C",E3,"H",F3,"N",G3,"O",H3,"P",I3)</f>
        <v>C24H46N1O9P1</v>
      </c>
      <c r="M3" s="19">
        <f t="shared" ref="M3" si="3">(E3*12)+(F3*1.0078246)+(G3*14.003074)+(H3*15.994915)+(I3*30.973763)</f>
        <v>523.29100359999995</v>
      </c>
      <c r="N3" s="19">
        <f>M3+1.0078246-0.00055</f>
        <v>524.29827820000003</v>
      </c>
      <c r="O3" s="19">
        <f>N3-18.01057-0.00055</f>
        <v>506.28715820000002</v>
      </c>
      <c r="P3" s="19">
        <f>M3+18.03437-0.00055</f>
        <v>541.32482359999995</v>
      </c>
      <c r="Q3" s="19">
        <f>M3+22.98977-0.00055</f>
        <v>546.2802236</v>
      </c>
      <c r="R3" s="19">
        <f>M3+38.96371-0.00055</f>
        <v>562.25416359999997</v>
      </c>
      <c r="S3" s="19">
        <f>M3+7.01601-0.00055</f>
        <v>530.30646360000003</v>
      </c>
      <c r="T3" s="19">
        <f>M3-1.0078246+0.00055</f>
        <v>522.28372899999988</v>
      </c>
      <c r="U3" s="19">
        <f>M3+44.99767+0.00055</f>
        <v>568.2892235999999</v>
      </c>
      <c r="V3" s="19">
        <f>M3+59.01332+0.00055</f>
        <v>582.30487359999995</v>
      </c>
    </row>
    <row r="8" spans="1:24" x14ac:dyDescent="0.25">
      <c r="A8" s="17" t="s">
        <v>629</v>
      </c>
      <c r="B8" s="17" t="str">
        <f>IF(ISNUMBER(SEARCH("(",A8)),IF(ISNUMBER(SEARCH("/",A8)),CONCATENATE(MID(A8,1,2)," ",(SUM(MID(A8,FIND("(",A8)+1,FIND(":",A8)-FIND("(",A8)-1),MID(A8,FIND("/",A8)+1,FIND(":",A8,FIND("/",A8))-FIND("/",A8)-1))),":",SUM(MID(A8,FIND(":",A8)+1,FIND("/",A8)-FIND(":",A8)-1),MID(A8,FIND(":",A8,FIND("/",A8))+1,FIND(")",A8)-FIND(":",A8,FIND("/",A8))-1)),MID(A8,(FIND(")",A8)+1),100)),CONCATENATE(MID(A8,1,2)," ",(SUM(MID(A8,FIND("(",A8)+1,FIND(":",A8)-FIND("(",A8)-1),MID(A8,FIND("_",A8)+1,FIND(":",A8,FIND("_",A8))-FIND("_",A8)-1))),":",SUM(MID(A8,FIND(":",A8)+1,FIND("_",A8)-FIND(":",A8)-1),MID(A8,FIND(":",A8,FIND("_",A8))+1,FIND(")",A8)-FIND(":",A8,FIND("_",A8))-1)),MID(A8,(FIND(")",A8)+1),100))),A8)</f>
        <v>LPS 14:0</v>
      </c>
      <c r="C8" s="1" t="str">
        <f>MID(B8,5,FIND(":",B8)-FIND(" ",B8)-1)</f>
        <v>14</v>
      </c>
      <c r="D8" s="1" t="str">
        <f>IF(ISNUMBER(SEARCH("__",B8)),MID(B8,FIND(":",B8)+1,FIND("__",B8)-FIND(":",B8)-1),MID(B8,FIND(":",B8)+1,7))</f>
        <v>0</v>
      </c>
      <c r="E8" s="17">
        <f>C8+6</f>
        <v>20</v>
      </c>
      <c r="F8" s="17">
        <f>2*E8-(2*D8)-((LEN(A8)-LEN(SUBSTITUTE(A8,"_O_","")))/LEN("_O_"))*2-((LEN(A8)-LEN(SUBSTITUTE(A8,"_CHO_","")))/LEN("_CHO_"))*2-((LEN(A8)-LEN(SUBSTITUTE(A8,"_COOH_","")))/LEN("_COOH_"))*2</f>
        <v>40</v>
      </c>
      <c r="G8" s="17">
        <v>1</v>
      </c>
      <c r="H8" s="17">
        <f>9+((LEN(A8)-LEN(SUBSTITUTE(A8,"_OH_","")))/LEN("_OH_"))*1+((LEN(A8)-LEN(SUBSTITUTE(A8,"_OOH_","")))/LEN("_OOH_"))*2+((LEN(A8)-LEN(SUBSTITUTE(A8,"_O_","")))/LEN("_O_"))*1+((LEN(A8)-LEN(SUBSTITUTE(A8,"_CHO_","")))/LEN("_CHO_"))*1+((LEN(A8)-LEN(SUBSTITUTE(A8,"_COOH_","")))/LEN("_COOH_"))*2</f>
        <v>9</v>
      </c>
      <c r="I8" s="17">
        <v>1</v>
      </c>
      <c r="L8" s="19" t="str">
        <f t="shared" ref="L8" si="4">CONCATENATE("C",E8,"H",F8,"N",G8,"O",H8,"P",I8)</f>
        <v>C20H40N1O9P1</v>
      </c>
      <c r="M8" s="19">
        <f t="shared" ref="M8" si="5">(E8*12)+(F8*1.0078246)+(G8*14.003074)+(H8*15.994915)+(I8*30.973763)</f>
        <v>469.24405600000006</v>
      </c>
      <c r="N8" s="19">
        <f>M8+1.0078246-0.00055</f>
        <v>470.25133060000007</v>
      </c>
      <c r="O8" s="19">
        <f>N8-18.01057-0.00055</f>
        <v>452.24021060000007</v>
      </c>
      <c r="P8" s="19">
        <f>M8+18.03437-0.00055</f>
        <v>487.27787600000011</v>
      </c>
      <c r="Q8" s="19">
        <f>M8+22.98977-0.00055</f>
        <v>492.2332760000001</v>
      </c>
      <c r="R8" s="19">
        <f>M8+38.96371-0.00055</f>
        <v>508.20721600000007</v>
      </c>
      <c r="S8" s="19">
        <f>M8+7.01601-0.00055</f>
        <v>476.25951600000008</v>
      </c>
      <c r="T8" s="19">
        <f>M8-1.0078246+0.00055</f>
        <v>468.23678140000004</v>
      </c>
      <c r="U8" s="19">
        <f>M8+44.99767+0.00055</f>
        <v>514.24227600000006</v>
      </c>
      <c r="V8" s="19">
        <f>M8+59.01332+0.00055</f>
        <v>528.257926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8"/>
  <dimension ref="A1:X7"/>
  <sheetViews>
    <sheetView showGridLines="0" showRowColHeaders="0" zoomScaleNormal="100" workbookViewId="0">
      <pane xSplit="1" ySplit="2" topLeftCell="B3" activePane="bottomRight" state="frozen"/>
      <selection pane="topRight"/>
      <selection pane="bottomLeft"/>
      <selection pane="bottomRight" activeCell="N7" sqref="N7"/>
    </sheetView>
  </sheetViews>
  <sheetFormatPr defaultColWidth="9.140625" defaultRowHeight="15.75" x14ac:dyDescent="0.25"/>
  <cols>
    <col min="1" max="1" width="48.7109375" style="17" customWidth="1"/>
    <col min="2" max="2" width="32.7109375" style="17" customWidth="1"/>
    <col min="3" max="4" width="3.85546875" style="17" hidden="1" customWidth="1"/>
    <col min="5" max="6" width="10.85546875" style="17" hidden="1" customWidth="1"/>
    <col min="7" max="7" width="9.5703125" style="17" hidden="1" customWidth="1"/>
    <col min="8" max="8" width="10.85546875" style="17" hidden="1" customWidth="1"/>
    <col min="9" max="9" width="9.5703125" style="17" hidden="1" customWidth="1"/>
    <col min="10" max="11" width="9.140625" style="17" hidden="1" customWidth="1"/>
    <col min="12" max="12" width="20.7109375" style="19" customWidth="1"/>
    <col min="13" max="22" width="16.7109375" style="19" customWidth="1"/>
    <col min="23" max="23" width="14.42578125" style="17" bestFit="1" customWidth="1"/>
    <col min="24" max="24" width="15.42578125" style="17" bestFit="1" customWidth="1"/>
  </cols>
  <sheetData>
    <row r="1" spans="1:24" s="28" customFormat="1" x14ac:dyDescent="0.25">
      <c r="A1" s="27" t="s">
        <v>59</v>
      </c>
      <c r="B1" s="27" t="s">
        <v>5</v>
      </c>
      <c r="C1" s="27"/>
      <c r="D1" s="27"/>
      <c r="E1" s="27" t="s">
        <v>0</v>
      </c>
      <c r="F1" s="27" t="s">
        <v>1</v>
      </c>
      <c r="G1" s="27" t="s">
        <v>8</v>
      </c>
      <c r="H1" s="27" t="s">
        <v>2</v>
      </c>
      <c r="I1" s="27" t="s">
        <v>9</v>
      </c>
      <c r="J1" s="27"/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  <c r="W1" s="27"/>
      <c r="X1" s="27"/>
    </row>
    <row r="2" spans="1:24" hidden="1" x14ac:dyDescent="0.25">
      <c r="A2" s="17" t="s">
        <v>94</v>
      </c>
      <c r="B2" s="17" t="str">
        <f>IF(ISNUMBER(SEARCH("(",A2)),IF(ISNUMBER(SEARCH("/",A2)),CONCATENATE(MID(A2,1,2),"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2,1,2)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PS 32:1</v>
      </c>
      <c r="C2" s="1" t="str">
        <f>MID(B2,4,FIND(":",B2)-FIND(" ",B2)-1)</f>
        <v>32</v>
      </c>
      <c r="D2" s="1" t="str">
        <f>IF(ISNUMBER(SEARCH("__",B2)),MID(B2,FIND(":",B2)+1,FIND("__",B2)-FIND(":",B2)-1),MID(B2,FIND(":",B2)+1,7))</f>
        <v>1</v>
      </c>
      <c r="E2" s="17">
        <f t="shared" ref="E2" si="0">C2+6</f>
        <v>38</v>
      </c>
      <c r="F2" s="17">
        <f>2*E2-(2*D2)-2-((LEN(A2)-LEN(SUBSTITUTE(A2,"_O_","")))/LEN("_O_"))*2-((LEN(A2)-LEN(SUBSTITUTE(A2,"_CHO_","")))/LEN("_CHO_"))*2-((LEN(A2)-LEN(SUBSTITUTE(A2,"_COOH_","")))/LEN("_COOH_"))*2</f>
        <v>72</v>
      </c>
      <c r="G2" s="17">
        <v>1</v>
      </c>
      <c r="H2" s="17">
        <f>10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10</v>
      </c>
      <c r="I2" s="17">
        <v>1</v>
      </c>
      <c r="L2" s="19" t="str">
        <f t="shared" ref="L2" si="1">CONCATENATE("C",E2,"H",F2,"N",G2,"O",H2,"P",I2)</f>
        <v>C38H72N1O10P1</v>
      </c>
      <c r="M2" s="19">
        <f t="shared" ref="M2" si="2">(E2*12)+(F2*1.0078246)+(G2*14.003074)+(H2*15.994915)+(I2*30.973763)</f>
        <v>733.48935819999997</v>
      </c>
      <c r="N2" s="19">
        <f>M2+1.0078246-0.00055</f>
        <v>734.49663280000004</v>
      </c>
      <c r="O2" s="19">
        <f>N2-18.01057-0.00055</f>
        <v>716.48551280000004</v>
      </c>
      <c r="P2" s="19">
        <f>M2+18.03437-0.00055</f>
        <v>751.52317819999996</v>
      </c>
      <c r="Q2" s="19">
        <f>M2+22.98977-0.00055</f>
        <v>756.47857820000002</v>
      </c>
      <c r="R2" s="19">
        <f>M2+38.96371-0.00055</f>
        <v>772.45251819999999</v>
      </c>
      <c r="S2" s="19">
        <f>M2+7.01601-0.00055</f>
        <v>740.50481820000005</v>
      </c>
      <c r="T2" s="19">
        <f>M2-1.0078246+0.00055</f>
        <v>732.4820835999999</v>
      </c>
      <c r="U2" s="19">
        <f>M2+44.99767+0.00055</f>
        <v>778.48757819999992</v>
      </c>
      <c r="V2" s="19">
        <f>M2+59.01332+0.00055</f>
        <v>792.50322819999997</v>
      </c>
    </row>
    <row r="3" spans="1:24" x14ac:dyDescent="0.25">
      <c r="A3" s="17" t="s">
        <v>108</v>
      </c>
      <c r="B3" s="17" t="str">
        <f>IF(ISNUMBER(SEARCH("(",A3)),IF(ISNUMBER(SEARCH("/",A3)),CONCATENATE(MID(A3,1,2),"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3,1,2)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>PS 36:3</v>
      </c>
      <c r="C3" s="1" t="str">
        <f>MID(B3,4,FIND(":",B3)-FIND(" ",B3)-1)</f>
        <v>36</v>
      </c>
      <c r="D3" s="1" t="str">
        <f>IF(ISNUMBER(SEARCH("__",B3)),MID(B3,FIND(":",B3)+1,FIND("__",B3)-FIND(":",B3)-1),MID(B3,FIND(":",B3)+1,7))</f>
        <v>3</v>
      </c>
      <c r="E3" s="17">
        <f t="shared" ref="E3" si="3">C3+6</f>
        <v>42</v>
      </c>
      <c r="F3" s="17">
        <f>2*E3-(2*D3)-2-((LEN(A3)-LEN(SUBSTITUTE(A3,"_O_","")))/LEN("_O_"))*2-((LEN(A3)-LEN(SUBSTITUTE(A3,"_CHO_","")))/LEN("_CHO_"))*2-((LEN(A3)-LEN(SUBSTITUTE(A3,"_COOH_","")))/LEN("_COOH_"))*2</f>
        <v>76</v>
      </c>
      <c r="G3" s="17">
        <v>1</v>
      </c>
      <c r="H3" s="17">
        <f>10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10</v>
      </c>
      <c r="I3" s="17">
        <v>1</v>
      </c>
      <c r="L3" s="19" t="str">
        <f t="shared" ref="L3" si="4">CONCATENATE("C",E3,"H",F3,"N",G3,"O",H3,"P",I3)</f>
        <v>C42H76N1O10P1</v>
      </c>
      <c r="M3" s="19">
        <f t="shared" ref="M3" si="5">(E3*12)+(F3*1.0078246)+(G3*14.003074)+(H3*15.994915)+(I3*30.973763)</f>
        <v>785.52065659999994</v>
      </c>
      <c r="N3" s="19">
        <f>M3+1.0078246-0.00055</f>
        <v>786.52793120000001</v>
      </c>
      <c r="O3" s="19">
        <f>N3-18.01057-0.00055</f>
        <v>768.51681120000001</v>
      </c>
      <c r="P3" s="19">
        <f>M3+18.03437-0.00055</f>
        <v>803.55447659999993</v>
      </c>
      <c r="Q3" s="19">
        <f>M3+22.98977-0.00055</f>
        <v>808.50987659999998</v>
      </c>
      <c r="R3" s="19">
        <f>M3+38.96371-0.00055</f>
        <v>824.48381659999995</v>
      </c>
      <c r="S3" s="19">
        <f>M3+7.01601-0.00055</f>
        <v>792.53611660000001</v>
      </c>
      <c r="T3" s="19">
        <f>M3-1.0078246+0.00055</f>
        <v>784.51338199999987</v>
      </c>
      <c r="U3" s="19">
        <f>M3+44.99767+0.00055</f>
        <v>830.51887659999989</v>
      </c>
      <c r="V3" s="19">
        <f>M3+59.01332+0.00055</f>
        <v>844.53452659999994</v>
      </c>
    </row>
    <row r="4" spans="1:24" x14ac:dyDescent="0.25">
      <c r="A4" s="17" t="s">
        <v>100</v>
      </c>
      <c r="B4" s="17" t="str">
        <f>IF(ISNUMBER(SEARCH("(",A4)),IF(ISNUMBER(SEARCH("/",A4)),CONCATENATE(MID(A4,1,2)," ",(SUM(MID(A4,FIND("(",A4)+1,FIND(":",A4)-FIND("(",A4)-1),MID(A4,FIND("/",A4)+1,FIND(":",A4,FIND("/",A4))-FIND("/",A4)-1))),":",SUM(MID(A4,FIND(":",A4)+1,FIND("/",A4)-FIND(":",A4)-1),MID(A4,FIND(":",A4,FIND("/",A4))+1,FIND(")",A4)-FIND(":",A4,FIND("/",A4))-1)),MID(A4,(FIND(")",A4)+1),100)),CONCATENATE(MID(A4,1,2)," ",(SUM(MID(A4,FIND("(",A4)+1,FIND(":",A4)-FIND("(",A4)-1),MID(A4,FIND("_",A4)+1,FIND(":",A4,FIND("_",A4))-FIND("_",A4)-1))),":",SUM(MID(A4,FIND(":",A4)+1,FIND("_",A4)-FIND(":",A4)-1),MID(A4,FIND(":",A4,FIND("_",A4))+1,FIND(")",A4)-FIND(":",A4,FIND("_",A4))-1)),MID(A4,(FIND(")",A4)+1),100))),A4)</f>
        <v>PS 34:3</v>
      </c>
      <c r="C4" s="1" t="str">
        <f>MID(B4,4,FIND(":",B4)-FIND(" ",B4)-1)</f>
        <v>34</v>
      </c>
      <c r="D4" s="1" t="str">
        <f>IF(ISNUMBER(SEARCH("__",B4)),MID(B4,FIND(":",B4)+1,FIND("__",B4)-FIND(":",B4)-1),MID(B4,FIND(":",B4)+1,7))</f>
        <v>3</v>
      </c>
      <c r="E4" s="17">
        <f t="shared" ref="E4" si="6">C4+6</f>
        <v>40</v>
      </c>
      <c r="F4" s="17">
        <f>2*E4-(2*D4)-2-((LEN(A4)-LEN(SUBSTITUTE(A4,"_O_","")))/LEN("_O_"))*2-((LEN(A4)-LEN(SUBSTITUTE(A4,"_CHO_","")))/LEN("_CHO_"))*2-((LEN(A4)-LEN(SUBSTITUTE(A4,"_COOH_","")))/LEN("_COOH_"))*2</f>
        <v>72</v>
      </c>
      <c r="G4" s="17">
        <v>1</v>
      </c>
      <c r="H4" s="17">
        <f>10+((LEN(A4)-LEN(SUBSTITUTE(A4,"_OH_","")))/LEN("_OH_"))*1+((LEN(A4)-LEN(SUBSTITUTE(A4,"_OOH_","")))/LEN("_OOH_"))*2+((LEN(A4)-LEN(SUBSTITUTE(A4,"_O_","")))/LEN("_O_"))*1+((LEN(A4)-LEN(SUBSTITUTE(A4,"_CHO_","")))/LEN("_CHO_"))*1+((LEN(A4)-LEN(SUBSTITUTE(A4,"_COOH_","")))/LEN("_COOH_"))*2</f>
        <v>10</v>
      </c>
      <c r="I4" s="17">
        <v>1</v>
      </c>
      <c r="L4" s="19" t="str">
        <f t="shared" ref="L4" si="7">CONCATENATE("C",E4,"H",F4,"N",G4,"O",H4,"P",I4)</f>
        <v>C40H72N1O10P1</v>
      </c>
      <c r="M4" s="19">
        <f t="shared" ref="M4" si="8">(E4*12)+(F4*1.0078246)+(G4*14.003074)+(H4*15.994915)+(I4*30.973763)</f>
        <v>757.48935819999997</v>
      </c>
      <c r="N4" s="19">
        <f>M4+1.0078246-0.00055</f>
        <v>758.49663280000004</v>
      </c>
      <c r="O4" s="19">
        <f>N4-18.01057-0.00055</f>
        <v>740.48551280000004</v>
      </c>
      <c r="P4" s="19">
        <f>M4+18.03437-0.00055</f>
        <v>775.52317819999996</v>
      </c>
      <c r="Q4" s="19">
        <f>M4+22.98977-0.00055</f>
        <v>780.47857820000002</v>
      </c>
      <c r="R4" s="19">
        <f>M4+38.96371-0.00055</f>
        <v>796.45251819999999</v>
      </c>
      <c r="S4" s="19">
        <f>M4+7.01601-0.00055</f>
        <v>764.50481820000005</v>
      </c>
      <c r="T4" s="19">
        <f>M4-1.0078246+0.00055</f>
        <v>756.4820835999999</v>
      </c>
      <c r="U4" s="19">
        <f>M4+44.99767+0.00055</f>
        <v>802.48757819999992</v>
      </c>
      <c r="V4" s="19">
        <f>M4+59.01332+0.00055</f>
        <v>816.50322819999997</v>
      </c>
    </row>
    <row r="6" spans="1:24" x14ac:dyDescent="0.25">
      <c r="A6" s="17" t="s">
        <v>447</v>
      </c>
      <c r="B6" s="17" t="str">
        <f>IF(ISNUMBER(SEARCH("(",A6)),IF(ISNUMBER(SEARCH("/",A6)),CONCATENATE(MID(A6,1,2)," ",(SUM(MID(A6,FIND("(",A6)+1,FIND(":",A6)-FIND("(",A6)-1),MID(A6,FIND("/",A6)+1,FIND(":",A6,FIND("/",A6))-FIND("/",A6)-1))),":",SUM(MID(A6,FIND(":",A6)+1,FIND("/",A6)-FIND(":",A6)-1),MID(A6,FIND(":",A6,FIND("/",A6))+1,FIND(")",A6)-FIND(":",A6,FIND("/",A6))-1)),MID(A6,(FIND(")",A6)+1),100)),CONCATENATE(MID(A6,1,2)," ",(SUM(MID(A6,FIND("(",A6)+1,FIND(":",A6)-FIND("(",A6)-1),MID(A6,FIND("_",A6)+1,FIND(":",A6,FIND("_",A6))-FIND("_",A6)-1))),":",SUM(MID(A6,FIND(":",A6)+1,FIND("_",A6)-FIND(":",A6)-1),MID(A6,FIND(":",A6,FIND("_",A6))+1,FIND(")",A6)-FIND(":",A6,FIND("_",A6))-1)),MID(A6,(FIND(")",A6)+1),100))),A6)</f>
        <v>PS 24:0</v>
      </c>
      <c r="C6" s="1" t="str">
        <f>MID(B6,4,FIND(":",B6)-FIND(" ",B6)-1)</f>
        <v>24</v>
      </c>
      <c r="D6" s="1" t="str">
        <f>IF(ISNUMBER(SEARCH("__",B6)),MID(B6,FIND(":",B6)+1,FIND("__",B6)-FIND(":",B6)-1),MID(B6,FIND(":",B6)+1,7))</f>
        <v>0</v>
      </c>
      <c r="E6" s="17">
        <f t="shared" ref="E6:E7" si="9">C6+6</f>
        <v>30</v>
      </c>
      <c r="F6" s="17">
        <f>2*E6-(2*D6)-2-((LEN(A6)-LEN(SUBSTITUTE(A6,"_O_","")))/LEN("_O_"))*2-((LEN(A6)-LEN(SUBSTITUTE(A6,"_CHO_","")))/LEN("_CHO_"))*2-((LEN(A6)-LEN(SUBSTITUTE(A6,"_COOH_","")))/LEN("_COOH_"))*2</f>
        <v>58</v>
      </c>
      <c r="G6" s="17">
        <v>1</v>
      </c>
      <c r="H6" s="17">
        <f>10+((LEN(A6)-LEN(SUBSTITUTE(A6,"_OH_","")))/LEN("_OH_"))*1+((LEN(A6)-LEN(SUBSTITUTE(A6,"_OOH_","")))/LEN("_OOH_"))*2+((LEN(A6)-LEN(SUBSTITUTE(A6,"_O_","")))/LEN("_O_"))*1+((LEN(A6)-LEN(SUBSTITUTE(A6,"_CHO_","")))/LEN("_CHO_"))*1+((LEN(A6)-LEN(SUBSTITUTE(A6,"_COOH_","")))/LEN("_COOH_"))*2</f>
        <v>10</v>
      </c>
      <c r="I6" s="17">
        <v>1</v>
      </c>
      <c r="L6" s="19" t="str">
        <f t="shared" ref="L6:L7" si="10">CONCATENATE("C",E6,"H",F6,"N",G6,"O",H6,"P",I6)</f>
        <v>C30H58N1O10P1</v>
      </c>
      <c r="M6" s="19">
        <f t="shared" ref="M6:M7" si="11">(E6*12)+(F6*1.0078246)+(G6*14.003074)+(H6*15.994915)+(I6*30.973763)</f>
        <v>623.37981379999997</v>
      </c>
      <c r="N6" s="19">
        <f>M6+1.0078246-0.00055</f>
        <v>624.38708840000004</v>
      </c>
      <c r="O6" s="19">
        <f>N6-18.01057-0.00055</f>
        <v>606.37596840000003</v>
      </c>
      <c r="P6" s="19">
        <f>M6+18.03437-0.00055</f>
        <v>641.41363379999996</v>
      </c>
      <c r="Q6" s="19">
        <f>M6+22.98977-0.00055</f>
        <v>646.36903380000001</v>
      </c>
      <c r="R6" s="19">
        <f>M6+38.96371-0.00055</f>
        <v>662.34297379999998</v>
      </c>
      <c r="S6" s="19">
        <f>M6+7.01601-0.00055</f>
        <v>630.39527380000004</v>
      </c>
      <c r="T6" s="19">
        <f>M6-1.0078246+0.00055</f>
        <v>622.37253919999989</v>
      </c>
      <c r="U6" s="19">
        <f>M6+44.99767+0.00055</f>
        <v>668.37803379999991</v>
      </c>
      <c r="V6" s="19">
        <f>M6+59.01332+0.00055</f>
        <v>682.39368379999996</v>
      </c>
    </row>
    <row r="7" spans="1:24" x14ac:dyDescent="0.25">
      <c r="A7" s="17" t="s">
        <v>650</v>
      </c>
      <c r="B7" s="17" t="str">
        <f>IF(ISNUMBER(SEARCH("(",A7)),IF(ISNUMBER(SEARCH("/",A7)),CONCATENATE(MID(A7,1,2)," ",(SUM(MID(A7,FIND("(",A7)+1,FIND(":",A7)-FIND("(",A7)-1),MID(A7,FIND("/",A7)+1,FIND(":",A7,FIND("/",A7))-FIND("/",A7)-1))),":",SUM(MID(A7,FIND(":",A7)+1,FIND("/",A7)-FIND(":",A7)-1),MID(A7,FIND(":",A7,FIND("/",A7))+1,FIND(")",A7)-FIND(":",A7,FIND("/",A7))-1)),MID(A7,(FIND(")",A7)+1),100)),CONCATENATE(MID(A7,1,2)," ",(SUM(MID(A7,FIND("(",A7)+1,FIND(":",A7)-FIND("(",A7)-1),MID(A7,FIND("_",A7)+1,FIND(":",A7,FIND("_",A7))-FIND("_",A7)-1))),":",SUM(MID(A7,FIND(":",A7)+1,FIND("_",A7)-FIND(":",A7)-1),MID(A7,FIND(":",A7,FIND("_",A7))+1,FIND(")",A7)-FIND(":",A7,FIND("_",A7))-1)),MID(A7,(FIND(")",A7)+1),100))),A7)</f>
        <v>PS 36:2</v>
      </c>
      <c r="C7" s="1" t="str">
        <f>MID(B7,4,FIND(":",B7)-FIND(" ",B7)-1)</f>
        <v>36</v>
      </c>
      <c r="D7" s="1" t="str">
        <f>IF(ISNUMBER(SEARCH("__",B7)),MID(B7,FIND(":",B7)+1,FIND("__",B7)-FIND(":",B7)-1),MID(B7,FIND(":",B7)+1,7))</f>
        <v>2</v>
      </c>
      <c r="E7" s="17">
        <f t="shared" si="9"/>
        <v>42</v>
      </c>
      <c r="F7" s="17">
        <f>2*E7-(2*D7)-2-((LEN(A7)-LEN(SUBSTITUTE(A7,"_O_","")))/LEN("_O_"))*2-((LEN(A7)-LEN(SUBSTITUTE(A7,"_CHO_","")))/LEN("_CHO_"))*2-((LEN(A7)-LEN(SUBSTITUTE(A7,"_COOH_","")))/LEN("_COOH_"))*2</f>
        <v>78</v>
      </c>
      <c r="G7" s="17">
        <v>1</v>
      </c>
      <c r="H7" s="17">
        <f>10+((LEN(A7)-LEN(SUBSTITUTE(A7,"_OH_","")))/LEN("_OH_"))*1+((LEN(A7)-LEN(SUBSTITUTE(A7,"_OOH_","")))/LEN("_OOH_"))*2+((LEN(A7)-LEN(SUBSTITUTE(A7,"_O_","")))/LEN("_O_"))*1+((LEN(A7)-LEN(SUBSTITUTE(A7,"_CHO_","")))/LEN("_CHO_"))*1+((LEN(A7)-LEN(SUBSTITUTE(A7,"_COOH_","")))/LEN("_COOH_"))*2</f>
        <v>10</v>
      </c>
      <c r="I7" s="17">
        <v>1</v>
      </c>
      <c r="L7" s="19" t="str">
        <f t="shared" si="10"/>
        <v>C42H78N1O10P1</v>
      </c>
      <c r="M7" s="19">
        <f t="shared" si="11"/>
        <v>787.53630579999992</v>
      </c>
      <c r="N7" s="19">
        <f>M7+1.0078246-0.00055</f>
        <v>788.5435804</v>
      </c>
      <c r="O7" s="19">
        <f>N7-18.01057-0.00055</f>
        <v>770.53246039999999</v>
      </c>
      <c r="P7" s="19">
        <f>M7+18.03437-0.00055</f>
        <v>805.57012579999991</v>
      </c>
      <c r="Q7" s="19">
        <f>M7+22.98977-0.00055</f>
        <v>810.52552579999997</v>
      </c>
      <c r="R7" s="19">
        <f>M7+38.96371-0.00055</f>
        <v>826.49946579999994</v>
      </c>
      <c r="S7" s="19">
        <f>M7+7.01601-0.00055</f>
        <v>794.5517658</v>
      </c>
      <c r="T7" s="19">
        <f>M7-1.0078246+0.00055</f>
        <v>786.52903119999985</v>
      </c>
      <c r="U7" s="19">
        <f>M7+44.99767+0.00055</f>
        <v>832.53452579999987</v>
      </c>
      <c r="V7" s="19">
        <f>M7+59.01332+0.00055</f>
        <v>846.55017579999992</v>
      </c>
    </row>
  </sheetData>
  <sortState ref="A2:R27">
    <sortCondition ref="A2:A27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88C11-4099-4FE6-A26A-279431BB7D06}">
  <sheetPr codeName="Sheet37"/>
  <dimension ref="A1:X4"/>
  <sheetViews>
    <sheetView showGridLines="0" showRowColHeaders="0" workbookViewId="0">
      <pane xSplit="1" ySplit="2" topLeftCell="B3" activePane="bottomRight" state="frozen"/>
      <selection pane="topRight"/>
      <selection pane="bottomLeft"/>
      <selection pane="bottomRight" activeCell="P25" sqref="P25"/>
    </sheetView>
  </sheetViews>
  <sheetFormatPr defaultColWidth="9.140625" defaultRowHeight="15.75" x14ac:dyDescent="0.25"/>
  <cols>
    <col min="1" max="1" width="48.7109375" style="17" customWidth="1"/>
    <col min="2" max="2" width="32.7109375" style="17" customWidth="1"/>
    <col min="3" max="3" width="3.85546875" style="17" hidden="1" customWidth="1"/>
    <col min="4" max="4" width="2.5703125" style="17" hidden="1" customWidth="1"/>
    <col min="5" max="6" width="10.85546875" style="17" hidden="1" customWidth="1"/>
    <col min="7" max="9" width="9.5703125" style="17" hidden="1" customWidth="1"/>
    <col min="10" max="11" width="9.140625" style="17" hidden="1" customWidth="1"/>
    <col min="12" max="12" width="20.7109375" style="19" customWidth="1"/>
    <col min="13" max="22" width="16.7109375" style="19" customWidth="1"/>
    <col min="23" max="23" width="14.42578125" style="17" bestFit="1" customWidth="1"/>
    <col min="24" max="24" width="15.42578125" style="17" bestFit="1" customWidth="1"/>
    <col min="25" max="16384" width="9.140625" style="52"/>
  </cols>
  <sheetData>
    <row r="1" spans="1:24" s="28" customFormat="1" x14ac:dyDescent="0.25">
      <c r="A1" s="27" t="s">
        <v>59</v>
      </c>
      <c r="B1" s="27" t="s">
        <v>5</v>
      </c>
      <c r="C1" s="27"/>
      <c r="D1" s="27"/>
      <c r="E1" s="27" t="s">
        <v>0</v>
      </c>
      <c r="F1" s="27" t="s">
        <v>1</v>
      </c>
      <c r="G1" s="27" t="s">
        <v>8</v>
      </c>
      <c r="H1" s="27" t="s">
        <v>2</v>
      </c>
      <c r="I1" s="27" t="s">
        <v>9</v>
      </c>
      <c r="J1" s="27"/>
      <c r="K1" s="27"/>
      <c r="L1" s="29" t="s">
        <v>14</v>
      </c>
      <c r="M1" s="29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  <c r="W1" s="27"/>
      <c r="X1" s="27"/>
    </row>
    <row r="2" spans="1:24" hidden="1" x14ac:dyDescent="0.25">
      <c r="A2" s="17" t="s">
        <v>95</v>
      </c>
      <c r="B2" s="17" t="str">
        <f>IF(ISNUMBER(SEARCH("(",A2)),IF(ISNUMBER(SEARCH("/",A2)),CONCATENATE(MID(A2,1,3)," ",(SUM(MID(A2,FIND("(",A2)+1,FIND(":",A2)-FIND("(",A2)-1),MID(A2,FIND("/",A2)+1,FIND(":",A2,FIND("/",A2))-FIND("/",A2)-1))),":",SUM(MID(A2,FIND(":",A2)+1,FIND("/",A2)-FIND(":",A2)-1),MID(A2,FIND(":",A2,FIND("/",A2))+1,FIND(")",A2)-FIND(":",A2,FIND("/",A2))-1)),MID(A2,(FIND(")",A2)+1),100)),CONCATENATE(MID(A2,1,3)," ",(SUM(MID(A2,FIND("(",A2)+1,FIND(":",A2)-FIND("(",A2)-1),MID(A2,FIND("_",A2)+1,FIND(":",A2,FIND("_",A2))-FIND("_",A2)-1))),":",SUM(MID(A2,FIND(":",A2)+1,FIND("_",A2)-FIND(":",A2)-1),MID(A2,FIND(":",A2,FIND("_",A2))+1,FIND(")",A2)-FIND(":",A2,FIND("_",A2))-1)),MID(A2,(FIND(")",A2)+1),100))),A2)</f>
        <v>PMe 38:0</v>
      </c>
      <c r="C2" s="1" t="str">
        <f>MID(B2,5,FIND(":",B2)-FIND(" ",B2)-1)</f>
        <v>38</v>
      </c>
      <c r="D2" s="1" t="str">
        <f>IF(ISNUMBER(SEARCH("__",B2)),MID(B2,FIND(":",B2)+1,FIND("__",B2)-FIND(":",B2)-1),MID(B2,FIND(":",B2)+1,7))</f>
        <v>0</v>
      </c>
      <c r="E2" s="17">
        <f>C2+4</f>
        <v>42</v>
      </c>
      <c r="F2" s="17">
        <f>2*E2-(2*D2)-1-((LEN(A2)-LEN(SUBSTITUTE(A2,"_O_","")))/LEN("_O_"))*2-((LEN(A2)-LEN(SUBSTITUTE(A2,"_CHO_","")))/LEN("_CHO_"))*2-((LEN(A2)-LEN(SUBSTITUTE(A2,"_COOH_","")))/LEN("_COOH_"))*2</f>
        <v>83</v>
      </c>
      <c r="G2" s="17">
        <v>0</v>
      </c>
      <c r="H2" s="17">
        <f>8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8</v>
      </c>
      <c r="I2" s="17">
        <v>1</v>
      </c>
      <c r="L2" s="19" t="str">
        <f>CONCATENATE("C",E2,"H",F2,"O",H2,"P",I2)</f>
        <v>C42H83O8P1</v>
      </c>
      <c r="M2" s="19">
        <f>(E2*12)+(F2*1.0078246)+(G2*14.003074)+(H2*15.994915)+(I2*30.973763)</f>
        <v>746.58252479999999</v>
      </c>
      <c r="N2" s="19">
        <f>M2+1.0078246-0.00055</f>
        <v>747.58979940000006</v>
      </c>
      <c r="O2" s="19">
        <f>N2-18.01057-0.00055</f>
        <v>729.57867940000006</v>
      </c>
      <c r="P2" s="19">
        <f>M2+18.03437-0.00055</f>
        <v>764.61634479999998</v>
      </c>
      <c r="Q2" s="19">
        <f>M2+22.98977-0.00055</f>
        <v>769.57174480000003</v>
      </c>
      <c r="R2" s="19">
        <f>M2+38.96371-0.00055</f>
        <v>785.5456848</v>
      </c>
      <c r="S2" s="19">
        <f>M2+7.01601-0.00055</f>
        <v>753.59798480000006</v>
      </c>
      <c r="T2" s="19">
        <f>M2-1.0078246+0.00055</f>
        <v>745.57525019999991</v>
      </c>
      <c r="U2" s="19">
        <f>M2+44.99767+0.00055</f>
        <v>791.58074479999993</v>
      </c>
      <c r="V2" s="19">
        <f>M2+59.01332+0.00055</f>
        <v>805.59639479999998</v>
      </c>
    </row>
    <row r="3" spans="1:24" x14ac:dyDescent="0.25">
      <c r="A3" s="17" t="s">
        <v>15</v>
      </c>
      <c r="B3" s="17" t="str">
        <f>IF(ISNUMBER(SEARCH("(",A3)),IF(ISNUMBER(SEARCH("/",A3)),CONCATENATE(MID(A3,1,3)," ",(SUM(MID(A3,FIND("(",A3)+1,FIND(":",A3)-FIND("(",A3)-1),MID(A3,FIND("/",A3)+1,FIND(":",A3,FIND("/",A3))-FIND("/",A3)-1))),":",SUM(MID(A3,FIND(":",A3)+1,FIND("/",A3)-FIND(":",A3)-1),MID(A3,FIND(":",A3,FIND("/",A3))+1,FIND(")",A3)-FIND(":",A3,FIND("/",A3))-1)),MID(A3,(FIND(")",A3)+1),100)),CONCATENATE(MID(A3,1,3)," ",(SUM(MID(A3,FIND("(",A3)+1,FIND(":",A3)-FIND("(",A3)-1),MID(A3,FIND("_",A3)+1,FIND(":",A3,FIND("_",A3))-FIND("_",A3)-1))),":",SUM(MID(A3,FIND(":",A3)+1,FIND("_",A3)-FIND(":",A3)-1),MID(A3,FIND(":",A3,FIND("_",A3))+1,FIND(")",A3)-FIND(":",A3,FIND("_",A3))-1)),MID(A3,(FIND(")",A3)+1),100))),A3)</f>
        <v>PMe 34:1</v>
      </c>
      <c r="C3" s="1" t="str">
        <f>MID(B3,5,FIND(":",B3)-FIND(" ",B3)-1)</f>
        <v>34</v>
      </c>
      <c r="D3" s="1" t="str">
        <f>IF(ISNUMBER(SEARCH("__",B3)),MID(B3,FIND(":",B3)+1,FIND("__",B3)-FIND(":",B3)-1),MID(B3,FIND(":",B3)+1,7))</f>
        <v>1</v>
      </c>
      <c r="E3" s="17">
        <f>C3+4</f>
        <v>38</v>
      </c>
      <c r="F3" s="17">
        <f>2*E3-(2*D3)-1-((LEN(A3)-LEN(SUBSTITUTE(A3,"_O_","")))/LEN("_O_"))*2-((LEN(A3)-LEN(SUBSTITUTE(A3,"_CHO_","")))/LEN("_CHO_"))*2-((LEN(A3)-LEN(SUBSTITUTE(A3,"_COOH_","")))/LEN("_COOH_"))*2</f>
        <v>73</v>
      </c>
      <c r="G3" s="17">
        <v>0</v>
      </c>
      <c r="H3" s="17">
        <f>8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8</v>
      </c>
      <c r="I3" s="17">
        <v>1</v>
      </c>
      <c r="L3" s="19" t="str">
        <f>CONCATENATE("C",E3,"H",F3,"O",H3,"P",I3)</f>
        <v>C38H73O8P1</v>
      </c>
      <c r="M3" s="19">
        <f>(E3*12)+(F3*1.0078246)+(G3*14.003074)+(H3*15.994915)+(I3*30.973763)</f>
        <v>688.50427879999995</v>
      </c>
      <c r="N3" s="19">
        <f>M3+1.0078246-0.00055</f>
        <v>689.51155340000003</v>
      </c>
      <c r="O3" s="19">
        <f>N3-18.01057-0.00055</f>
        <v>671.50043340000002</v>
      </c>
      <c r="P3" s="19">
        <f>M3+18.03437-0.00055</f>
        <v>706.53809879999994</v>
      </c>
      <c r="Q3" s="19">
        <f>M3+22.98977-0.00055</f>
        <v>711.4934988</v>
      </c>
      <c r="R3" s="19">
        <f>M3+38.96371-0.00055</f>
        <v>727.46743879999997</v>
      </c>
      <c r="S3" s="19">
        <f>M3+7.01601-0.00055</f>
        <v>695.51973880000003</v>
      </c>
      <c r="T3" s="19">
        <f>M3-1.0078246+0.00055</f>
        <v>687.49700419999988</v>
      </c>
      <c r="U3" s="19">
        <f>M3+44.99767+0.00055</f>
        <v>733.5024987999999</v>
      </c>
      <c r="V3" s="19">
        <f>M3+59.01332+0.00055</f>
        <v>747.51814879999995</v>
      </c>
    </row>
    <row r="4" spans="1:24" x14ac:dyDescent="0.25">
      <c r="A4" s="17" t="s">
        <v>109</v>
      </c>
      <c r="B4" s="17" t="str">
        <f>IF(ISNUMBER(SEARCH("(",A4)),IF(ISNUMBER(SEARCH("/",A4)),CONCATENATE(MID(A4,1,3)," ",(SUM(MID(A4,FIND("(",A4)+1,FIND(":",A4)-FIND("(",A4)-1),MID(A4,FIND("/",A4)+1,FIND(":",A4,FIND("/",A4))-FIND("/",A4)-1))),":",SUM(MID(A4,FIND(":",A4)+1,FIND("/",A4)-FIND(":",A4)-1),MID(A4,FIND(":",A4,FIND("/",A4))+1,FIND(")",A4)-FIND(":",A4,FIND("/",A4))-1)),MID(A4,(FIND(")",A4)+1),100)),CONCATENATE(MID(A4,1,3)," ",(SUM(MID(A4,FIND("(",A4)+1,FIND(":",A4)-FIND("(",A4)-1),MID(A4,FIND("_",A4)+1,FIND(":",A4,FIND("_",A4))-FIND("_",A4)-1))),":",SUM(MID(A4,FIND(":",A4)+1,FIND("_",A4)-FIND(":",A4)-1),MID(A4,FIND(":",A4,FIND("_",A4))+1,FIND(")",A4)-FIND(":",A4,FIND("_",A4))-1)),MID(A4,(FIND(")",A4)+1),100))),A4)</f>
        <v>PMe 36:3__COOH__</v>
      </c>
      <c r="C4" s="1" t="str">
        <f>MID(B4,5,FIND(":",B4)-FIND(" ",B4)-1)</f>
        <v>36</v>
      </c>
      <c r="D4" s="1" t="str">
        <f>IF(ISNUMBER(SEARCH("__",B4)),MID(B4,FIND(":",B4)+1,FIND("__",B4)-FIND(":",B4)-1),MID(B4,FIND(":",B4)+1,7))</f>
        <v>3</v>
      </c>
      <c r="E4" s="17">
        <f>C4+4</f>
        <v>40</v>
      </c>
      <c r="F4" s="17">
        <f>2*E4-(2*D4)-1-((LEN(A4)-LEN(SUBSTITUTE(A4,"_O_","")))/LEN("_O_"))*2-((LEN(A4)-LEN(SUBSTITUTE(A4,"_CHO_","")))/LEN("_CHO_"))*2-((LEN(A4)-LEN(SUBSTITUTE(A4,"_COOH_","")))/LEN("_COOH_"))*2</f>
        <v>71</v>
      </c>
      <c r="G4" s="17">
        <v>0</v>
      </c>
      <c r="H4" s="17">
        <f>8+((LEN(A4)-LEN(SUBSTITUTE(A4,"_OH_","")))/LEN("_OH_"))*1+((LEN(A4)-LEN(SUBSTITUTE(A4,"_OOH_","")))/LEN("_OOH_"))*2+((LEN(A4)-LEN(SUBSTITUTE(A4,"_O_","")))/LEN("_O_"))*1+((LEN(A4)-LEN(SUBSTITUTE(A4,"_CHO_","")))/LEN("_CHO_"))*1+((LEN(A4)-LEN(SUBSTITUTE(A4,"_COOH_","")))/LEN("_COOH_"))*2</f>
        <v>10</v>
      </c>
      <c r="I4" s="17">
        <v>1</v>
      </c>
      <c r="L4" s="19" t="str">
        <f>CONCATENATE("C",E4,"H",F4,"O",H4,"P",I4)</f>
        <v>C40H71O10P1</v>
      </c>
      <c r="M4" s="19">
        <f>(E4*12)+(F4*1.0078246)+(G4*14.003074)+(H4*15.994915)+(I4*30.973763)</f>
        <v>742.47845959999995</v>
      </c>
      <c r="N4" s="19">
        <f>M4+1.0078246-0.00055</f>
        <v>743.48573420000002</v>
      </c>
      <c r="O4" s="19">
        <f>N4-18.01057-0.00055</f>
        <v>725.47461420000002</v>
      </c>
      <c r="P4" s="19">
        <f>M4+18.03437-0.00055</f>
        <v>760.51227959999994</v>
      </c>
      <c r="Q4" s="19">
        <f>M4+22.98977-0.00055</f>
        <v>765.4676796</v>
      </c>
      <c r="R4" s="19">
        <f>M4+38.96371-0.00055</f>
        <v>781.44161959999997</v>
      </c>
      <c r="S4" s="19">
        <f>M4+7.01601-0.00055</f>
        <v>749.49391960000003</v>
      </c>
      <c r="T4" s="19">
        <f>M4-1.0078246+0.00055</f>
        <v>741.47118499999988</v>
      </c>
      <c r="U4" s="19">
        <f>M4+44.99767+0.00055</f>
        <v>787.4766795999999</v>
      </c>
      <c r="V4" s="19">
        <f>M4+59.01332+0.00055</f>
        <v>801.49232959999995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5"/>
  <dimension ref="A1:V10"/>
  <sheetViews>
    <sheetView showGridLines="0" zoomScaleNormal="100" workbookViewId="0">
      <pane xSplit="1" ySplit="2" topLeftCell="B3" activePane="bottomRight" state="frozen"/>
      <selection pane="topRight"/>
      <selection pane="bottomLeft"/>
      <selection pane="bottomRight" activeCell="B6" sqref="B6"/>
    </sheetView>
  </sheetViews>
  <sheetFormatPr defaultColWidth="9.140625" defaultRowHeight="15.75" x14ac:dyDescent="0.25"/>
  <cols>
    <col min="1" max="1" width="28.5703125" style="35" customWidth="1"/>
    <col min="2" max="2" width="23" style="33" customWidth="1"/>
    <col min="3" max="3" width="4.28515625" style="33" hidden="1" customWidth="1"/>
    <col min="4" max="5" width="4.140625" style="33" hidden="1" customWidth="1"/>
    <col min="6" max="6" width="4.28515625" style="33" hidden="1" customWidth="1"/>
    <col min="7" max="7" width="4.140625" style="33" hidden="1" customWidth="1"/>
    <col min="8" max="11" width="9.28515625" style="33" hidden="1" customWidth="1"/>
    <col min="12" max="12" width="20.7109375" style="36" customWidth="1"/>
    <col min="13" max="22" width="16.7109375" style="36" customWidth="1"/>
    <col min="23" max="16384" width="9.140625" style="34"/>
  </cols>
  <sheetData>
    <row r="1" spans="1:22" s="28" customFormat="1" x14ac:dyDescent="0.25">
      <c r="A1" s="24" t="s">
        <v>59</v>
      </c>
      <c r="B1" s="25" t="s">
        <v>5</v>
      </c>
      <c r="C1" s="25"/>
      <c r="D1" s="25"/>
      <c r="E1" s="25"/>
      <c r="F1" s="25"/>
      <c r="G1" s="25" t="s">
        <v>0</v>
      </c>
      <c r="H1" s="25" t="s">
        <v>1</v>
      </c>
      <c r="I1" s="25" t="s">
        <v>8</v>
      </c>
      <c r="J1" s="25" t="s">
        <v>2</v>
      </c>
      <c r="K1" s="25" t="s">
        <v>9</v>
      </c>
      <c r="L1" s="26" t="s">
        <v>14</v>
      </c>
      <c r="M1" s="26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</row>
    <row r="2" spans="1:22" hidden="1" x14ac:dyDescent="0.25">
      <c r="A2" s="32" t="s">
        <v>101</v>
      </c>
      <c r="B2" s="17" t="str">
        <f>IF(ISNUMBER(SEARCH("(",A2)),IF(ISNUMBER(SEARCH("/",A2)),CONCATENATE(MID(A2,1,2)," ",MID(A2,4,2),SUM(MID(A2,FIND("(",A2)+3,(FIND(":",A2)-(FIND("-",A2)+1))),MID(A2,FIND("/",A2)+1,(FIND(":",A2,FIND("/",A2))-FIND("/",A2)-1))),":",SUM(MID(A2,FIND(":",A2)+1,FIND("/",A2)-(FIND(":",A2)+1)),MID(A2,FIND(":",A2,FIND("/",A2))+1,FIND(")",A2)-FIND(":",A2,FIND("/",A2))-1))," ",MID(A2,(FIND(")",A2)+1),100)),CONCATENATE(MID(A2,1,2)," ",MID(A2,4,2),SUM(MID(A2,FIND("(",A2)+3,(FIND(":",A2)-(FIND("-",A2)+1))),MID(A2,FIND("_",A2)+1,(FIND(":",A2,FIND("_",A2))-FIND("_",A2)-1))),":",SUM(MID(A2,FIND(":",A2)+1,FIND("_",A2)-(FIND(":",A2)+1)),MID(A2,FIND(":",A2,FIND("_",A2))+1,FIND(")",A2)-FIND(":",A2,FIND("_",A2))-1))," ",MID(A2,(FIND(")",A2)+1),100))),A2)</f>
        <v>PE P-19:2</v>
      </c>
      <c r="C2" s="33" t="str">
        <f>MID(B2,6,FIND(":",B2)-FIND("-",B2)-1)</f>
        <v>19</v>
      </c>
      <c r="D2" s="33" t="str">
        <f>IF(ISNUMBER(VALUE(MID(B2,FIND(":",B2)+1,2))),MID(B2,FIND(":",B2)+1,2),MID(B2,FIND(":",B2)+1,1))</f>
        <v>2</v>
      </c>
      <c r="E2" s="33" t="str">
        <f>IF(ISERROR(FIND("O-",A2)),IF(ISERROR(FIND("P-",A2)),"","P-"),"O-")</f>
        <v>P-</v>
      </c>
      <c r="G2" s="33">
        <f>C2+5</f>
        <v>24</v>
      </c>
      <c r="H2" s="33">
        <f>2*G2-(2*D2)+2*COUNTIF(E2,"*O-*")-((LEN(A2)-LEN(SUBSTITUTE(A2,"_O_","")))/LEN("_O_"))*2-((LEN(A2)-LEN(SUBSTITUTE(A2,"_CHO_","")))/LEN("_CHO_"))*2-((LEN(A2)-LEN(SUBSTITUTE(A2,"_COOH_","")))/LEN("_COOH_"))*2</f>
        <v>44</v>
      </c>
      <c r="I2" s="33">
        <v>1</v>
      </c>
      <c r="J2" s="33">
        <f>7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7</v>
      </c>
      <c r="K2" s="33">
        <v>1</v>
      </c>
      <c r="L2" s="23" t="str">
        <f>IF(ISERROR(FIND("O-",A2)),IF(ISERROR(FIND("P-",A2)),"",CONCATENATE("C",G2,"H",H2,"N",I2,"O",J2,"P",K2)),CONCATENATE("C",G2,"H",H2,"N",I2,"O",J2,"P",K2))</f>
        <v>C24H44N1O7P1</v>
      </c>
      <c r="M2" s="23">
        <f>IF(ISERROR(FIND("O-",A2)),IF(ISERROR(FIND("P-",A2)),"",(G2*12)+(H2*1.0078246)+(I2*14.003074)+(J2*15.994915)+(K2*30.973763)),(G2*12)+(H2*1.0078246)+(I2*14.003074)+(J2*15.994915)+(K2*30.973763))</f>
        <v>489.28552440000004</v>
      </c>
      <c r="N2" s="23">
        <f>M2+1.0078246-0.00055</f>
        <v>490.29279900000006</v>
      </c>
      <c r="O2" s="23">
        <f>N2-18.01057-0.00055</f>
        <v>472.28167900000005</v>
      </c>
      <c r="P2" s="23">
        <f>M2+18.03437-0.00055</f>
        <v>507.31934440000009</v>
      </c>
      <c r="Q2" s="23">
        <f>M2+22.98977-0.00055</f>
        <v>512.27474440000003</v>
      </c>
      <c r="R2" s="23">
        <f>M2+38.96371-0.00055</f>
        <v>528.24868440000012</v>
      </c>
      <c r="S2" s="23">
        <f>M2+7.01601-0.00055</f>
        <v>496.30098440000006</v>
      </c>
      <c r="T2" s="23">
        <f>M2-1.0078246+0.00055</f>
        <v>488.27824980000003</v>
      </c>
      <c r="U2" s="23">
        <f>M2+44.99767+0.00055</f>
        <v>534.28374440000005</v>
      </c>
      <c r="V2" s="23">
        <f>M2+59.01332+0.00055</f>
        <v>548.29939439999998</v>
      </c>
    </row>
    <row r="3" spans="1:22" x14ac:dyDescent="0.25">
      <c r="A3" s="32" t="s">
        <v>102</v>
      </c>
      <c r="B3" s="17" t="str">
        <f>IF(ISNUMBER(SEARCH("(",A3)),IF(ISNUMBER(SEARCH("/",A3)),CONCATENATE(MID(A3,1,2)," ",MID(A3,4,2),SUM(MID(A3,FIND("(",A3)+3,(FIND(":",A3)-(FIND("-",A3)+1))),MID(A3,FIND("/",A3)+1,(FIND(":",A3,FIND("/",A3))-FIND("/",A3)-1))),":",SUM(MID(A3,FIND(":",A3)+1,FIND("/",A3)-(FIND(":",A3)+1)),MID(A3,FIND(":",A3,FIND("/",A3))+1,FIND(")",A3)-FIND(":",A3,FIND("/",A3))-1))," ",MID(A3,(FIND(")",A3)+1),100)),CONCATENATE(MID(A3,1,2)," ",MID(A3,4,2),SUM(MID(A3,FIND("(",A3)+3,(FIND(":",A3)-(FIND("-",A3)+1))),MID(A3,FIND("_",A3)+1,(FIND(":",A3,FIND("_",A3))-FIND("_",A3)-1))),":",SUM(MID(A3,FIND(":",A3)+1,FIND("_",A3)-(FIND(":",A3)+1)),MID(A3,FIND(":",A3,FIND("_",A3))+1,FIND(")",A3)-FIND(":",A3,FIND("_",A3))-1))," ",MID(A3,(FIND(")",A3)+1),100))),A3)</f>
        <v xml:space="preserve">PE P-34:1 </v>
      </c>
      <c r="C3" s="33" t="str">
        <f>MID(B3,6,FIND(":",B3)-FIND("-",B3)-1)</f>
        <v>34</v>
      </c>
      <c r="D3" s="33" t="str">
        <f>IF(ISNUMBER(VALUE(MID(B3,FIND(":",B3)+1,2))),MID(B3,FIND(":",B3)+1,2),MID(B3,FIND(":",B3)+1,1))</f>
        <v xml:space="preserve">1 </v>
      </c>
      <c r="E3" s="33" t="str">
        <f>IF(ISERROR(FIND("O-",A3)),IF(ISERROR(FIND("P-",A3)),"","P-"),"O-")</f>
        <v>P-</v>
      </c>
      <c r="G3" s="33">
        <f>C3+5</f>
        <v>39</v>
      </c>
      <c r="H3" s="33">
        <f>2*G3-(2*D3)+2*COUNTIF(E3,"*O-*")-((LEN(A3)-LEN(SUBSTITUTE(A3,"_O_","")))/LEN("_O_"))*2-((LEN(A3)-LEN(SUBSTITUTE(A3,"_CHO_","")))/LEN("_CHO_"))*2-((LEN(A3)-LEN(SUBSTITUTE(A3,"_COOH_","")))/LEN("_COOH_"))*2</f>
        <v>76</v>
      </c>
      <c r="I3" s="33">
        <v>1</v>
      </c>
      <c r="J3" s="33">
        <f>7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7</v>
      </c>
      <c r="K3" s="33">
        <v>1</v>
      </c>
      <c r="L3" s="23" t="str">
        <f>IF(ISERROR(FIND("O-",A3)),IF(ISERROR(FIND("P-",A3)),"",CONCATENATE("C",G3,"H",H3,"N",I3,"O",J3,"P",K3)),CONCATENATE("C",G3,"H",H3,"N",I3,"O",J3,"P",K3))</f>
        <v>C39H76N1O7P1</v>
      </c>
      <c r="M3" s="23">
        <f>IF(ISERROR(FIND("O-",A3)),IF(ISERROR(FIND("P-",A3)),"",(G3*12)+(H3*1.0078246)+(I3*14.003074)+(J3*15.994915)+(K3*30.973763)),(G3*12)+(H3*1.0078246)+(I3*14.003074)+(J3*15.994915)+(K3*30.973763))</f>
        <v>701.53591159999996</v>
      </c>
      <c r="N3" s="23">
        <f>M3+1.0078246-0.00055</f>
        <v>702.54318620000004</v>
      </c>
      <c r="O3" s="23">
        <f>N3-18.01057-0.00055</f>
        <v>684.53206620000003</v>
      </c>
      <c r="P3" s="23">
        <f>M3+18.03437-0.00055</f>
        <v>719.56973159999995</v>
      </c>
      <c r="Q3" s="23">
        <f>M3+22.98977-0.00055</f>
        <v>724.52513160000001</v>
      </c>
      <c r="R3" s="23">
        <f>M3+38.96371-0.00055</f>
        <v>740.49907159999998</v>
      </c>
      <c r="S3" s="23">
        <f>M3+7.01601-0.00055</f>
        <v>708.55137160000004</v>
      </c>
      <c r="T3" s="23">
        <f>M3-1.0078246+0.00055</f>
        <v>700.52863699999989</v>
      </c>
      <c r="U3" s="23">
        <f>M3+44.99767+0.00055</f>
        <v>746.53413159999991</v>
      </c>
      <c r="V3" s="23">
        <f>M3+59.01332+0.00055</f>
        <v>760.54978159999996</v>
      </c>
    </row>
    <row r="4" spans="1:22" x14ac:dyDescent="0.25">
      <c r="A4" s="32" t="s">
        <v>103</v>
      </c>
      <c r="B4" s="17" t="str">
        <f t="shared" ref="B4" si="0">IF(ISNUMBER(SEARCH("(",A4)),IF(ISNUMBER(SEARCH("/",A4)),CONCATENATE(MID(A4,1,2)," ",MID(A4,4,2),SUM(MID(A4,FIND("(",A4)+3,(FIND(":",A4)-(FIND("-",A4)+1))),MID(A4,FIND("/",A4)+1,(FIND(":",A4,FIND("/",A4))-FIND("/",A4)-1))),":",SUM(MID(A4,FIND(":",A4)+1,FIND("/",A4)-(FIND(":",A4)+1)),MID(A4,FIND(":",A4,FIND("/",A4))+1,FIND(")",A4)-FIND(":",A4,FIND("/",A4))-1))," ",MID(A4,(FIND(")",A4)+1),100)),CONCATENATE(MID(A4,1,2)," ",MID(A4,4,2),SUM(MID(A4,FIND("(",A4)+3,(FIND(":",A4)-(FIND("-",A4)+1))),MID(A4,FIND("_",A4)+1,(FIND(":",A4,FIND("_",A4))-FIND("_",A4)-1))),":",SUM(MID(A4,FIND(":",A4)+1,FIND("_",A4)-(FIND(":",A4)+1)),MID(A4,FIND(":",A4,FIND("_",A4))+1,FIND(")",A4)-FIND(":",A4,FIND("_",A4))-1))," ",MID(A4,(FIND(")",A4)+1),100))),A4)</f>
        <v>PE P-32:1</v>
      </c>
      <c r="C4" s="33" t="str">
        <f t="shared" ref="C4" si="1">MID(B4,6,FIND(":",B4)-FIND("-",B4)-1)</f>
        <v>32</v>
      </c>
      <c r="D4" s="33" t="str">
        <f t="shared" ref="D4" si="2">IF(ISNUMBER(VALUE(MID(B4,FIND(":",B4)+1,2))),MID(B4,FIND(":",B4)+1,2),MID(B4,FIND(":",B4)+1,1))</f>
        <v>1</v>
      </c>
      <c r="E4" s="33" t="str">
        <f t="shared" ref="E4" si="3">IF(ISERROR(FIND("O-",A4)),IF(ISERROR(FIND("P-",A4)),"","P-"),"O-")</f>
        <v>P-</v>
      </c>
      <c r="G4" s="33">
        <f t="shared" ref="G4" si="4">C4+5</f>
        <v>37</v>
      </c>
      <c r="H4" s="33">
        <f t="shared" ref="H4" si="5">2*G4-(2*D4)+2*COUNTIF(E4,"*O-*")-((LEN(A4)-LEN(SUBSTITUTE(A4,"_O_","")))/LEN("_O_"))*2-((LEN(A4)-LEN(SUBSTITUTE(A4,"_CHO_","")))/LEN("_CHO_"))*2-((LEN(A4)-LEN(SUBSTITUTE(A4,"_COOH_","")))/LEN("_COOH_"))*2</f>
        <v>72</v>
      </c>
      <c r="I4" s="33">
        <v>1</v>
      </c>
      <c r="J4" s="33">
        <f t="shared" ref="J4" si="6">7+((LEN(A4)-LEN(SUBSTITUTE(A4,"_OH_","")))/LEN("_OH_"))*1+((LEN(A4)-LEN(SUBSTITUTE(A4,"_OOH_","")))/LEN("_OOH_"))*2+((LEN(A4)-LEN(SUBSTITUTE(A4,"_O_","")))/LEN("_O_"))*1+((LEN(A4)-LEN(SUBSTITUTE(A4,"_CHO_","")))/LEN("_CHO_"))*1+((LEN(A4)-LEN(SUBSTITUTE(A4,"_COOH_","")))/LEN("_COOH_"))*2</f>
        <v>7</v>
      </c>
      <c r="K4" s="33">
        <v>1</v>
      </c>
      <c r="L4" s="23" t="str">
        <f t="shared" ref="L4" si="7">IF(ISERROR(FIND("O-",A4)),IF(ISERROR(FIND("P-",A4)),"",CONCATENATE("C",G4,"H",H4,"N",I4,"O",J4,"P",K4)),CONCATENATE("C",G4,"H",H4,"N",I4,"O",J4,"P",K4))</f>
        <v>C37H72N1O7P1</v>
      </c>
      <c r="M4" s="23">
        <f t="shared" ref="M4" si="8">IF(ISERROR(FIND("O-",A4)),IF(ISERROR(FIND("P-",A4)),"",(G4*12)+(H4*1.0078246)+(I4*14.003074)+(J4*15.994915)+(K4*30.973763)),(G4*12)+(H4*1.0078246)+(I4*14.003074)+(J4*15.994915)+(K4*30.973763))</f>
        <v>673.50461319999999</v>
      </c>
      <c r="N4" s="23">
        <f t="shared" ref="N4" si="9">M4+1.0078246-0.00055</f>
        <v>674.51188780000007</v>
      </c>
      <c r="O4" s="23">
        <f t="shared" ref="O4" si="10">N4-18.01057-0.00055</f>
        <v>656.50076780000006</v>
      </c>
      <c r="P4" s="23">
        <f t="shared" ref="P4" si="11">M4+18.03437-0.00055</f>
        <v>691.53843319999999</v>
      </c>
      <c r="Q4" s="23">
        <f t="shared" ref="Q4" si="12">M4+22.98977-0.00055</f>
        <v>696.49383320000004</v>
      </c>
      <c r="R4" s="23">
        <f t="shared" ref="R4" si="13">M4+38.96371-0.00055</f>
        <v>712.46777320000001</v>
      </c>
      <c r="S4" s="23">
        <f t="shared" ref="S4" si="14">M4+7.01601-0.00055</f>
        <v>680.52007320000007</v>
      </c>
      <c r="T4" s="23">
        <f t="shared" ref="T4" si="15">M4-1.0078246+0.00055</f>
        <v>672.49733859999992</v>
      </c>
      <c r="U4" s="23">
        <f t="shared" ref="U4" si="16">M4+44.99767+0.00055</f>
        <v>718.50283319999994</v>
      </c>
      <c r="V4" s="23">
        <f t="shared" ref="V4" si="17">M4+59.01332+0.00055</f>
        <v>732.51848319999999</v>
      </c>
    </row>
    <row r="5" spans="1:22" x14ac:dyDescent="0.25">
      <c r="A5" s="35" t="s">
        <v>110</v>
      </c>
      <c r="B5" s="17" t="str">
        <f>IF(ISNUMBER(SEARCH("(",A5)),IF(ISNUMBER(SEARCH("/",A5)),CONCATENATE(MID(A5,1,2)," ",MID(A5,4,2),SUM(MID(A5,FIND("(",A5)+3,(FIND(":",A5)-(FIND("-",A5)+1))),MID(A5,FIND("/",A5)+1,(FIND(":",A5,FIND("/",A5))-FIND("/",A5)-1))),":",SUM(MID(A5,FIND(":",A5)+1,FIND("/",A5)-(FIND(":",A5)+1)),MID(A5,FIND(":",A5,FIND("/",A5))+1,FIND(")",A5)-FIND(":",A5,FIND("/",A5))-1))," ",MID(A5,(FIND(")",A5)+1),100)),CONCATENATE(MID(A5,1,2)," ",MID(A5,4,2),SUM(MID(A5,FIND("(",A5)+3,(FIND(":",A5)-(FIND("-",A5)+1))),MID(A5,FIND("_",A5)+1,(FIND(":",A5,FIND("_",A5))-FIND("_",A5)-1))),":",SUM(MID(A5,FIND(":",A5)+1,FIND("_",A5)-(FIND(":",A5)+1)),MID(A5,FIND(":",A5,FIND("_",A5))+1,FIND(")",A5)-FIND(":",A5,FIND("_",A5))-1))," ",MID(A5,(FIND(")",A5)+1),100))),A5)</f>
        <v xml:space="preserve">PE P-34:3 </v>
      </c>
      <c r="C5" s="33" t="str">
        <f>MID(B5,6,FIND(":",B5)-FIND("-",B5)-1)</f>
        <v>34</v>
      </c>
      <c r="D5" s="33" t="str">
        <f>IF(ISNUMBER(VALUE(MID(B5,FIND(":",B5)+1,2))),MID(B5,FIND(":",B5)+1,2),MID(B5,FIND(":",B5)+1,1))</f>
        <v xml:space="preserve">3 </v>
      </c>
      <c r="E5" s="33" t="str">
        <f>IF(ISERROR(FIND("O-",A5)),IF(ISERROR(FIND("P-",A5)),"","P-"),"O-")</f>
        <v>P-</v>
      </c>
      <c r="G5" s="33">
        <f>C5+5</f>
        <v>39</v>
      </c>
      <c r="H5" s="33">
        <f>2*G5-(2*D5)+2*COUNTIF(E5,"*O-*")-((LEN(A5)-LEN(SUBSTITUTE(A5,"_O_","")))/LEN("_O_"))*2-((LEN(A5)-LEN(SUBSTITUTE(A5,"_CHO_","")))/LEN("_CHO_"))*2-((LEN(A5)-LEN(SUBSTITUTE(A5,"_COOH_","")))/LEN("_COOH_"))*2</f>
        <v>72</v>
      </c>
      <c r="I5" s="33">
        <v>1</v>
      </c>
      <c r="J5" s="33">
        <f>7+((LEN(A5)-LEN(SUBSTITUTE(A5,"_OH_","")))/LEN("_OH_"))*1+((LEN(A5)-LEN(SUBSTITUTE(A5,"_OOH_","")))/LEN("_OOH_"))*2+((LEN(A5)-LEN(SUBSTITUTE(A5,"_O_","")))/LEN("_O_"))*1+((LEN(A5)-LEN(SUBSTITUTE(A5,"_CHO_","")))/LEN("_CHO_"))*1+((LEN(A5)-LEN(SUBSTITUTE(A5,"_COOH_","")))/LEN("_COOH_"))*2</f>
        <v>7</v>
      </c>
      <c r="K5" s="33">
        <v>1</v>
      </c>
      <c r="L5" s="23" t="str">
        <f>IF(ISERROR(FIND("O-",A5)),IF(ISERROR(FIND("P-",A5)),"",CONCATENATE("C",G5,"H",H5,"N",I5,"O",J5,"P",K5)),CONCATENATE("C",G5,"H",H5,"N",I5,"O",J5,"P",K5))</f>
        <v>C39H72N1O7P1</v>
      </c>
      <c r="M5" s="23">
        <f>IF(ISERROR(FIND("O-",A5)),IF(ISERROR(FIND("P-",A5)),"",(G5*12)+(H5*1.0078246)+(I5*14.003074)+(J5*15.994915)+(K5*30.973763)),(G5*12)+(H5*1.0078246)+(I5*14.003074)+(J5*15.994915)+(K5*30.973763))</f>
        <v>697.50461319999999</v>
      </c>
      <c r="N5" s="23">
        <f>M5+1.0078246-0.00055</f>
        <v>698.51188780000007</v>
      </c>
      <c r="O5" s="23">
        <f>N5-18.01057-0.00055</f>
        <v>680.50076780000006</v>
      </c>
      <c r="P5" s="23">
        <f>M5+18.03437-0.00055</f>
        <v>715.53843319999999</v>
      </c>
      <c r="Q5" s="23">
        <f>M5+22.98977-0.00055</f>
        <v>720.49383320000004</v>
      </c>
      <c r="R5" s="23">
        <f>M5+38.96371-0.00055</f>
        <v>736.46777320000001</v>
      </c>
      <c r="S5" s="23">
        <f>M5+7.01601-0.00055</f>
        <v>704.52007320000007</v>
      </c>
      <c r="T5" s="23">
        <f>M5-1.0078246+0.00055</f>
        <v>696.49733859999992</v>
      </c>
      <c r="U5" s="23">
        <f>M5+44.99767+0.00055</f>
        <v>742.50283319999994</v>
      </c>
      <c r="V5" s="23">
        <f>M5+59.01332+0.00055</f>
        <v>756.51848319999999</v>
      </c>
    </row>
    <row r="9" spans="1:22" x14ac:dyDescent="0.25">
      <c r="A9" s="35" t="s">
        <v>626</v>
      </c>
      <c r="B9" s="17" t="str">
        <f>IF(ISNUMBER(SEARCH("(",A9)),IF(ISNUMBER(SEARCH("/",A9)),CONCATENATE(MID(A9,1,2)," ",MID(A9,4,2),SUM(MID(A9,FIND("(",A9)+3,(FIND(":",A9)-(FIND("-",A9)+1))),MID(A9,FIND("/",A9)+1,(FIND(":",A9,FIND("/",A9))-FIND("/",A9)-1))),":",SUM(MID(A9,FIND(":",A9)+1,FIND("/",A9)-(FIND(":",A9)+1)),MID(A9,FIND(":",A9,FIND("/",A9))+1,FIND(")",A9)-FIND(":",A9,FIND("/",A9))-1))," ",MID(A9,(FIND(")",A9)+1),100)),CONCATENATE(MID(A9,1,2)," ",MID(A9,4,2),SUM(MID(A9,FIND("(",A9)+3,(FIND(":",A9)-(FIND("-",A9)+1))),MID(A9,FIND("_",A9)+1,(FIND(":",A9,FIND("_",A9))-FIND("_",A9)-1))),":",SUM(MID(A9,FIND(":",A9)+1,FIND("_",A9)-(FIND(":",A9)+1)),MID(A9,FIND(":",A9,FIND("_",A9))+1,FIND(")",A9)-FIND(":",A9,FIND("_",A9))-1))," ",MID(A9,(FIND(")",A9)+1),100))),A9)</f>
        <v>PE P-36:2</v>
      </c>
      <c r="C9" s="33" t="str">
        <f>MID(B9,6,FIND(":",B9)-FIND("-",B9)-1)</f>
        <v>36</v>
      </c>
      <c r="D9" s="33" t="str">
        <f>IF(ISNUMBER(VALUE(MID(B9,FIND(":",B9)+1,2))),MID(B9,FIND(":",B9)+1,2),MID(B9,FIND(":",B9)+1,1))</f>
        <v>2</v>
      </c>
      <c r="E9" s="33" t="str">
        <f>IF(ISERROR(FIND("O-",A9)),IF(ISERROR(FIND("P-",A9)),"","P-"),"O-")</f>
        <v>P-</v>
      </c>
      <c r="G9" s="33">
        <f>C9+5</f>
        <v>41</v>
      </c>
      <c r="H9" s="33">
        <f>2*G9-(2*D9)+2*COUNTIF(E9,"*O-*")-((LEN(A9)-LEN(SUBSTITUTE(A9,"_O_","")))/LEN("_O_"))*2-((LEN(A9)-LEN(SUBSTITUTE(A9,"_CHO_","")))/LEN("_CHO_"))*2-((LEN(A9)-LEN(SUBSTITUTE(A9,"_COOH_","")))/LEN("_COOH_"))*2</f>
        <v>78</v>
      </c>
      <c r="I9" s="33">
        <v>1</v>
      </c>
      <c r="J9" s="33">
        <f>7+((LEN(A9)-LEN(SUBSTITUTE(A9,"_OH_","")))/LEN("_OH_"))*1+((LEN(A9)-LEN(SUBSTITUTE(A9,"_OOH_","")))/LEN("_OOH_"))*2+((LEN(A9)-LEN(SUBSTITUTE(A9,"_O_","")))/LEN("_O_"))*1+((LEN(A9)-LEN(SUBSTITUTE(A9,"_CHO_","")))/LEN("_CHO_"))*1+((LEN(A9)-LEN(SUBSTITUTE(A9,"_COOH_","")))/LEN("_COOH_"))*2</f>
        <v>7</v>
      </c>
      <c r="K9" s="33">
        <v>1</v>
      </c>
      <c r="L9" s="23" t="str">
        <f>IF(ISERROR(FIND("O-",A9)),IF(ISERROR(FIND("P-",A9)),"",CONCATENATE("C",G9,"H",H9,"N",I9,"O",J9,"P",K9)),CONCATENATE("C",G9,"H",H9,"N",I9,"O",J9,"P",K9))</f>
        <v>C41H78N1O7P1</v>
      </c>
      <c r="M9" s="23">
        <f>IF(ISERROR(FIND("O-",A9)),IF(ISERROR(FIND("P-",A9)),"",(G9*12)+(H9*1.0078246)+(I9*14.003074)+(J9*15.994915)+(K9*30.973763)),(G9*12)+(H9*1.0078246)+(I9*14.003074)+(J9*15.994915)+(K9*30.973763))</f>
        <v>727.55156079999983</v>
      </c>
      <c r="N9" s="23">
        <f>M9+1.0078246-0.00055</f>
        <v>728.55883539999991</v>
      </c>
      <c r="O9" s="23">
        <f>N9-18.01057-0.00055</f>
        <v>710.5477153999999</v>
      </c>
      <c r="P9" s="23">
        <f>M9+18.03437-0.00055</f>
        <v>745.58538079999983</v>
      </c>
      <c r="Q9" s="23">
        <f>M9+22.98977-0.00055</f>
        <v>750.54078079999988</v>
      </c>
      <c r="R9" s="23">
        <f>M9+38.96371-0.00055</f>
        <v>766.51472079999985</v>
      </c>
      <c r="S9" s="23">
        <f>M9+7.01601-0.00055</f>
        <v>734.56702079999991</v>
      </c>
      <c r="T9" s="23">
        <f>M9-1.0078246+0.00055</f>
        <v>726.54428619999976</v>
      </c>
      <c r="U9" s="23">
        <f>M9+44.99767+0.00055</f>
        <v>772.54978079999978</v>
      </c>
      <c r="V9" s="23">
        <f>M9+59.01332+0.00055</f>
        <v>786.56543079999983</v>
      </c>
    </row>
    <row r="10" spans="1:22" x14ac:dyDescent="0.25">
      <c r="A10" s="35" t="s">
        <v>627</v>
      </c>
      <c r="B10" s="17" t="str">
        <f>IF(ISNUMBER(SEARCH("(",A10)),IF(ISNUMBER(SEARCH("/",A10)),CONCATENATE(MID(A10,1,2)," ",MID(A10,4,2),SUM(MID(A10,FIND("(",A10)+3,(FIND(":",A10)-(FIND("-",A10)+1))),MID(A10,FIND("/",A10)+1,(FIND(":",A10,FIND("/",A10))-FIND("/",A10)-1))),":",SUM(MID(A10,FIND(":",A10)+1,FIND("/",A10)-(FIND(":",A10)+1)),MID(A10,FIND(":",A10,FIND("/",A10))+1,FIND(")",A10)-FIND(":",A10,FIND("/",A10))-1))," ",MID(A10,(FIND(")",A10)+1),100)),CONCATENATE(MID(A10,1,2)," ",MID(A10,4,2),SUM(MID(A10,FIND("(",A10)+3,(FIND(":",A10)-(FIND("-",A10)+1))),MID(A10,FIND("_",A10)+1,(FIND(":",A10,FIND("_",A10))-FIND("_",A10)-1))),":",SUM(MID(A10,FIND(":",A10)+1,FIND("_",A10)-(FIND(":",A10)+1)),MID(A10,FIND(":",A10,FIND("_",A10))+1,FIND(")",A10)-FIND(":",A10,FIND("_",A10))-1))," ",MID(A10,(FIND(")",A10)+1),100))),A10)</f>
        <v>PE P-38:2</v>
      </c>
      <c r="C10" s="33" t="str">
        <f>MID(B10,6,FIND(":",B10)-FIND("-",B10)-1)</f>
        <v>38</v>
      </c>
      <c r="D10" s="33" t="str">
        <f>IF(ISNUMBER(VALUE(MID(B10,FIND(":",B10)+1,2))),MID(B10,FIND(":",B10)+1,2),MID(B10,FIND(":",B10)+1,1))</f>
        <v>2</v>
      </c>
      <c r="E10" s="33" t="str">
        <f>IF(ISERROR(FIND("O-",A10)),IF(ISERROR(FIND("P-",A10)),"","P-"),"O-")</f>
        <v>P-</v>
      </c>
      <c r="G10" s="33">
        <f>C10+5</f>
        <v>43</v>
      </c>
      <c r="H10" s="33">
        <f>2*G10-(2*D10)+2*COUNTIF(E10,"*O-*")-((LEN(A10)-LEN(SUBSTITUTE(A10,"_O_","")))/LEN("_O_"))*2-((LEN(A10)-LEN(SUBSTITUTE(A10,"_CHO_","")))/LEN("_CHO_"))*2-((LEN(A10)-LEN(SUBSTITUTE(A10,"_COOH_","")))/LEN("_COOH_"))*2</f>
        <v>82</v>
      </c>
      <c r="I10" s="33">
        <v>1</v>
      </c>
      <c r="J10" s="33">
        <f>7+((LEN(A10)-LEN(SUBSTITUTE(A10,"_OH_","")))/LEN("_OH_"))*1+((LEN(A10)-LEN(SUBSTITUTE(A10,"_OOH_","")))/LEN("_OOH_"))*2+((LEN(A10)-LEN(SUBSTITUTE(A10,"_O_","")))/LEN("_O_"))*1+((LEN(A10)-LEN(SUBSTITUTE(A10,"_CHO_","")))/LEN("_CHO_"))*1+((LEN(A10)-LEN(SUBSTITUTE(A10,"_COOH_","")))/LEN("_COOH_"))*2</f>
        <v>7</v>
      </c>
      <c r="K10" s="33">
        <v>1</v>
      </c>
      <c r="L10" s="23" t="str">
        <f>IF(ISERROR(FIND("O-",A10)),IF(ISERROR(FIND("P-",A10)),"",CONCATENATE("C",G10,"H",H10,"N",I10,"O",J10,"P",K10)),CONCATENATE("C",G10,"H",H10,"N",I10,"O",J10,"P",K10))</f>
        <v>C43H82N1O7P1</v>
      </c>
      <c r="M10" s="23">
        <f>IF(ISERROR(FIND("O-",A10)),IF(ISERROR(FIND("P-",A10)),"",(G10*12)+(H10*1.0078246)+(I10*14.003074)+(J10*15.994915)+(K10*30.973763)),(G10*12)+(H10*1.0078246)+(I10*14.003074)+(J10*15.994915)+(K10*30.973763))</f>
        <v>755.58285920000003</v>
      </c>
      <c r="N10" s="23">
        <f>M10+1.0078246-0.00055</f>
        <v>756.5901338000001</v>
      </c>
      <c r="O10" s="23">
        <f>N10-18.01057-0.00055</f>
        <v>738.5790138000001</v>
      </c>
      <c r="P10" s="23">
        <f>M10+18.03437-0.00055</f>
        <v>773.61667920000002</v>
      </c>
      <c r="Q10" s="23">
        <f>M10+22.98977-0.00055</f>
        <v>778.57207920000008</v>
      </c>
      <c r="R10" s="23">
        <f>M10+38.96371-0.00055</f>
        <v>794.54601920000005</v>
      </c>
      <c r="S10" s="23">
        <f>M10+7.01601-0.00055</f>
        <v>762.59831920000011</v>
      </c>
      <c r="T10" s="23">
        <f>M10-1.0078246+0.00055</f>
        <v>754.57558459999996</v>
      </c>
      <c r="U10" s="23">
        <f>M10+44.99767+0.00055</f>
        <v>800.58107919999998</v>
      </c>
      <c r="V10" s="23">
        <f>M10+59.01332+0.00055</f>
        <v>814.59672920000003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57"/>
  <dimension ref="A1:V25"/>
  <sheetViews>
    <sheetView showGridLines="0" zoomScaleNormal="100" workbookViewId="0">
      <pane xSplit="1" ySplit="2" topLeftCell="B9" activePane="bottomRight" state="frozen"/>
      <selection pane="topRight"/>
      <selection pane="bottomLeft"/>
      <selection pane="bottomRight" activeCell="B14" sqref="B14"/>
    </sheetView>
  </sheetViews>
  <sheetFormatPr defaultColWidth="9.140625" defaultRowHeight="15.75" x14ac:dyDescent="0.25"/>
  <cols>
    <col min="1" max="1" width="23" style="35" customWidth="1"/>
    <col min="2" max="2" width="22" style="33" customWidth="1"/>
    <col min="3" max="3" width="4.28515625" style="33" hidden="1" customWidth="1"/>
    <col min="4" max="5" width="4.140625" style="33" hidden="1" customWidth="1"/>
    <col min="6" max="6" width="4.28515625" style="33" hidden="1" customWidth="1"/>
    <col min="7" max="7" width="4.140625" style="33" hidden="1" customWidth="1"/>
    <col min="8" max="11" width="9.28515625" style="33" hidden="1" customWidth="1"/>
    <col min="12" max="12" width="20.7109375" style="36" hidden="1" customWidth="1"/>
    <col min="13" max="19" width="16.7109375" style="36" hidden="1" customWidth="1"/>
    <col min="20" max="22" width="16.7109375" style="36" customWidth="1"/>
    <col min="23" max="16384" width="9.140625" style="34"/>
  </cols>
  <sheetData>
    <row r="1" spans="1:22" s="28" customFormat="1" x14ac:dyDescent="0.25">
      <c r="A1" s="24" t="s">
        <v>59</v>
      </c>
      <c r="B1" s="25" t="s">
        <v>5</v>
      </c>
      <c r="C1" s="25"/>
      <c r="D1" s="25"/>
      <c r="E1" s="25"/>
      <c r="F1" s="25"/>
      <c r="G1" s="25" t="s">
        <v>0</v>
      </c>
      <c r="H1" s="25" t="s">
        <v>1</v>
      </c>
      <c r="I1" s="25" t="s">
        <v>2</v>
      </c>
      <c r="J1" s="25" t="s">
        <v>9</v>
      </c>
      <c r="K1" s="25"/>
      <c r="L1" s="26" t="s">
        <v>14</v>
      </c>
      <c r="M1" s="26" t="s">
        <v>3</v>
      </c>
      <c r="N1" s="29" t="s">
        <v>7</v>
      </c>
      <c r="O1" s="29" t="s">
        <v>13</v>
      </c>
      <c r="P1" s="29" t="s">
        <v>4</v>
      </c>
      <c r="Q1" s="29" t="s">
        <v>6</v>
      </c>
      <c r="R1" s="29" t="s">
        <v>29</v>
      </c>
      <c r="S1" s="29" t="s">
        <v>30</v>
      </c>
      <c r="T1" s="29" t="s">
        <v>12</v>
      </c>
      <c r="U1" s="29" t="s">
        <v>10</v>
      </c>
      <c r="V1" s="29" t="s">
        <v>11</v>
      </c>
    </row>
    <row r="2" spans="1:22" hidden="1" x14ac:dyDescent="0.25">
      <c r="A2" s="32" t="s">
        <v>104</v>
      </c>
      <c r="B2" s="17" t="str">
        <f>IF(ISNUMBER(SEARCH("(",A2)),IF(ISNUMBER(SEARCH("/",A2)),CONCATENATE(MID(A2,1,2)," ",MID(A2,4,2),SUM(MID(A2,FIND("(",A2)+3,(FIND(":",A2)-(FIND("-",A2)+1))),MID(A2,FIND("/",A2)+1,(FIND(":",A2,FIND("/",A2))-FIND("/",A2)-1))),":",SUM(MID(A2,FIND(":",A2)+1,FIND("/",A2)-(FIND(":",A2)+1)),MID(A2,FIND(":",A2,FIND("/",A2))+1,FIND(")",A2)-FIND(":",A2,FIND("/",A2))-1))," ",MID(A2,(FIND(")",A2)+1),100)),CONCATENATE(MID(A2,1,2)," ",MID(A2,4,2),SUM(MID(A2,FIND("(",A2)+3,(FIND(":",A2)-(FIND("-",A2)+1))),MID(A2,FIND("_",A2)+1,(FIND(":",A2,FIND("_",A2))-FIND("_",A2)-1))),":",SUM(MID(A2,FIND(":",A2)+1,FIND("_",A2)-(FIND(":",A2)+1)),MID(A2,FIND(":",A2,FIND("_",A2))+1,FIND(")",A2)-FIND(":",A2,FIND("_",A2))-1))," ",MID(A2,(FIND(")",A2)+1),100))),A2)</f>
        <v>PG O-32:1</v>
      </c>
      <c r="C2" s="33" t="str">
        <f>MID(B2,6,FIND(":",B2)-FIND("-",B2)-1)</f>
        <v>32</v>
      </c>
      <c r="D2" s="33" t="str">
        <f>IF(ISNUMBER(VALUE(MID(B2,FIND(":",B2)+1,2))),MID(B2,FIND(":",B2)+1,2),MID(B2,FIND(":",B2)+1,1))</f>
        <v>1</v>
      </c>
      <c r="E2" s="33" t="str">
        <f>IF(ISERROR(FIND("O-",A2)),IF(ISERROR(FIND("P-",A2)),"","P-"),"O-")</f>
        <v>O-</v>
      </c>
      <c r="G2" s="33">
        <f>C2+6</f>
        <v>38</v>
      </c>
      <c r="H2" s="33">
        <f>2*G2-(2*D2)-1+2*COUNTIF(B2,"*O-*")-((LEN(A2)-LEN(SUBSTITUTE(A2,"_O_","")))/LEN("_O_"))*2-((LEN(A2)-LEN(SUBSTITUTE(A2,"_CHO_","")))/LEN("_CHO_"))*2-((LEN(A2)-LEN(SUBSTITUTE(A2,"_COOH_","")))/LEN("_COOH_"))*2</f>
        <v>75</v>
      </c>
      <c r="I2" s="33">
        <f>9+((LEN(A2)-LEN(SUBSTITUTE(A2,"_OH_","")))/LEN("_OH_"))*1+((LEN(A2)-LEN(SUBSTITUTE(A2,"_OOH_","")))/LEN("_OOH_"))*2+((LEN(A2)-LEN(SUBSTITUTE(A2,"_O_","")))/LEN("_O_"))*1+((LEN(A2)-LEN(SUBSTITUTE(A2,"_CHO_","")))/LEN("_CHO_"))*1+((LEN(A2)-LEN(SUBSTITUTE(A2,"_COOH_","")))/LEN("_COOH_"))*2</f>
        <v>9</v>
      </c>
      <c r="J2" s="33">
        <v>1</v>
      </c>
      <c r="L2" s="23" t="str">
        <f>IF(ISERROR(FIND("O-",A2)),IF(ISERROR(FIND("P-",A2)),"",CONCATENATE("C",G2,"H",H2,"O",I2,"P",J2)),CONCATENATE("C",G2,"H",H2,"O",I2,"P",J2))</f>
        <v>C38H75O9P1</v>
      </c>
      <c r="M2" s="23">
        <f>IF(ISERROR(FIND("O-",A2)),IF(ISERROR(FIND("P-",A2)),"",(G2*12)+(H2*1.0078246)+(I2*15.994915)+(J2*30.973763)),(G2*12)+(H2*1.0078246)+(I2*15.994915)+(J2*30.973763))</f>
        <v>706.51484300000004</v>
      </c>
      <c r="N2" s="23">
        <f>M2+1.0078246-0.00055</f>
        <v>707.52211760000012</v>
      </c>
      <c r="O2" s="23">
        <f>N2-18.01057-0.00055</f>
        <v>689.51099760000011</v>
      </c>
      <c r="P2" s="23">
        <f>M2+18.03437-0.00055</f>
        <v>724.54866300000003</v>
      </c>
      <c r="Q2" s="23">
        <f>M2+22.98977-0.00055</f>
        <v>729.50406300000009</v>
      </c>
      <c r="R2" s="23">
        <f>M2+38.96371-0.00055</f>
        <v>745.47800300000006</v>
      </c>
      <c r="S2" s="23">
        <f>M2+7.01601-0.00055</f>
        <v>713.53030300000012</v>
      </c>
      <c r="T2" s="23">
        <f>M2-1.0078246+0.00055</f>
        <v>705.50756839999997</v>
      </c>
      <c r="U2" s="23">
        <f>M2+44.99767+0.00055</f>
        <v>751.51306299999999</v>
      </c>
      <c r="V2" s="23">
        <f>M2+59.01332+0.00055</f>
        <v>765.52871300000004</v>
      </c>
    </row>
    <row r="3" spans="1:22" x14ac:dyDescent="0.25">
      <c r="A3" s="32" t="s">
        <v>111</v>
      </c>
      <c r="B3" s="17" t="str">
        <f>IF(ISNUMBER(SEARCH("(",A3)),IF(ISNUMBER(SEARCH("/",A3)),CONCATENATE(MID(A3,1,2)," ",MID(A3,4,2),SUM(MID(A3,FIND("(",A3)+3,(FIND(":",A3)-(FIND("-",A3)+1))),MID(A3,FIND("/",A3)+1,(FIND(":",A3,FIND("/",A3))-FIND("/",A3)-1))),":",SUM(MID(A3,FIND(":",A3)+1,FIND("/",A3)-(FIND(":",A3)+1)),MID(A3,FIND(":",A3,FIND("/",A3))+1,FIND(")",A3)-FIND(":",A3,FIND("/",A3))-1))," ",MID(A3,(FIND(")",A3)+1),100)),CONCATENATE(MID(A3,1,2)," ",MID(A3,4,2),SUM(MID(A3,FIND("(",A3)+3,(FIND(":",A3)-(FIND("-",A3)+1))),MID(A3,FIND("_",A3)+1,(FIND(":",A3,FIND("_",A3))-FIND("_",A3)-1))),":",SUM(MID(A3,FIND(":",A3)+1,FIND("_",A3)-(FIND(":",A3)+1)),MID(A3,FIND(":",A3,FIND("_",A3))+1,FIND(")",A3)-FIND(":",A3,FIND("_",A3))-1))," ",MID(A3,(FIND(")",A3)+1),100))),A3)</f>
        <v xml:space="preserve">PG O-34:2 </v>
      </c>
      <c r="C3" s="33" t="str">
        <f>MID(B3,6,FIND(":",B3)-FIND("-",B3)-1)</f>
        <v>34</v>
      </c>
      <c r="D3" s="33" t="str">
        <f>IF(ISNUMBER(VALUE(MID(B3,FIND(":",B3)+1,2))),MID(B3,FIND(":",B3)+1,2),MID(B3,FIND(":",B3)+1,1))</f>
        <v xml:space="preserve">2 </v>
      </c>
      <c r="E3" s="33" t="str">
        <f>IF(ISERROR(FIND("O-",A3)),IF(ISERROR(FIND("P-",A3)),"","P-"),"O-")</f>
        <v>O-</v>
      </c>
      <c r="G3" s="33">
        <f>C3+6</f>
        <v>40</v>
      </c>
      <c r="H3" s="33">
        <f>2*G3-(2*D3)-1+2*COUNTIF(B3,"*O-*")-((LEN(A3)-LEN(SUBSTITUTE(A3,"_O_","")))/LEN("_O_"))*2-((LEN(A3)-LEN(SUBSTITUTE(A3,"_CHO_","")))/LEN("_CHO_"))*2-((LEN(A3)-LEN(SUBSTITUTE(A3,"_COOH_","")))/LEN("_COOH_"))*2</f>
        <v>77</v>
      </c>
      <c r="I3" s="33">
        <f>9+((LEN(A3)-LEN(SUBSTITUTE(A3,"_OH_","")))/LEN("_OH_"))*1+((LEN(A3)-LEN(SUBSTITUTE(A3,"_OOH_","")))/LEN("_OOH_"))*2+((LEN(A3)-LEN(SUBSTITUTE(A3,"_O_","")))/LEN("_O_"))*1+((LEN(A3)-LEN(SUBSTITUTE(A3,"_CHO_","")))/LEN("_CHO_"))*1+((LEN(A3)-LEN(SUBSTITUTE(A3,"_COOH_","")))/LEN("_COOH_"))*2</f>
        <v>9</v>
      </c>
      <c r="J3" s="33">
        <v>1</v>
      </c>
      <c r="L3" s="23" t="str">
        <f>IF(ISERROR(FIND("O-",A3)),IF(ISERROR(FIND("P-",A3)),"",CONCATENATE("C",G3,"H",H3,"O",I3,"P",J3)),CONCATENATE("C",G3,"H",H3,"O",I3,"P",J3))</f>
        <v>C40H77O9P1</v>
      </c>
      <c r="M3" s="23">
        <f>IF(ISERROR(FIND("O-",A3)),IF(ISERROR(FIND("P-",A3)),"",(G3*12)+(H3*1.0078246)+(I3*15.994915)+(J3*30.973763)),(G3*12)+(H3*1.0078246)+(I3*15.994915)+(J3*30.973763))</f>
        <v>732.53049220000003</v>
      </c>
      <c r="N3" s="23">
        <f>M3+1.0078246-0.00055</f>
        <v>733.5377668000001</v>
      </c>
      <c r="O3" s="23">
        <f>N3-18.01057-0.00055</f>
        <v>715.52664680000009</v>
      </c>
      <c r="P3" s="23">
        <f>M3+18.03437-0.00055</f>
        <v>750.56431220000002</v>
      </c>
      <c r="Q3" s="23">
        <f>M3+22.98977-0.00055</f>
        <v>755.51971220000007</v>
      </c>
      <c r="R3" s="23">
        <f>M3+38.96371-0.00055</f>
        <v>771.49365220000004</v>
      </c>
      <c r="S3" s="23">
        <f>M3+7.01601-0.00055</f>
        <v>739.5459522000001</v>
      </c>
      <c r="T3" s="23">
        <f>M3-1.0078246+0.00055</f>
        <v>731.52321759999995</v>
      </c>
      <c r="U3" s="23">
        <f>M3+44.99767+0.00055</f>
        <v>777.52871219999997</v>
      </c>
      <c r="V3" s="23">
        <f>M3+59.01332+0.00055</f>
        <v>791.54436220000002</v>
      </c>
    </row>
    <row r="4" spans="1:22" x14ac:dyDescent="0.25">
      <c r="A4" s="32" t="s">
        <v>105</v>
      </c>
      <c r="B4" s="17" t="str">
        <f t="shared" ref="B4" si="0">IF(ISNUMBER(SEARCH("(",A4)),IF(ISNUMBER(SEARCH("/",A4)),CONCATENATE(MID(A4,1,2)," ",MID(A4,4,2),SUM(MID(A4,FIND("(",A4)+3,(FIND(":",A4)-(FIND("-",A4)+1))),MID(A4,FIND("/",A4)+1,(FIND(":",A4,FIND("/",A4))-FIND("/",A4)-1))),":",SUM(MID(A4,FIND(":",A4)+1,FIND("/",A4)-(FIND(":",A4)+1)),MID(A4,FIND(":",A4,FIND("/",A4))+1,FIND(")",A4)-FIND(":",A4,FIND("/",A4))-1))," ",MID(A4,(FIND(")",A4)+1),100)),CONCATENATE(MID(A4,1,2)," ",MID(A4,4,2),SUM(MID(A4,FIND("(",A4)+3,(FIND(":",A4)-(FIND("-",A4)+1))),MID(A4,FIND("_",A4)+1,(FIND(":",A4,FIND("_",A4))-FIND("_",A4)-1))),":",SUM(MID(A4,FIND(":",A4)+1,FIND("_",A4)-(FIND(":",A4)+1)),MID(A4,FIND(":",A4,FIND("_",A4))+1,FIND(")",A4)-FIND(":",A4,FIND("_",A4))-1))," ",MID(A4,(FIND(")",A4)+1),100))),A4)</f>
        <v>PG P-32:1</v>
      </c>
      <c r="C4" s="33" t="str">
        <f t="shared" ref="C4" si="1">MID(B4,6,FIND(":",B4)-FIND("-",B4)-1)</f>
        <v>32</v>
      </c>
      <c r="D4" s="33" t="str">
        <f t="shared" ref="D4" si="2">IF(ISNUMBER(VALUE(MID(B4,FIND(":",B4)+1,2))),MID(B4,FIND(":",B4)+1,2),MID(B4,FIND(":",B4)+1,1))</f>
        <v>1</v>
      </c>
      <c r="E4" s="33" t="str">
        <f t="shared" ref="E4" si="3">IF(ISERROR(FIND("O-",A4)),IF(ISERROR(FIND("P-",A4)),"","P-"),"O-")</f>
        <v>P-</v>
      </c>
      <c r="G4" s="33">
        <f t="shared" ref="G4" si="4">C4+6</f>
        <v>38</v>
      </c>
      <c r="H4" s="33">
        <f t="shared" ref="H4" si="5">2*G4-(2*D4)-1+2*COUNTIF(B4,"*O-*")-((LEN(A4)-LEN(SUBSTITUTE(A4,"_O_","")))/LEN("_O_"))*2-((LEN(A4)-LEN(SUBSTITUTE(A4,"_CHO_","")))/LEN("_CHO_"))*2-((LEN(A4)-LEN(SUBSTITUTE(A4,"_COOH_","")))/LEN("_COOH_"))*2</f>
        <v>73</v>
      </c>
      <c r="I4" s="33">
        <f t="shared" ref="I4" si="6">9+((LEN(A4)-LEN(SUBSTITUTE(A4,"_OH_","")))/LEN("_OH_"))*1+((LEN(A4)-LEN(SUBSTITUTE(A4,"_OOH_","")))/LEN("_OOH_"))*2+((LEN(A4)-LEN(SUBSTITUTE(A4,"_O_","")))/LEN("_O_"))*1+((LEN(A4)-LEN(SUBSTITUTE(A4,"_CHO_","")))/LEN("_CHO_"))*1+((LEN(A4)-LEN(SUBSTITUTE(A4,"_COOH_","")))/LEN("_COOH_"))*2</f>
        <v>9</v>
      </c>
      <c r="J4" s="33">
        <v>1</v>
      </c>
      <c r="L4" s="23" t="str">
        <f t="shared" ref="L4" si="7">IF(ISERROR(FIND("O-",A4)),IF(ISERROR(FIND("P-",A4)),"",CONCATENATE("C",G4,"H",H4,"O",I4,"P",J4)),CONCATENATE("C",G4,"H",H4,"O",I4,"P",J4))</f>
        <v>C38H73O9P1</v>
      </c>
      <c r="M4" s="23">
        <f t="shared" ref="M4" si="8">IF(ISERROR(FIND("O-",A4)),IF(ISERROR(FIND("P-",A4)),"",(G4*12)+(H4*1.0078246)+(I4*15.994915)+(J4*30.973763)),(G4*12)+(H4*1.0078246)+(I4*15.994915)+(J4*30.973763))</f>
        <v>704.49919379999994</v>
      </c>
      <c r="N4" s="23">
        <f t="shared" ref="N4" si="9">M4+1.0078246-0.00055</f>
        <v>705.50646840000002</v>
      </c>
      <c r="O4" s="23">
        <f t="shared" ref="O4" si="10">N4-18.01057-0.00055</f>
        <v>687.49534840000001</v>
      </c>
      <c r="P4" s="23">
        <f t="shared" ref="P4" si="11">M4+18.03437-0.00055</f>
        <v>722.53301379999994</v>
      </c>
      <c r="Q4" s="23">
        <f t="shared" ref="Q4" si="12">M4+22.98977-0.00055</f>
        <v>727.48841379999999</v>
      </c>
      <c r="R4" s="23">
        <f t="shared" ref="R4" si="13">M4+38.96371-0.00055</f>
        <v>743.46235379999996</v>
      </c>
      <c r="S4" s="23">
        <f t="shared" ref="S4" si="14">M4+7.01601-0.00055</f>
        <v>711.51465380000002</v>
      </c>
      <c r="T4" s="23">
        <f t="shared" ref="T4" si="15">M4-1.0078246+0.00055</f>
        <v>703.49191919999987</v>
      </c>
      <c r="U4" s="23">
        <f t="shared" ref="U4" si="16">M4+44.99767+0.00055</f>
        <v>749.49741379999989</v>
      </c>
      <c r="V4" s="23">
        <f t="shared" ref="V4" si="17">M4+59.01332+0.00055</f>
        <v>763.51306379999994</v>
      </c>
    </row>
    <row r="5" spans="1:22" x14ac:dyDescent="0.25">
      <c r="A5" s="33" t="s">
        <v>112</v>
      </c>
      <c r="B5" s="17" t="str">
        <f t="shared" ref="B5:B13" si="18">IF(ISNUMBER(SEARCH("(",A5)),IF(ISNUMBER(SEARCH("/",A5)),CONCATENATE(MID(A5,1,2)," ",MID(A5,4,2),SUM(MID(A5,FIND("(",A5)+3,(FIND(":",A5)-(FIND("-",A5)+1))),MID(A5,FIND("/",A5)+1,(FIND(":",A5,FIND("/",A5))-FIND("/",A5)-1))),":",SUM(MID(A5,FIND(":",A5)+1,FIND("/",A5)-(FIND(":",A5)+1)),MID(A5,FIND(":",A5,FIND("/",A5))+1,FIND(")",A5)-FIND(":",A5,FIND("/",A5))-1))," ",MID(A5,(FIND(")",A5)+1),100)),CONCATENATE(MID(A5,1,2)," ",MID(A5,4,2),SUM(MID(A5,FIND("(",A5)+3,(FIND(":",A5)-(FIND("-",A5)+1))),MID(A5,FIND("_",A5)+1,(FIND(":",A5,FIND("_",A5))-FIND("_",A5)-1))),":",SUM(MID(A5,FIND(":",A5)+1,FIND("_",A5)-(FIND(":",A5)+1)),MID(A5,FIND(":",A5,FIND("_",A5))+1,FIND(")",A5)-FIND(":",A5,FIND("_",A5))-1))," ",MID(A5,(FIND(")",A5)+1),100))),A5)</f>
        <v xml:space="preserve">PG O-38:2 </v>
      </c>
      <c r="C5" s="33" t="str">
        <f t="shared" ref="C5:C13" si="19">MID(B5,6,FIND(":",B5)-FIND("-",B5)-1)</f>
        <v>38</v>
      </c>
      <c r="D5" s="33" t="str">
        <f t="shared" ref="D5:D13" si="20">IF(ISNUMBER(VALUE(MID(B5,FIND(":",B5)+1,2))),MID(B5,FIND(":",B5)+1,2),MID(B5,FIND(":",B5)+1,1))</f>
        <v xml:space="preserve">2 </v>
      </c>
      <c r="E5" s="33" t="str">
        <f t="shared" ref="E5:E13" si="21">IF(ISERROR(FIND("O-",A5)),IF(ISERROR(FIND("P-",A5)),"","P-"),"O-")</f>
        <v>O-</v>
      </c>
      <c r="G5" s="33">
        <f t="shared" ref="G5:G13" si="22">C5+6</f>
        <v>44</v>
      </c>
      <c r="H5" s="33">
        <f t="shared" ref="H5:H13" si="23">2*G5-(2*D5)-1+2*COUNTIF(B5,"*O-*")-((LEN(A5)-LEN(SUBSTITUTE(A5,"_O_","")))/LEN("_O_"))*2-((LEN(A5)-LEN(SUBSTITUTE(A5,"_CHO_","")))/LEN("_CHO_"))*2-((LEN(A5)-LEN(SUBSTITUTE(A5,"_COOH_","")))/LEN("_COOH_"))*2</f>
        <v>85</v>
      </c>
      <c r="I5" s="33">
        <f t="shared" ref="I5:I13" si="24">9+((LEN(A5)-LEN(SUBSTITUTE(A5,"_OH_","")))/LEN("_OH_"))*1+((LEN(A5)-LEN(SUBSTITUTE(A5,"_OOH_","")))/LEN("_OOH_"))*2+((LEN(A5)-LEN(SUBSTITUTE(A5,"_O_","")))/LEN("_O_"))*1+((LEN(A5)-LEN(SUBSTITUTE(A5,"_CHO_","")))/LEN("_CHO_"))*1+((LEN(A5)-LEN(SUBSTITUTE(A5,"_COOH_","")))/LEN("_COOH_"))*2</f>
        <v>9</v>
      </c>
      <c r="J5" s="33">
        <v>1</v>
      </c>
      <c r="L5" s="23" t="str">
        <f t="shared" ref="L5:L13" si="25">IF(ISERROR(FIND("O-",A5)),IF(ISERROR(FIND("P-",A5)),"",CONCATENATE("C",G5,"H",H5,"O",I5,"P",J5)),CONCATENATE("C",G5,"H",H5,"O",I5,"P",J5))</f>
        <v>C44H85O9P1</v>
      </c>
      <c r="M5" s="23">
        <f t="shared" ref="M5:M13" si="26">IF(ISERROR(FIND("O-",A5)),IF(ISERROR(FIND("P-",A5)),"",(G5*12)+(H5*1.0078246)+(I5*15.994915)+(J5*30.973763)),(G5*12)+(H5*1.0078246)+(I5*15.994915)+(J5*30.973763))</f>
        <v>788.59308899999996</v>
      </c>
      <c r="N5" s="23">
        <f t="shared" ref="N5:N13" si="27">M5+1.0078246-0.00055</f>
        <v>789.60036360000004</v>
      </c>
      <c r="O5" s="23">
        <f t="shared" ref="O5:O13" si="28">N5-18.01057-0.00055</f>
        <v>771.58924360000003</v>
      </c>
      <c r="P5" s="23">
        <f t="shared" ref="P5:P13" si="29">M5+18.03437-0.00055</f>
        <v>806.62690899999996</v>
      </c>
      <c r="Q5" s="23">
        <f t="shared" ref="Q5:Q13" si="30">M5+22.98977-0.00055</f>
        <v>811.58230900000001</v>
      </c>
      <c r="R5" s="23">
        <f t="shared" ref="R5:R13" si="31">M5+38.96371-0.00055</f>
        <v>827.55624899999998</v>
      </c>
      <c r="S5" s="23">
        <f t="shared" ref="S5:S13" si="32">M5+7.01601-0.00055</f>
        <v>795.60854900000004</v>
      </c>
      <c r="T5" s="23">
        <f t="shared" ref="T5:T13" si="33">M5-1.0078246+0.00055</f>
        <v>787.58581439999989</v>
      </c>
      <c r="U5" s="23">
        <f t="shared" ref="U5:U13" si="34">M5+44.99767+0.00055</f>
        <v>833.59130899999991</v>
      </c>
      <c r="V5" s="23">
        <f t="shared" ref="V5:V13" si="35">M5+59.01332+0.00055</f>
        <v>847.60695899999996</v>
      </c>
    </row>
    <row r="6" spans="1:22" x14ac:dyDescent="0.25">
      <c r="A6" s="33" t="s">
        <v>275</v>
      </c>
      <c r="B6" s="17" t="str">
        <f t="shared" si="18"/>
        <v>PG P-29:0</v>
      </c>
      <c r="C6" s="33" t="str">
        <f t="shared" si="19"/>
        <v>29</v>
      </c>
      <c r="D6" s="33" t="str">
        <f t="shared" si="20"/>
        <v>0</v>
      </c>
      <c r="E6" s="33" t="str">
        <f t="shared" si="21"/>
        <v>P-</v>
      </c>
      <c r="G6" s="33">
        <f t="shared" si="22"/>
        <v>35</v>
      </c>
      <c r="H6" s="33">
        <f t="shared" si="23"/>
        <v>69</v>
      </c>
      <c r="I6" s="33">
        <f t="shared" si="24"/>
        <v>9</v>
      </c>
      <c r="J6" s="33">
        <v>1</v>
      </c>
      <c r="L6" s="23" t="str">
        <f t="shared" si="25"/>
        <v>C35H69O9P1</v>
      </c>
      <c r="M6" s="23">
        <f t="shared" si="26"/>
        <v>664.46789539999997</v>
      </c>
      <c r="N6" s="23">
        <f t="shared" si="27"/>
        <v>665.47517000000005</v>
      </c>
      <c r="O6" s="23">
        <f t="shared" si="28"/>
        <v>647.46405000000004</v>
      </c>
      <c r="P6" s="23">
        <f t="shared" si="29"/>
        <v>682.50171539999997</v>
      </c>
      <c r="Q6" s="23">
        <f t="shared" si="30"/>
        <v>687.45711540000002</v>
      </c>
      <c r="R6" s="23">
        <f t="shared" si="31"/>
        <v>703.43105539999999</v>
      </c>
      <c r="S6" s="23">
        <f t="shared" si="32"/>
        <v>671.48335540000005</v>
      </c>
      <c r="T6" s="23">
        <f t="shared" si="33"/>
        <v>663.4606207999999</v>
      </c>
      <c r="U6" s="23">
        <f t="shared" si="34"/>
        <v>709.46611539999992</v>
      </c>
      <c r="V6" s="23">
        <f t="shared" si="35"/>
        <v>723.48176539999997</v>
      </c>
    </row>
    <row r="7" spans="1:22" x14ac:dyDescent="0.25">
      <c r="A7" s="33" t="s">
        <v>276</v>
      </c>
      <c r="B7" s="17" t="str">
        <f t="shared" si="18"/>
        <v>PG P-30:0</v>
      </c>
      <c r="C7" s="33" t="str">
        <f t="shared" si="19"/>
        <v>30</v>
      </c>
      <c r="D7" s="33" t="str">
        <f t="shared" si="20"/>
        <v>0</v>
      </c>
      <c r="E7" s="33" t="str">
        <f t="shared" si="21"/>
        <v>P-</v>
      </c>
      <c r="G7" s="33">
        <f t="shared" si="22"/>
        <v>36</v>
      </c>
      <c r="H7" s="33">
        <f t="shared" si="23"/>
        <v>71</v>
      </c>
      <c r="I7" s="33">
        <f t="shared" si="24"/>
        <v>9</v>
      </c>
      <c r="J7" s="33">
        <v>1</v>
      </c>
      <c r="L7" s="23" t="str">
        <f t="shared" si="25"/>
        <v>C36H71O9P1</v>
      </c>
      <c r="M7" s="23">
        <f t="shared" si="26"/>
        <v>678.48354459999996</v>
      </c>
      <c r="N7" s="23">
        <f t="shared" si="27"/>
        <v>679.49081920000003</v>
      </c>
      <c r="O7" s="23">
        <f t="shared" si="28"/>
        <v>661.47969920000003</v>
      </c>
      <c r="P7" s="23">
        <f t="shared" si="29"/>
        <v>696.51736459999995</v>
      </c>
      <c r="Q7" s="23">
        <f t="shared" si="30"/>
        <v>701.4727646</v>
      </c>
      <c r="R7" s="23">
        <f t="shared" si="31"/>
        <v>717.44670459999998</v>
      </c>
      <c r="S7" s="23">
        <f t="shared" si="32"/>
        <v>685.49900460000003</v>
      </c>
      <c r="T7" s="23">
        <f t="shared" si="33"/>
        <v>677.47626999999989</v>
      </c>
      <c r="U7" s="23">
        <f t="shared" si="34"/>
        <v>723.48176459999991</v>
      </c>
      <c r="V7" s="23">
        <f t="shared" si="35"/>
        <v>737.49741459999996</v>
      </c>
    </row>
    <row r="8" spans="1:22" x14ac:dyDescent="0.25">
      <c r="A8" s="33" t="s">
        <v>277</v>
      </c>
      <c r="B8" s="17" t="str">
        <f t="shared" si="18"/>
        <v>PG P-31:0</v>
      </c>
      <c r="C8" s="33" t="str">
        <f t="shared" si="19"/>
        <v>31</v>
      </c>
      <c r="D8" s="33" t="str">
        <f t="shared" si="20"/>
        <v>0</v>
      </c>
      <c r="E8" s="33" t="str">
        <f t="shared" si="21"/>
        <v>P-</v>
      </c>
      <c r="G8" s="33">
        <f t="shared" si="22"/>
        <v>37</v>
      </c>
      <c r="H8" s="33">
        <f t="shared" si="23"/>
        <v>73</v>
      </c>
      <c r="I8" s="33">
        <f t="shared" si="24"/>
        <v>9</v>
      </c>
      <c r="J8" s="33">
        <v>1</v>
      </c>
      <c r="L8" s="23" t="str">
        <f t="shared" si="25"/>
        <v>C37H73O9P1</v>
      </c>
      <c r="M8" s="23">
        <f t="shared" si="26"/>
        <v>692.49919379999994</v>
      </c>
      <c r="N8" s="23">
        <f t="shared" si="27"/>
        <v>693.50646840000002</v>
      </c>
      <c r="O8" s="23">
        <f t="shared" si="28"/>
        <v>675.49534840000001</v>
      </c>
      <c r="P8" s="23">
        <f t="shared" si="29"/>
        <v>710.53301379999994</v>
      </c>
      <c r="Q8" s="23">
        <f t="shared" si="30"/>
        <v>715.48841379999999</v>
      </c>
      <c r="R8" s="23">
        <f t="shared" si="31"/>
        <v>731.46235379999996</v>
      </c>
      <c r="S8" s="23">
        <f t="shared" si="32"/>
        <v>699.51465380000002</v>
      </c>
      <c r="T8" s="23">
        <f t="shared" si="33"/>
        <v>691.49191919999987</v>
      </c>
      <c r="U8" s="23">
        <f t="shared" si="34"/>
        <v>737.49741379999989</v>
      </c>
      <c r="V8" s="23">
        <f t="shared" si="35"/>
        <v>751.51306379999994</v>
      </c>
    </row>
    <row r="9" spans="1:22" x14ac:dyDescent="0.25">
      <c r="A9" s="33" t="s">
        <v>278</v>
      </c>
      <c r="B9" s="17" t="str">
        <f t="shared" si="18"/>
        <v>PG P-32:0</v>
      </c>
      <c r="C9" s="33" t="str">
        <f t="shared" si="19"/>
        <v>32</v>
      </c>
      <c r="D9" s="33" t="str">
        <f t="shared" si="20"/>
        <v>0</v>
      </c>
      <c r="E9" s="33" t="str">
        <f t="shared" si="21"/>
        <v>P-</v>
      </c>
      <c r="G9" s="33">
        <f t="shared" si="22"/>
        <v>38</v>
      </c>
      <c r="H9" s="33">
        <f t="shared" si="23"/>
        <v>75</v>
      </c>
      <c r="I9" s="33">
        <f t="shared" si="24"/>
        <v>9</v>
      </c>
      <c r="J9" s="33">
        <v>1</v>
      </c>
      <c r="L9" s="23" t="str">
        <f t="shared" si="25"/>
        <v>C38H75O9P1</v>
      </c>
      <c r="M9" s="23">
        <f t="shared" si="26"/>
        <v>706.51484300000004</v>
      </c>
      <c r="N9" s="23">
        <f t="shared" si="27"/>
        <v>707.52211760000012</v>
      </c>
      <c r="O9" s="23">
        <f t="shared" si="28"/>
        <v>689.51099760000011</v>
      </c>
      <c r="P9" s="23">
        <f t="shared" si="29"/>
        <v>724.54866300000003</v>
      </c>
      <c r="Q9" s="23">
        <f t="shared" si="30"/>
        <v>729.50406300000009</v>
      </c>
      <c r="R9" s="23">
        <f t="shared" si="31"/>
        <v>745.47800300000006</v>
      </c>
      <c r="S9" s="23">
        <f t="shared" si="32"/>
        <v>713.53030300000012</v>
      </c>
      <c r="T9" s="23">
        <f t="shared" si="33"/>
        <v>705.50756839999997</v>
      </c>
      <c r="U9" s="23">
        <f t="shared" si="34"/>
        <v>751.51306299999999</v>
      </c>
      <c r="V9" s="23">
        <f t="shared" si="35"/>
        <v>765.52871300000004</v>
      </c>
    </row>
    <row r="10" spans="1:22" x14ac:dyDescent="0.25">
      <c r="A10" s="33" t="s">
        <v>279</v>
      </c>
      <c r="B10" s="17" t="str">
        <f t="shared" si="18"/>
        <v>PG P-33:0</v>
      </c>
      <c r="C10" s="33" t="str">
        <f t="shared" si="19"/>
        <v>33</v>
      </c>
      <c r="D10" s="33" t="str">
        <f t="shared" si="20"/>
        <v>0</v>
      </c>
      <c r="E10" s="33" t="str">
        <f t="shared" si="21"/>
        <v>P-</v>
      </c>
      <c r="G10" s="33">
        <f t="shared" si="22"/>
        <v>39</v>
      </c>
      <c r="H10" s="33">
        <f t="shared" si="23"/>
        <v>77</v>
      </c>
      <c r="I10" s="33">
        <f t="shared" si="24"/>
        <v>9</v>
      </c>
      <c r="J10" s="33">
        <v>1</v>
      </c>
      <c r="L10" s="23" t="str">
        <f t="shared" si="25"/>
        <v>C39H77O9P1</v>
      </c>
      <c r="M10" s="23">
        <f t="shared" si="26"/>
        <v>720.53049220000003</v>
      </c>
      <c r="N10" s="23">
        <f t="shared" si="27"/>
        <v>721.5377668000001</v>
      </c>
      <c r="O10" s="23">
        <f t="shared" si="28"/>
        <v>703.52664680000009</v>
      </c>
      <c r="P10" s="23">
        <f t="shared" si="29"/>
        <v>738.56431220000002</v>
      </c>
      <c r="Q10" s="23">
        <f t="shared" si="30"/>
        <v>743.51971220000007</v>
      </c>
      <c r="R10" s="23">
        <f t="shared" si="31"/>
        <v>759.49365220000004</v>
      </c>
      <c r="S10" s="23">
        <f t="shared" si="32"/>
        <v>727.5459522000001</v>
      </c>
      <c r="T10" s="23">
        <f t="shared" si="33"/>
        <v>719.52321759999995</v>
      </c>
      <c r="U10" s="23">
        <f t="shared" si="34"/>
        <v>765.52871219999997</v>
      </c>
      <c r="V10" s="23">
        <f t="shared" si="35"/>
        <v>779.54436220000002</v>
      </c>
    </row>
    <row r="11" spans="1:22" x14ac:dyDescent="0.25">
      <c r="A11" s="33" t="s">
        <v>280</v>
      </c>
      <c r="B11" s="17" t="str">
        <f t="shared" si="18"/>
        <v>PG P-34:0</v>
      </c>
      <c r="C11" s="33" t="str">
        <f t="shared" si="19"/>
        <v>34</v>
      </c>
      <c r="D11" s="33" t="str">
        <f t="shared" si="20"/>
        <v>0</v>
      </c>
      <c r="E11" s="33" t="str">
        <f t="shared" si="21"/>
        <v>P-</v>
      </c>
      <c r="G11" s="33">
        <f t="shared" si="22"/>
        <v>40</v>
      </c>
      <c r="H11" s="33">
        <f t="shared" si="23"/>
        <v>79</v>
      </c>
      <c r="I11" s="33">
        <f t="shared" si="24"/>
        <v>9</v>
      </c>
      <c r="J11" s="33">
        <v>1</v>
      </c>
      <c r="L11" s="23" t="str">
        <f t="shared" si="25"/>
        <v>C40H79O9P1</v>
      </c>
      <c r="M11" s="23">
        <f t="shared" si="26"/>
        <v>734.54614140000001</v>
      </c>
      <c r="N11" s="23">
        <f t="shared" si="27"/>
        <v>735.55341600000008</v>
      </c>
      <c r="O11" s="23">
        <f t="shared" si="28"/>
        <v>717.54229600000008</v>
      </c>
      <c r="P11" s="23">
        <f t="shared" si="29"/>
        <v>752.5799614</v>
      </c>
      <c r="Q11" s="23">
        <f t="shared" si="30"/>
        <v>757.53536140000006</v>
      </c>
      <c r="R11" s="23">
        <f t="shared" si="31"/>
        <v>773.50930140000003</v>
      </c>
      <c r="S11" s="23">
        <f t="shared" si="32"/>
        <v>741.56160140000009</v>
      </c>
      <c r="T11" s="23">
        <f t="shared" si="33"/>
        <v>733.53886679999994</v>
      </c>
      <c r="U11" s="23">
        <f t="shared" si="34"/>
        <v>779.54436139999996</v>
      </c>
      <c r="V11" s="23">
        <f t="shared" si="35"/>
        <v>793.56001140000001</v>
      </c>
    </row>
    <row r="12" spans="1:22" x14ac:dyDescent="0.25">
      <c r="A12" s="33" t="s">
        <v>281</v>
      </c>
      <c r="B12" s="17" t="str">
        <f t="shared" si="18"/>
        <v>PG P-35:0</v>
      </c>
      <c r="C12" s="33" t="str">
        <f t="shared" si="19"/>
        <v>35</v>
      </c>
      <c r="D12" s="33" t="str">
        <f t="shared" si="20"/>
        <v>0</v>
      </c>
      <c r="E12" s="33" t="str">
        <f t="shared" si="21"/>
        <v>P-</v>
      </c>
      <c r="G12" s="33">
        <f t="shared" si="22"/>
        <v>41</v>
      </c>
      <c r="H12" s="33">
        <f t="shared" si="23"/>
        <v>81</v>
      </c>
      <c r="I12" s="33">
        <f t="shared" si="24"/>
        <v>9</v>
      </c>
      <c r="J12" s="33">
        <v>1</v>
      </c>
      <c r="L12" s="23" t="str">
        <f t="shared" si="25"/>
        <v>C41H81O9P1</v>
      </c>
      <c r="M12" s="23">
        <f t="shared" si="26"/>
        <v>748.56179059999999</v>
      </c>
      <c r="N12" s="23">
        <f t="shared" si="27"/>
        <v>749.56906520000007</v>
      </c>
      <c r="O12" s="23">
        <f t="shared" si="28"/>
        <v>731.55794520000006</v>
      </c>
      <c r="P12" s="23">
        <f t="shared" si="29"/>
        <v>766.59561059999999</v>
      </c>
      <c r="Q12" s="23">
        <f t="shared" si="30"/>
        <v>771.55101060000004</v>
      </c>
      <c r="R12" s="23">
        <f t="shared" si="31"/>
        <v>787.52495060000001</v>
      </c>
      <c r="S12" s="23">
        <f t="shared" si="32"/>
        <v>755.57725060000007</v>
      </c>
      <c r="T12" s="23">
        <f t="shared" si="33"/>
        <v>747.55451599999992</v>
      </c>
      <c r="U12" s="23">
        <f t="shared" si="34"/>
        <v>793.56001059999994</v>
      </c>
      <c r="V12" s="23">
        <f t="shared" si="35"/>
        <v>807.57566059999999</v>
      </c>
    </row>
    <row r="13" spans="1:22" x14ac:dyDescent="0.25">
      <c r="A13" s="33" t="s">
        <v>271</v>
      </c>
      <c r="B13" s="17" t="str">
        <f t="shared" si="18"/>
        <v>PG P-36:0</v>
      </c>
      <c r="C13" s="33" t="str">
        <f t="shared" si="19"/>
        <v>36</v>
      </c>
      <c r="D13" s="33" t="str">
        <f t="shared" si="20"/>
        <v>0</v>
      </c>
      <c r="E13" s="33" t="str">
        <f t="shared" si="21"/>
        <v>P-</v>
      </c>
      <c r="G13" s="33">
        <f t="shared" si="22"/>
        <v>42</v>
      </c>
      <c r="H13" s="33">
        <f t="shared" si="23"/>
        <v>83</v>
      </c>
      <c r="I13" s="33">
        <f t="shared" si="24"/>
        <v>9</v>
      </c>
      <c r="J13" s="33">
        <v>1</v>
      </c>
      <c r="L13" s="23" t="str">
        <f t="shared" si="25"/>
        <v>C42H83O9P1</v>
      </c>
      <c r="M13" s="23">
        <f t="shared" si="26"/>
        <v>762.57743979999998</v>
      </c>
      <c r="N13" s="23">
        <f t="shared" si="27"/>
        <v>763.58471440000005</v>
      </c>
      <c r="O13" s="23">
        <f t="shared" si="28"/>
        <v>745.57359440000005</v>
      </c>
      <c r="P13" s="23">
        <f t="shared" si="29"/>
        <v>780.61125979999997</v>
      </c>
      <c r="Q13" s="23">
        <f t="shared" si="30"/>
        <v>785.56665980000002</v>
      </c>
      <c r="R13" s="23">
        <f t="shared" si="31"/>
        <v>801.5405998</v>
      </c>
      <c r="S13" s="23">
        <f t="shared" si="32"/>
        <v>769.59289980000005</v>
      </c>
      <c r="T13" s="23">
        <f t="shared" si="33"/>
        <v>761.57016519999991</v>
      </c>
      <c r="U13" s="23">
        <f t="shared" si="34"/>
        <v>807.57565979999993</v>
      </c>
      <c r="V13" s="23">
        <f t="shared" si="35"/>
        <v>821.59130979999998</v>
      </c>
    </row>
    <row r="14" spans="1:22" x14ac:dyDescent="0.25">
      <c r="A14" s="33"/>
      <c r="B14" s="17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</row>
    <row r="15" spans="1:22" x14ac:dyDescent="0.25">
      <c r="A15" s="35" t="s">
        <v>284</v>
      </c>
      <c r="B15" s="17" t="str">
        <f t="shared" ref="B15:B25" si="36">IF(ISNUMBER(SEARCH("(",A15)),IF(ISNUMBER(SEARCH("/",A15)),CONCATENATE(MID(A15,1,2)," ",MID(A15,4,2),SUM(MID(A15,FIND("(",A15)+3,(FIND(":",A15)-(FIND("-",A15)+1))),MID(A15,FIND("/",A15)+1,(FIND(":",A15,FIND("/",A15))-FIND("/",A15)-1))),":",SUM(MID(A15,FIND(":",A15)+1,FIND("/",A15)-(FIND(":",A15)+1)),MID(A15,FIND(":",A15,FIND("/",A15))+1,FIND(")",A15)-FIND(":",A15,FIND("/",A15))-1))," ",MID(A15,(FIND(")",A15)+1),100)),CONCATENATE(MID(A15,1,2)," ",MID(A15,4,2),SUM(MID(A15,FIND("(",A15)+3,(FIND(":",A15)-(FIND("-",A15)+1))),MID(A15,FIND("_",A15)+1,(FIND(":",A15,FIND("_",A15))-FIND("_",A15)-1))),":",SUM(MID(A15,FIND(":",A15)+1,FIND("_",A15)-(FIND(":",A15)+1)),MID(A15,FIND(":",A15,FIND("_",A15))+1,FIND(")",A15)-FIND(":",A15,FIND("_",A15))-1))," ",MID(A15,(FIND(")",A15)+1),100))),A15)</f>
        <v>PG P-31:3</v>
      </c>
      <c r="C15" s="33" t="str">
        <f t="shared" ref="C15:C25" si="37">MID(B15,6,FIND(":",B15)-FIND("-",B15)-1)</f>
        <v>31</v>
      </c>
      <c r="D15" s="33" t="str">
        <f t="shared" ref="D15:D25" si="38">IF(ISNUMBER(VALUE(MID(B15,FIND(":",B15)+1,2))),MID(B15,FIND(":",B15)+1,2),MID(B15,FIND(":",B15)+1,1))</f>
        <v>3</v>
      </c>
      <c r="E15" s="33" t="str">
        <f t="shared" ref="E15:E25" si="39">IF(ISERROR(FIND("O-",A15)),IF(ISERROR(FIND("P-",A15)),"","P-"),"O-")</f>
        <v>P-</v>
      </c>
      <c r="G15" s="33">
        <f t="shared" ref="G15:G25" si="40">C15+6</f>
        <v>37</v>
      </c>
      <c r="H15" s="33">
        <f t="shared" ref="H15:H25" si="41">2*G15-(2*D15)-1+2*COUNTIF(B15,"*O-*")-((LEN(A15)-LEN(SUBSTITUTE(A15,"_O_","")))/LEN("_O_"))*2-((LEN(A15)-LEN(SUBSTITUTE(A15,"_CHO_","")))/LEN("_CHO_"))*2-((LEN(A15)-LEN(SUBSTITUTE(A15,"_COOH_","")))/LEN("_COOH_"))*2</f>
        <v>67</v>
      </c>
      <c r="I15" s="33">
        <f t="shared" ref="I15:I25" si="42">9+((LEN(A15)-LEN(SUBSTITUTE(A15,"_OH_","")))/LEN("_OH_"))*1+((LEN(A15)-LEN(SUBSTITUTE(A15,"_OOH_","")))/LEN("_OOH_"))*2+((LEN(A15)-LEN(SUBSTITUTE(A15,"_O_","")))/LEN("_O_"))*1+((LEN(A15)-LEN(SUBSTITUTE(A15,"_CHO_","")))/LEN("_CHO_"))*1+((LEN(A15)-LEN(SUBSTITUTE(A15,"_COOH_","")))/LEN("_COOH_"))*2</f>
        <v>9</v>
      </c>
      <c r="J15" s="33">
        <v>1</v>
      </c>
      <c r="L15" s="23" t="str">
        <f t="shared" ref="L15:L25" si="43">IF(ISERROR(FIND("O-",A15)),IF(ISERROR(FIND("P-",A15)),"",CONCATENATE("C",G15,"H",H15,"O",I15,"P",J15)),CONCATENATE("C",G15,"H",H15,"O",I15,"P",J15))</f>
        <v>C37H67O9P1</v>
      </c>
      <c r="M15" s="23">
        <f t="shared" ref="M15:M25" si="44">IF(ISERROR(FIND("O-",A15)),IF(ISERROR(FIND("P-",A15)),"",(G15*12)+(H15*1.0078246)+(I15*15.994915)+(J15*30.973763)),(G15*12)+(H15*1.0078246)+(I15*15.994915)+(J15*30.973763))</f>
        <v>686.45224619999999</v>
      </c>
      <c r="N15" s="23">
        <f t="shared" ref="N15:N25" si="45">M15+1.0078246-0.00055</f>
        <v>687.45952080000006</v>
      </c>
      <c r="O15" s="23">
        <f t="shared" ref="O15:O25" si="46">N15-18.01057-0.00055</f>
        <v>669.44840080000006</v>
      </c>
      <c r="P15" s="23">
        <f t="shared" ref="P15:P25" si="47">M15+18.03437-0.00055</f>
        <v>704.48606619999998</v>
      </c>
      <c r="Q15" s="23">
        <f t="shared" ref="Q15:Q25" si="48">M15+22.98977-0.00055</f>
        <v>709.44146620000004</v>
      </c>
      <c r="R15" s="23">
        <f t="shared" ref="R15:R25" si="49">M15+38.96371-0.00055</f>
        <v>725.41540620000001</v>
      </c>
      <c r="S15" s="23">
        <f t="shared" ref="S15:S25" si="50">M15+7.01601-0.00055</f>
        <v>693.46770620000007</v>
      </c>
      <c r="T15" s="23">
        <f t="shared" ref="T15:T25" si="51">M15-1.0078246+0.00055</f>
        <v>685.44497159999992</v>
      </c>
      <c r="U15" s="23">
        <f t="shared" ref="U15:U25" si="52">M15+44.99767+0.00055</f>
        <v>731.45046619999994</v>
      </c>
      <c r="V15" s="23">
        <f t="shared" ref="V15:V25" si="53">M15+59.01332+0.00055</f>
        <v>745.46611619999999</v>
      </c>
    </row>
    <row r="16" spans="1:22" x14ac:dyDescent="0.25">
      <c r="A16" s="35" t="s">
        <v>283</v>
      </c>
      <c r="B16" s="17" t="str">
        <f t="shared" si="36"/>
        <v>PG P-31:2</v>
      </c>
      <c r="C16" s="33" t="str">
        <f t="shared" si="37"/>
        <v>31</v>
      </c>
      <c r="D16" s="33" t="str">
        <f t="shared" si="38"/>
        <v>2</v>
      </c>
      <c r="E16" s="33" t="str">
        <f t="shared" si="39"/>
        <v>P-</v>
      </c>
      <c r="G16" s="33">
        <f t="shared" si="40"/>
        <v>37</v>
      </c>
      <c r="H16" s="33">
        <f t="shared" si="41"/>
        <v>69</v>
      </c>
      <c r="I16" s="33">
        <f t="shared" si="42"/>
        <v>9</v>
      </c>
      <c r="J16" s="33">
        <v>1</v>
      </c>
      <c r="L16" s="23" t="str">
        <f t="shared" si="43"/>
        <v>C37H69O9P1</v>
      </c>
      <c r="M16" s="23">
        <f t="shared" si="44"/>
        <v>688.46789539999997</v>
      </c>
      <c r="N16" s="23">
        <f t="shared" si="45"/>
        <v>689.47517000000005</v>
      </c>
      <c r="O16" s="23">
        <f t="shared" si="46"/>
        <v>671.46405000000004</v>
      </c>
      <c r="P16" s="23">
        <f t="shared" si="47"/>
        <v>706.50171539999997</v>
      </c>
      <c r="Q16" s="23">
        <f t="shared" si="48"/>
        <v>711.45711540000002</v>
      </c>
      <c r="R16" s="23">
        <f t="shared" si="49"/>
        <v>727.43105539999999</v>
      </c>
      <c r="S16" s="23">
        <f t="shared" si="50"/>
        <v>695.48335540000005</v>
      </c>
      <c r="T16" s="23">
        <f t="shared" si="51"/>
        <v>687.4606207999999</v>
      </c>
      <c r="U16" s="23">
        <f t="shared" si="52"/>
        <v>733.46611539999992</v>
      </c>
      <c r="V16" s="23">
        <f t="shared" si="53"/>
        <v>747.48176539999997</v>
      </c>
    </row>
    <row r="17" spans="1:22" x14ac:dyDescent="0.25">
      <c r="A17" s="35" t="s">
        <v>282</v>
      </c>
      <c r="B17" s="17" t="str">
        <f t="shared" si="36"/>
        <v>PG P-31:1</v>
      </c>
      <c r="C17" s="33" t="str">
        <f t="shared" si="37"/>
        <v>31</v>
      </c>
      <c r="D17" s="33" t="str">
        <f t="shared" si="38"/>
        <v>1</v>
      </c>
      <c r="E17" s="33" t="str">
        <f t="shared" si="39"/>
        <v>P-</v>
      </c>
      <c r="G17" s="33">
        <f t="shared" si="40"/>
        <v>37</v>
      </c>
      <c r="H17" s="33">
        <f t="shared" si="41"/>
        <v>71</v>
      </c>
      <c r="I17" s="33">
        <f t="shared" si="42"/>
        <v>9</v>
      </c>
      <c r="J17" s="33">
        <v>1</v>
      </c>
      <c r="L17" s="23" t="str">
        <f t="shared" si="43"/>
        <v>C37H71O9P1</v>
      </c>
      <c r="M17" s="23">
        <f t="shared" si="44"/>
        <v>690.48354459999996</v>
      </c>
      <c r="N17" s="23">
        <f t="shared" si="45"/>
        <v>691.49081920000003</v>
      </c>
      <c r="O17" s="23">
        <f t="shared" si="46"/>
        <v>673.47969920000003</v>
      </c>
      <c r="P17" s="23">
        <f t="shared" si="47"/>
        <v>708.51736459999995</v>
      </c>
      <c r="Q17" s="23">
        <f t="shared" si="48"/>
        <v>713.4727646</v>
      </c>
      <c r="R17" s="23">
        <f t="shared" si="49"/>
        <v>729.44670459999998</v>
      </c>
      <c r="S17" s="23">
        <f t="shared" si="50"/>
        <v>697.49900460000003</v>
      </c>
      <c r="T17" s="23">
        <f t="shared" si="51"/>
        <v>689.47626999999989</v>
      </c>
      <c r="U17" s="23">
        <f t="shared" si="52"/>
        <v>735.48176459999991</v>
      </c>
      <c r="V17" s="23">
        <f t="shared" si="53"/>
        <v>749.49741459999996</v>
      </c>
    </row>
    <row r="18" spans="1:22" x14ac:dyDescent="0.25">
      <c r="A18" s="35" t="s">
        <v>272</v>
      </c>
      <c r="B18" s="17" t="str">
        <f t="shared" si="36"/>
        <v>PG P-32:2</v>
      </c>
      <c r="C18" s="33" t="str">
        <f t="shared" si="37"/>
        <v>32</v>
      </c>
      <c r="D18" s="33" t="str">
        <f t="shared" si="38"/>
        <v>2</v>
      </c>
      <c r="E18" s="33" t="str">
        <f t="shared" si="39"/>
        <v>P-</v>
      </c>
      <c r="G18" s="33">
        <f t="shared" si="40"/>
        <v>38</v>
      </c>
      <c r="H18" s="33">
        <f t="shared" si="41"/>
        <v>71</v>
      </c>
      <c r="I18" s="33">
        <f t="shared" si="42"/>
        <v>9</v>
      </c>
      <c r="J18" s="33">
        <v>1</v>
      </c>
      <c r="L18" s="23" t="str">
        <f t="shared" si="43"/>
        <v>C38H71O9P1</v>
      </c>
      <c r="M18" s="23">
        <f t="shared" si="44"/>
        <v>702.48354459999996</v>
      </c>
      <c r="N18" s="23">
        <f t="shared" si="45"/>
        <v>703.49081920000003</v>
      </c>
      <c r="O18" s="23">
        <f t="shared" si="46"/>
        <v>685.47969920000003</v>
      </c>
      <c r="P18" s="23">
        <f t="shared" si="47"/>
        <v>720.51736459999995</v>
      </c>
      <c r="Q18" s="23">
        <f t="shared" si="48"/>
        <v>725.4727646</v>
      </c>
      <c r="R18" s="23">
        <f t="shared" si="49"/>
        <v>741.44670459999998</v>
      </c>
      <c r="S18" s="23">
        <f t="shared" si="50"/>
        <v>709.49900460000003</v>
      </c>
      <c r="T18" s="23">
        <f t="shared" si="51"/>
        <v>701.47626999999989</v>
      </c>
      <c r="U18" s="23">
        <f t="shared" si="52"/>
        <v>747.48176459999991</v>
      </c>
      <c r="V18" s="23">
        <f t="shared" si="53"/>
        <v>761.49741459999996</v>
      </c>
    </row>
    <row r="19" spans="1:22" x14ac:dyDescent="0.25">
      <c r="A19" s="35" t="s">
        <v>105</v>
      </c>
      <c r="B19" s="17" t="str">
        <f t="shared" si="36"/>
        <v>PG P-32:1</v>
      </c>
      <c r="C19" s="33" t="str">
        <f t="shared" si="37"/>
        <v>32</v>
      </c>
      <c r="D19" s="33" t="str">
        <f t="shared" si="38"/>
        <v>1</v>
      </c>
      <c r="E19" s="33" t="str">
        <f t="shared" si="39"/>
        <v>P-</v>
      </c>
      <c r="G19" s="33">
        <f t="shared" si="40"/>
        <v>38</v>
      </c>
      <c r="H19" s="33">
        <f t="shared" si="41"/>
        <v>73</v>
      </c>
      <c r="I19" s="33">
        <f t="shared" si="42"/>
        <v>9</v>
      </c>
      <c r="J19" s="33">
        <v>1</v>
      </c>
      <c r="L19" s="23" t="str">
        <f t="shared" si="43"/>
        <v>C38H73O9P1</v>
      </c>
      <c r="M19" s="23">
        <f t="shared" si="44"/>
        <v>704.49919379999994</v>
      </c>
      <c r="N19" s="23">
        <f t="shared" si="45"/>
        <v>705.50646840000002</v>
      </c>
      <c r="O19" s="23">
        <f t="shared" si="46"/>
        <v>687.49534840000001</v>
      </c>
      <c r="P19" s="23">
        <f t="shared" si="47"/>
        <v>722.53301379999994</v>
      </c>
      <c r="Q19" s="23">
        <f t="shared" si="48"/>
        <v>727.48841379999999</v>
      </c>
      <c r="R19" s="23">
        <f t="shared" si="49"/>
        <v>743.46235379999996</v>
      </c>
      <c r="S19" s="23">
        <f t="shared" si="50"/>
        <v>711.51465380000002</v>
      </c>
      <c r="T19" s="23">
        <f t="shared" si="51"/>
        <v>703.49191919999987</v>
      </c>
      <c r="U19" s="23">
        <f t="shared" si="52"/>
        <v>749.49741379999989</v>
      </c>
      <c r="V19" s="23">
        <f t="shared" si="53"/>
        <v>763.51306379999994</v>
      </c>
    </row>
    <row r="20" spans="1:22" x14ac:dyDescent="0.25">
      <c r="A20" s="35" t="s">
        <v>287</v>
      </c>
      <c r="B20" s="17" t="str">
        <f t="shared" si="36"/>
        <v>PG P-33:1</v>
      </c>
      <c r="C20" s="33" t="str">
        <f t="shared" si="37"/>
        <v>33</v>
      </c>
      <c r="D20" s="33" t="str">
        <f t="shared" si="38"/>
        <v>1</v>
      </c>
      <c r="E20" s="33" t="str">
        <f t="shared" si="39"/>
        <v>P-</v>
      </c>
      <c r="G20" s="33">
        <f t="shared" si="40"/>
        <v>39</v>
      </c>
      <c r="H20" s="33">
        <f t="shared" si="41"/>
        <v>75</v>
      </c>
      <c r="I20" s="33">
        <f t="shared" si="42"/>
        <v>9</v>
      </c>
      <c r="J20" s="33">
        <v>1</v>
      </c>
      <c r="L20" s="23" t="str">
        <f t="shared" si="43"/>
        <v>C39H75O9P1</v>
      </c>
      <c r="M20" s="23">
        <f t="shared" si="44"/>
        <v>718.51484300000004</v>
      </c>
      <c r="N20" s="23">
        <f t="shared" si="45"/>
        <v>719.52211760000012</v>
      </c>
      <c r="O20" s="23">
        <f t="shared" si="46"/>
        <v>701.51099760000011</v>
      </c>
      <c r="P20" s="23">
        <f t="shared" si="47"/>
        <v>736.54866300000003</v>
      </c>
      <c r="Q20" s="23">
        <f t="shared" si="48"/>
        <v>741.50406300000009</v>
      </c>
      <c r="R20" s="23">
        <f t="shared" si="49"/>
        <v>757.47800300000006</v>
      </c>
      <c r="S20" s="23">
        <f t="shared" si="50"/>
        <v>725.53030300000012</v>
      </c>
      <c r="T20" s="23">
        <f t="shared" si="51"/>
        <v>717.50756839999997</v>
      </c>
      <c r="U20" s="23">
        <f t="shared" si="52"/>
        <v>763.51306299999999</v>
      </c>
      <c r="V20" s="23">
        <f t="shared" si="53"/>
        <v>777.52871300000004</v>
      </c>
    </row>
    <row r="21" spans="1:22" x14ac:dyDescent="0.25">
      <c r="A21" s="35" t="s">
        <v>273</v>
      </c>
      <c r="B21" s="17" t="str">
        <f t="shared" si="36"/>
        <v>PG P-34:1</v>
      </c>
      <c r="C21" s="33" t="str">
        <f t="shared" si="37"/>
        <v>34</v>
      </c>
      <c r="D21" s="33" t="str">
        <f t="shared" si="38"/>
        <v>1</v>
      </c>
      <c r="E21" s="33" t="str">
        <f t="shared" si="39"/>
        <v>P-</v>
      </c>
      <c r="G21" s="33">
        <f t="shared" si="40"/>
        <v>40</v>
      </c>
      <c r="H21" s="33">
        <f t="shared" si="41"/>
        <v>77</v>
      </c>
      <c r="I21" s="33">
        <f t="shared" si="42"/>
        <v>9</v>
      </c>
      <c r="J21" s="33">
        <v>1</v>
      </c>
      <c r="L21" s="23" t="str">
        <f t="shared" si="43"/>
        <v>C40H77O9P1</v>
      </c>
      <c r="M21" s="23">
        <f t="shared" si="44"/>
        <v>732.53049220000003</v>
      </c>
      <c r="N21" s="23">
        <f t="shared" si="45"/>
        <v>733.5377668000001</v>
      </c>
      <c r="O21" s="23">
        <f t="shared" si="46"/>
        <v>715.52664680000009</v>
      </c>
      <c r="P21" s="23">
        <f t="shared" si="47"/>
        <v>750.56431220000002</v>
      </c>
      <c r="Q21" s="23">
        <f t="shared" si="48"/>
        <v>755.51971220000007</v>
      </c>
      <c r="R21" s="23">
        <f t="shared" si="49"/>
        <v>771.49365220000004</v>
      </c>
      <c r="S21" s="23">
        <f t="shared" si="50"/>
        <v>739.5459522000001</v>
      </c>
      <c r="T21" s="23">
        <f t="shared" si="51"/>
        <v>731.52321759999995</v>
      </c>
      <c r="U21" s="23">
        <f t="shared" si="52"/>
        <v>777.52871219999997</v>
      </c>
      <c r="V21" s="23">
        <f t="shared" si="53"/>
        <v>791.54436220000002</v>
      </c>
    </row>
    <row r="22" spans="1:22" x14ac:dyDescent="0.25">
      <c r="A22" s="35" t="s">
        <v>286</v>
      </c>
      <c r="B22" s="17" t="str">
        <f t="shared" si="36"/>
        <v>PG P-35:3</v>
      </c>
      <c r="C22" s="33" t="str">
        <f t="shared" si="37"/>
        <v>35</v>
      </c>
      <c r="D22" s="33" t="str">
        <f t="shared" si="38"/>
        <v>3</v>
      </c>
      <c r="E22" s="33" t="str">
        <f t="shared" si="39"/>
        <v>P-</v>
      </c>
      <c r="G22" s="33">
        <f t="shared" si="40"/>
        <v>41</v>
      </c>
      <c r="H22" s="33">
        <f t="shared" si="41"/>
        <v>75</v>
      </c>
      <c r="I22" s="33">
        <f t="shared" si="42"/>
        <v>9</v>
      </c>
      <c r="J22" s="33">
        <v>1</v>
      </c>
      <c r="L22" s="23" t="str">
        <f t="shared" si="43"/>
        <v>C41H75O9P1</v>
      </c>
      <c r="M22" s="23">
        <f t="shared" si="44"/>
        <v>742.51484300000004</v>
      </c>
      <c r="N22" s="23">
        <f t="shared" si="45"/>
        <v>743.52211760000012</v>
      </c>
      <c r="O22" s="23">
        <f t="shared" si="46"/>
        <v>725.51099760000011</v>
      </c>
      <c r="P22" s="23">
        <f t="shared" si="47"/>
        <v>760.54866300000003</v>
      </c>
      <c r="Q22" s="23">
        <f t="shared" si="48"/>
        <v>765.50406300000009</v>
      </c>
      <c r="R22" s="23">
        <f t="shared" si="49"/>
        <v>781.47800300000006</v>
      </c>
      <c r="S22" s="23">
        <f t="shared" si="50"/>
        <v>749.53030300000012</v>
      </c>
      <c r="T22" s="23">
        <f t="shared" si="51"/>
        <v>741.50756839999997</v>
      </c>
      <c r="U22" s="23">
        <f t="shared" si="52"/>
        <v>787.51306299999999</v>
      </c>
      <c r="V22" s="23">
        <f t="shared" si="53"/>
        <v>801.52871300000004</v>
      </c>
    </row>
    <row r="23" spans="1:22" x14ac:dyDescent="0.25">
      <c r="A23" s="35" t="s">
        <v>285</v>
      </c>
      <c r="B23" s="17" t="str">
        <f t="shared" si="36"/>
        <v>PG P-35:2</v>
      </c>
      <c r="C23" s="33" t="str">
        <f t="shared" si="37"/>
        <v>35</v>
      </c>
      <c r="D23" s="33" t="str">
        <f t="shared" si="38"/>
        <v>2</v>
      </c>
      <c r="E23" s="33" t="str">
        <f t="shared" si="39"/>
        <v>P-</v>
      </c>
      <c r="G23" s="33">
        <f t="shared" si="40"/>
        <v>41</v>
      </c>
      <c r="H23" s="33">
        <f t="shared" si="41"/>
        <v>77</v>
      </c>
      <c r="I23" s="33">
        <f t="shared" si="42"/>
        <v>9</v>
      </c>
      <c r="J23" s="33">
        <v>1</v>
      </c>
      <c r="L23" s="23" t="str">
        <f t="shared" si="43"/>
        <v>C41H77O9P1</v>
      </c>
      <c r="M23" s="23">
        <f t="shared" si="44"/>
        <v>744.53049220000003</v>
      </c>
      <c r="N23" s="23">
        <f t="shared" si="45"/>
        <v>745.5377668000001</v>
      </c>
      <c r="O23" s="23">
        <f t="shared" si="46"/>
        <v>727.52664680000009</v>
      </c>
      <c r="P23" s="23">
        <f t="shared" si="47"/>
        <v>762.56431220000002</v>
      </c>
      <c r="Q23" s="23">
        <f t="shared" si="48"/>
        <v>767.51971220000007</v>
      </c>
      <c r="R23" s="23">
        <f t="shared" si="49"/>
        <v>783.49365220000004</v>
      </c>
      <c r="S23" s="23">
        <f t="shared" si="50"/>
        <v>751.5459522000001</v>
      </c>
      <c r="T23" s="23">
        <f t="shared" si="51"/>
        <v>743.52321759999995</v>
      </c>
      <c r="U23" s="23">
        <f t="shared" si="52"/>
        <v>789.52871219999997</v>
      </c>
      <c r="V23" s="23">
        <f t="shared" si="53"/>
        <v>803.54436220000002</v>
      </c>
    </row>
    <row r="24" spans="1:22" x14ac:dyDescent="0.25">
      <c r="A24" s="35" t="s">
        <v>270</v>
      </c>
      <c r="B24" s="17" t="str">
        <f t="shared" si="36"/>
        <v>PG P-35:1</v>
      </c>
      <c r="C24" s="33" t="str">
        <f t="shared" si="37"/>
        <v>35</v>
      </c>
      <c r="D24" s="33" t="str">
        <f t="shared" si="38"/>
        <v>1</v>
      </c>
      <c r="E24" s="33" t="str">
        <f t="shared" si="39"/>
        <v>P-</v>
      </c>
      <c r="G24" s="33">
        <f t="shared" si="40"/>
        <v>41</v>
      </c>
      <c r="H24" s="33">
        <f t="shared" si="41"/>
        <v>79</v>
      </c>
      <c r="I24" s="33">
        <f t="shared" si="42"/>
        <v>9</v>
      </c>
      <c r="J24" s="33">
        <v>1</v>
      </c>
      <c r="L24" s="23" t="str">
        <f t="shared" si="43"/>
        <v>C41H79O9P1</v>
      </c>
      <c r="M24" s="23">
        <f t="shared" si="44"/>
        <v>746.54614140000001</v>
      </c>
      <c r="N24" s="23">
        <f t="shared" si="45"/>
        <v>747.55341600000008</v>
      </c>
      <c r="O24" s="23">
        <f t="shared" si="46"/>
        <v>729.54229600000008</v>
      </c>
      <c r="P24" s="23">
        <f t="shared" si="47"/>
        <v>764.5799614</v>
      </c>
      <c r="Q24" s="23">
        <f t="shared" si="48"/>
        <v>769.53536140000006</v>
      </c>
      <c r="R24" s="23">
        <f t="shared" si="49"/>
        <v>785.50930140000003</v>
      </c>
      <c r="S24" s="23">
        <f t="shared" si="50"/>
        <v>753.56160140000009</v>
      </c>
      <c r="T24" s="23">
        <f t="shared" si="51"/>
        <v>745.53886679999994</v>
      </c>
      <c r="U24" s="23">
        <f t="shared" si="52"/>
        <v>791.54436139999996</v>
      </c>
      <c r="V24" s="23">
        <f t="shared" si="53"/>
        <v>805.56001140000001</v>
      </c>
    </row>
    <row r="25" spans="1:22" x14ac:dyDescent="0.25">
      <c r="A25" s="35" t="s">
        <v>274</v>
      </c>
      <c r="B25" s="17" t="str">
        <f t="shared" si="36"/>
        <v>PG P-36:2</v>
      </c>
      <c r="C25" s="33" t="str">
        <f t="shared" si="37"/>
        <v>36</v>
      </c>
      <c r="D25" s="33" t="str">
        <f t="shared" si="38"/>
        <v>2</v>
      </c>
      <c r="E25" s="33" t="str">
        <f t="shared" si="39"/>
        <v>P-</v>
      </c>
      <c r="G25" s="33">
        <f t="shared" si="40"/>
        <v>42</v>
      </c>
      <c r="H25" s="33">
        <f t="shared" si="41"/>
        <v>79</v>
      </c>
      <c r="I25" s="33">
        <f t="shared" si="42"/>
        <v>9</v>
      </c>
      <c r="J25" s="33">
        <v>1</v>
      </c>
      <c r="L25" s="23" t="str">
        <f t="shared" si="43"/>
        <v>C42H79O9P1</v>
      </c>
      <c r="M25" s="23">
        <f t="shared" si="44"/>
        <v>758.54614140000001</v>
      </c>
      <c r="N25" s="23">
        <f t="shared" si="45"/>
        <v>759.55341600000008</v>
      </c>
      <c r="O25" s="23">
        <f t="shared" si="46"/>
        <v>741.54229600000008</v>
      </c>
      <c r="P25" s="23">
        <f t="shared" si="47"/>
        <v>776.5799614</v>
      </c>
      <c r="Q25" s="23">
        <f t="shared" si="48"/>
        <v>781.53536140000006</v>
      </c>
      <c r="R25" s="23">
        <f t="shared" si="49"/>
        <v>797.50930140000003</v>
      </c>
      <c r="S25" s="23">
        <f t="shared" si="50"/>
        <v>765.56160140000009</v>
      </c>
      <c r="T25" s="23">
        <f t="shared" si="51"/>
        <v>757.53886679999994</v>
      </c>
      <c r="U25" s="23">
        <f t="shared" si="52"/>
        <v>803.54436139999996</v>
      </c>
      <c r="V25" s="23">
        <f t="shared" si="53"/>
        <v>817.56001140000001</v>
      </c>
    </row>
  </sheetData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BCA8F96112904478559D884CF0B171A" ma:contentTypeVersion="20" ma:contentTypeDescription="Create a new document." ma:contentTypeScope="" ma:versionID="aabc2b6b0a3d99b1f03203a239777388">
  <xsd:schema xmlns:xsd="http://www.w3.org/2001/XMLSchema" xmlns:xs="http://www.w3.org/2001/XMLSchema" xmlns:p="http://schemas.microsoft.com/office/2006/metadata/properties" xmlns:ns1="http://schemas.microsoft.com/sharepoint/v3" xmlns:ns2="40ac4b42-d0cf-4109-bd0e-1a5810637a99" xmlns:ns3="07ee1068-3e09-407c-9c3e-e6818babbd23" targetNamespace="http://schemas.microsoft.com/office/2006/metadata/properties" ma:root="true" ma:fieldsID="b1ba79f942cd24dc11e1a20acbff8106" ns1:_="" ns2:_="" ns3:_="">
    <xsd:import namespace="http://schemas.microsoft.com/sharepoint/v3"/>
    <xsd:import namespace="40ac4b42-d0cf-4109-bd0e-1a5810637a99"/>
    <xsd:import namespace="07ee1068-3e09-407c-9c3e-e6818babbd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ac4b42-d0cf-4109-bd0e-1a5810637a9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461f6559-3fdf-4072-99e8-1c8ffe40d46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7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ee1068-3e09-407c-9c3e-e6818babbd23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3f42314b-8a67-4cb3-bb91-5c6c4aec7354}" ma:internalName="TaxCatchAll" ma:showField="CatchAllData" ma:web="07ee1068-3e09-407c-9c3e-e6818babbd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lcf76f155ced4ddcb4097134ff3c332f xmlns="40ac4b42-d0cf-4109-bd0e-1a5810637a99">
      <Terms xmlns="http://schemas.microsoft.com/office/infopath/2007/PartnerControls"/>
    </lcf76f155ced4ddcb4097134ff3c332f>
    <TaxCatchAll xmlns="07ee1068-3e09-407c-9c3e-e6818babbd23" xsi:nil="true"/>
  </documentManagement>
</p:properties>
</file>

<file path=customXml/itemProps1.xml><?xml version="1.0" encoding="utf-8"?>
<ds:datastoreItem xmlns:ds="http://schemas.openxmlformats.org/officeDocument/2006/customXml" ds:itemID="{9D4E51F2-3A94-414A-8D8C-147DA7789F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452E88F-AAF9-4E20-8D56-DE7DD9C700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0ac4b42-d0cf-4109-bd0e-1a5810637a99"/>
    <ds:schemaRef ds:uri="07ee1068-3e09-407c-9c3e-e6818babbd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7072B04-8C0F-4F32-B6FA-08D8D60DBA52}">
  <ds:schemaRefs>
    <ds:schemaRef ds:uri="http://purl.org/dc/dcmitype/"/>
    <ds:schemaRef ds:uri="http://schemas.openxmlformats.org/package/2006/metadata/core-properties"/>
    <ds:schemaRef ds:uri="http://schemas.microsoft.com/sharepoint/v3"/>
    <ds:schemaRef ds:uri="07ee1068-3e09-407c-9c3e-e6818babbd23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terms/"/>
    <ds:schemaRef ds:uri="40ac4b42-d0cf-4109-bd0e-1a5810637a99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Instructions</vt:lpstr>
      <vt:lpstr>Free Fatty Acids</vt:lpstr>
      <vt:lpstr>MGDG</vt:lpstr>
      <vt:lpstr>DGDG</vt:lpstr>
      <vt:lpstr>PG</vt:lpstr>
      <vt:lpstr>LysylPG</vt:lpstr>
      <vt:lpstr>PA</vt:lpstr>
      <vt:lpstr>CL</vt:lpstr>
      <vt:lpstr>Acyl PG</vt:lpstr>
      <vt:lpstr>Acyl PE</vt:lpstr>
      <vt:lpstr>PE</vt:lpstr>
      <vt:lpstr>LPE</vt:lpstr>
      <vt:lpstr>LPG</vt:lpstr>
      <vt:lpstr>DG</vt:lpstr>
      <vt:lpstr>LPA</vt:lpstr>
      <vt:lpstr>LPI</vt:lpstr>
      <vt:lpstr>PI</vt:lpstr>
      <vt:lpstr>LPS</vt:lpstr>
      <vt:lpstr>PS</vt:lpstr>
      <vt:lpstr>PMeOH</vt:lpstr>
      <vt:lpstr>PE_ether</vt:lpstr>
      <vt:lpstr>PG_ether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Candice Ulmer</dc:creator>
  <cp:lastModifiedBy>Hannah Marie Hynds</cp:lastModifiedBy>
  <dcterms:created xsi:type="dcterms:W3CDTF">2016-07-31T20:54:05Z</dcterms:created>
  <dcterms:modified xsi:type="dcterms:W3CDTF">2024-07-26T14:22:15Z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0x0101002CCE1FCB90D3364990A011E8E3ADA953</vt:lpwstr>
  </property>
</Properties>
</file>