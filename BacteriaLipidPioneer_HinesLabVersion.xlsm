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utlookuga-my.sharepoint.com/personal/kmh84885_uga_edu/Documents/Research/Grants/NSF CAREER/Preliminary Data/"/>
    </mc:Choice>
  </mc:AlternateContent>
  <xr:revisionPtr revIDLastSave="17" documentId="8_{4AD8CBBF-B098-4D5A-ACC1-71D469211C67}" xr6:coauthVersionLast="47" xr6:coauthVersionMax="47" xr10:uidLastSave="{8B1EC8E4-0F4D-468A-8241-CEBA9296379A}"/>
  <bookViews>
    <workbookView xWindow="-120" yWindow="330" windowWidth="29040" windowHeight="15990" tabRatio="816" xr2:uid="{00000000-000D-0000-FFFF-FFFF00000000}"/>
  </bookViews>
  <sheets>
    <sheet name="Instructions" sheetId="55" r:id="rId1"/>
    <sheet name="Free Fatty Acids" sheetId="18" r:id="rId2"/>
    <sheet name="MGDG" sheetId="50" r:id="rId3"/>
    <sheet name="DGDG" sheetId="103" r:id="rId4"/>
    <sheet name="PG" sheetId="12" r:id="rId5"/>
    <sheet name="LysylPG" sheetId="102" r:id="rId6"/>
    <sheet name="PA" sheetId="11" r:id="rId7"/>
    <sheet name="CL" sheetId="49" r:id="rId8"/>
    <sheet name="Acyl PG" sheetId="104" r:id="rId9"/>
    <sheet name="Acyl PE" sheetId="105" r:id="rId10"/>
    <sheet name="PE" sheetId="8" r:id="rId11"/>
    <sheet name="LPE" sheetId="9" r:id="rId12"/>
    <sheet name="LPG" sheetId="24" r:id="rId13"/>
    <sheet name="DG" sheetId="5" r:id="rId14"/>
    <sheet name="LPA" sheetId="27" r:id="rId15"/>
    <sheet name="LPI" sheetId="17" r:id="rId16"/>
    <sheet name="PI" sheetId="13" r:id="rId17"/>
    <sheet name="LPS" sheetId="25" r:id="rId18"/>
    <sheet name="PS" sheetId="10" r:id="rId19"/>
    <sheet name="PMeOH" sheetId="107" r:id="rId20"/>
    <sheet name="PE_ether" sheetId="67" r:id="rId21"/>
    <sheet name="PG_ether" sheetId="69" r:id="rId22"/>
    <sheet name="Summary" sheetId="106" r:id="rId23"/>
  </sheets>
  <definedNames>
    <definedName name="_xlnm._FilterDatabase" localSheetId="3" hidden="1">DGDG!$A$1:$X$37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8" i="50" l="1"/>
  <c r="D38" i="50"/>
  <c r="B38" i="50"/>
  <c r="C38" i="50" s="1"/>
  <c r="E38" i="50" s="1"/>
  <c r="H37" i="50"/>
  <c r="D37" i="50"/>
  <c r="B37" i="50"/>
  <c r="C37" i="50" s="1"/>
  <c r="E37" i="50" s="1"/>
  <c r="H36" i="50"/>
  <c r="D36" i="50"/>
  <c r="B36" i="50"/>
  <c r="C36" i="50" s="1"/>
  <c r="E36" i="50" s="1"/>
  <c r="H35" i="50"/>
  <c r="B35" i="50"/>
  <c r="D35" i="50" s="1"/>
  <c r="H34" i="50"/>
  <c r="D34" i="50"/>
  <c r="B34" i="50"/>
  <c r="C34" i="50" s="1"/>
  <c r="E34" i="50" s="1"/>
  <c r="H33" i="50"/>
  <c r="D33" i="50"/>
  <c r="B33" i="50"/>
  <c r="C33" i="50" s="1"/>
  <c r="E33" i="50" s="1"/>
  <c r="H32" i="50"/>
  <c r="D32" i="50"/>
  <c r="C32" i="50"/>
  <c r="E32" i="50" s="1"/>
  <c r="B32" i="50"/>
  <c r="H31" i="50"/>
  <c r="B31" i="50"/>
  <c r="C31" i="50" s="1"/>
  <c r="E31" i="50" s="1"/>
  <c r="H30" i="50"/>
  <c r="D30" i="50"/>
  <c r="B30" i="50"/>
  <c r="C30" i="50" s="1"/>
  <c r="E30" i="50" s="1"/>
  <c r="H29" i="50"/>
  <c r="D29" i="50"/>
  <c r="B29" i="50"/>
  <c r="C29" i="50" s="1"/>
  <c r="E29" i="50" s="1"/>
  <c r="H28" i="50"/>
  <c r="D28" i="50"/>
  <c r="B28" i="50"/>
  <c r="C28" i="50" s="1"/>
  <c r="E28" i="50" s="1"/>
  <c r="H27" i="50"/>
  <c r="B27" i="50"/>
  <c r="C27" i="50" s="1"/>
  <c r="E27" i="50" s="1"/>
  <c r="H26" i="50"/>
  <c r="D26" i="50"/>
  <c r="B26" i="50"/>
  <c r="C26" i="50" s="1"/>
  <c r="E26" i="50" s="1"/>
  <c r="H25" i="50"/>
  <c r="D25" i="50"/>
  <c r="C25" i="50"/>
  <c r="E25" i="50" s="1"/>
  <c r="B25" i="50"/>
  <c r="H24" i="50"/>
  <c r="D24" i="50"/>
  <c r="B24" i="50"/>
  <c r="C24" i="50" s="1"/>
  <c r="E24" i="50" s="1"/>
  <c r="H23" i="50"/>
  <c r="D23" i="50"/>
  <c r="C23" i="50"/>
  <c r="E23" i="50" s="1"/>
  <c r="B23" i="50"/>
  <c r="H22" i="50"/>
  <c r="D22" i="50"/>
  <c r="B22" i="50"/>
  <c r="C22" i="50" s="1"/>
  <c r="E22" i="50" s="1"/>
  <c r="H21" i="50"/>
  <c r="B21" i="50"/>
  <c r="D21" i="50" s="1"/>
  <c r="H20" i="50"/>
  <c r="D20" i="50"/>
  <c r="C20" i="50"/>
  <c r="E20" i="50" s="1"/>
  <c r="B20" i="50"/>
  <c r="H19" i="50"/>
  <c r="B19" i="50"/>
  <c r="C19" i="50" s="1"/>
  <c r="E19" i="50" s="1"/>
  <c r="H18" i="50"/>
  <c r="D18" i="50"/>
  <c r="B18" i="50"/>
  <c r="C18" i="50" s="1"/>
  <c r="E18" i="50" s="1"/>
  <c r="H17" i="50"/>
  <c r="B17" i="50"/>
  <c r="C17" i="50" s="1"/>
  <c r="E17" i="50" s="1"/>
  <c r="H16" i="50"/>
  <c r="D16" i="50"/>
  <c r="B16" i="50"/>
  <c r="C16" i="50" s="1"/>
  <c r="E16" i="50" s="1"/>
  <c r="H15" i="50"/>
  <c r="B15" i="50"/>
  <c r="C15" i="50" s="1"/>
  <c r="E15" i="50" s="1"/>
  <c r="H14" i="50"/>
  <c r="D14" i="50"/>
  <c r="B14" i="50"/>
  <c r="C14" i="50" s="1"/>
  <c r="E14" i="50" s="1"/>
  <c r="H13" i="50"/>
  <c r="B13" i="50"/>
  <c r="C13" i="50" s="1"/>
  <c r="E13" i="50" s="1"/>
  <c r="H12" i="50"/>
  <c r="D12" i="50"/>
  <c r="B12" i="50"/>
  <c r="C12" i="50" s="1"/>
  <c r="E12" i="50" s="1"/>
  <c r="R21" i="49"/>
  <c r="Q21" i="49"/>
  <c r="P21" i="49"/>
  <c r="R20" i="49"/>
  <c r="J27" i="105"/>
  <c r="E27" i="105"/>
  <c r="B27" i="105"/>
  <c r="D27" i="105" s="1"/>
  <c r="J26" i="105"/>
  <c r="E26" i="105"/>
  <c r="D26" i="105"/>
  <c r="B26" i="105"/>
  <c r="C26" i="105" s="1"/>
  <c r="G26" i="105" s="1"/>
  <c r="J25" i="105"/>
  <c r="E25" i="105"/>
  <c r="D25" i="105"/>
  <c r="C25" i="105"/>
  <c r="G25" i="105" s="1"/>
  <c r="B25" i="105"/>
  <c r="J24" i="105"/>
  <c r="E24" i="105"/>
  <c r="B24" i="105"/>
  <c r="C24" i="105" s="1"/>
  <c r="G24" i="105" s="1"/>
  <c r="J23" i="105"/>
  <c r="G23" i="105"/>
  <c r="E23" i="105"/>
  <c r="D23" i="105"/>
  <c r="C23" i="105"/>
  <c r="B23" i="105"/>
  <c r="J22" i="105"/>
  <c r="E22" i="105"/>
  <c r="B22" i="105"/>
  <c r="D22" i="105" s="1"/>
  <c r="J21" i="105"/>
  <c r="G21" i="105"/>
  <c r="E21" i="105"/>
  <c r="D21" i="105"/>
  <c r="C21" i="105"/>
  <c r="B21" i="105"/>
  <c r="J20" i="105"/>
  <c r="E20" i="105"/>
  <c r="D20" i="105"/>
  <c r="B20" i="105"/>
  <c r="C20" i="105" s="1"/>
  <c r="G20" i="105" s="1"/>
  <c r="J19" i="105"/>
  <c r="E19" i="105"/>
  <c r="B19" i="105"/>
  <c r="D19" i="105" s="1"/>
  <c r="J18" i="105"/>
  <c r="E18" i="105"/>
  <c r="B18" i="105"/>
  <c r="D18" i="105" s="1"/>
  <c r="J17" i="105"/>
  <c r="E17" i="105"/>
  <c r="B17" i="105"/>
  <c r="D17" i="105" s="1"/>
  <c r="J16" i="105"/>
  <c r="E16" i="105"/>
  <c r="B16" i="105"/>
  <c r="D16" i="105" s="1"/>
  <c r="J15" i="105"/>
  <c r="E15" i="105"/>
  <c r="D15" i="105"/>
  <c r="B15" i="105"/>
  <c r="C15" i="105" s="1"/>
  <c r="G15" i="105" s="1"/>
  <c r="J14" i="105"/>
  <c r="G14" i="105"/>
  <c r="E14" i="105"/>
  <c r="D14" i="105"/>
  <c r="C14" i="105"/>
  <c r="B14" i="105"/>
  <c r="J13" i="105"/>
  <c r="E13" i="105"/>
  <c r="B13" i="105"/>
  <c r="D13" i="105" s="1"/>
  <c r="J12" i="105"/>
  <c r="E12" i="105"/>
  <c r="B12" i="105"/>
  <c r="D12" i="105" s="1"/>
  <c r="J11" i="105"/>
  <c r="E11" i="105"/>
  <c r="D11" i="105"/>
  <c r="B11" i="105"/>
  <c r="C11" i="105" s="1"/>
  <c r="G11" i="105" s="1"/>
  <c r="J10" i="105"/>
  <c r="E10" i="105"/>
  <c r="D10" i="105"/>
  <c r="C10" i="105"/>
  <c r="G10" i="105" s="1"/>
  <c r="B10" i="105"/>
  <c r="J9" i="105"/>
  <c r="E9" i="105"/>
  <c r="B9" i="105"/>
  <c r="D9" i="105" s="1"/>
  <c r="J8" i="105"/>
  <c r="E8" i="105"/>
  <c r="D8" i="105"/>
  <c r="B8" i="105"/>
  <c r="C8" i="105" s="1"/>
  <c r="G8" i="105" s="1"/>
  <c r="J7" i="105"/>
  <c r="E7" i="105"/>
  <c r="D7" i="105"/>
  <c r="C7" i="105"/>
  <c r="G7" i="105" s="1"/>
  <c r="B7" i="105"/>
  <c r="J6" i="105"/>
  <c r="G6" i="105"/>
  <c r="E6" i="105"/>
  <c r="D6" i="105"/>
  <c r="C6" i="105"/>
  <c r="B6" i="105"/>
  <c r="J5" i="105"/>
  <c r="E5" i="105"/>
  <c r="B5" i="105"/>
  <c r="C5" i="105" s="1"/>
  <c r="G5" i="105" s="1"/>
  <c r="J4" i="105"/>
  <c r="E4" i="105"/>
  <c r="B4" i="105"/>
  <c r="D4" i="105" s="1"/>
  <c r="I27" i="104"/>
  <c r="B27" i="104"/>
  <c r="D27" i="104" s="1"/>
  <c r="I26" i="104"/>
  <c r="B26" i="104"/>
  <c r="C26" i="104" s="1"/>
  <c r="G26" i="104" s="1"/>
  <c r="I25" i="104"/>
  <c r="B25" i="104"/>
  <c r="D25" i="104" s="1"/>
  <c r="I24" i="104"/>
  <c r="B24" i="104"/>
  <c r="D24" i="104" s="1"/>
  <c r="I23" i="104"/>
  <c r="B23" i="104"/>
  <c r="D23" i="104" s="1"/>
  <c r="I22" i="104"/>
  <c r="B22" i="104"/>
  <c r="D22" i="104" s="1"/>
  <c r="I21" i="104"/>
  <c r="B21" i="104"/>
  <c r="D21" i="104" s="1"/>
  <c r="H4" i="5"/>
  <c r="B4" i="5"/>
  <c r="D4" i="5" s="1"/>
  <c r="H3" i="5"/>
  <c r="B3" i="5"/>
  <c r="D3" i="5" s="1"/>
  <c r="F38" i="50" l="1"/>
  <c r="M38" i="50" s="1"/>
  <c r="F37" i="50"/>
  <c r="M37" i="50" s="1"/>
  <c r="F36" i="50"/>
  <c r="M36" i="50" s="1"/>
  <c r="C35" i="50"/>
  <c r="E35" i="50" s="1"/>
  <c r="F34" i="50"/>
  <c r="M34" i="50" s="1"/>
  <c r="F33" i="50"/>
  <c r="M33" i="50" s="1"/>
  <c r="L32" i="50"/>
  <c r="M32" i="50"/>
  <c r="F32" i="50"/>
  <c r="D31" i="50"/>
  <c r="F31" i="50" s="1"/>
  <c r="F30" i="50"/>
  <c r="M30" i="50" s="1"/>
  <c r="L30" i="50"/>
  <c r="F29" i="50"/>
  <c r="M29" i="50" s="1"/>
  <c r="F28" i="50"/>
  <c r="M28" i="50" s="1"/>
  <c r="F27" i="50"/>
  <c r="L27" i="50" s="1"/>
  <c r="D27" i="50"/>
  <c r="F26" i="50"/>
  <c r="M26" i="50" s="1"/>
  <c r="M25" i="50"/>
  <c r="L25" i="50"/>
  <c r="F25" i="50"/>
  <c r="F24" i="50"/>
  <c r="M24" i="50" s="1"/>
  <c r="L24" i="50"/>
  <c r="F23" i="50"/>
  <c r="M23" i="50" s="1"/>
  <c r="F22" i="50"/>
  <c r="M22" i="50" s="1"/>
  <c r="C21" i="50"/>
  <c r="E21" i="50" s="1"/>
  <c r="F20" i="50"/>
  <c r="M20" i="50" s="1"/>
  <c r="D19" i="50"/>
  <c r="F19" i="50" s="1"/>
  <c r="F18" i="50"/>
  <c r="M18" i="50" s="1"/>
  <c r="F17" i="50"/>
  <c r="L17" i="50" s="1"/>
  <c r="D17" i="50"/>
  <c r="F16" i="50"/>
  <c r="M16" i="50" s="1"/>
  <c r="D15" i="50"/>
  <c r="F15" i="50" s="1"/>
  <c r="F14" i="50"/>
  <c r="M14" i="50" s="1"/>
  <c r="D13" i="50"/>
  <c r="F13" i="50" s="1"/>
  <c r="F12" i="50"/>
  <c r="M12" i="50" s="1"/>
  <c r="C27" i="105"/>
  <c r="G27" i="105" s="1"/>
  <c r="M26" i="105"/>
  <c r="L26" i="105"/>
  <c r="H26" i="105"/>
  <c r="H25" i="105"/>
  <c r="L25" i="105" s="1"/>
  <c r="D24" i="105"/>
  <c r="H24" i="105" s="1"/>
  <c r="M23" i="105"/>
  <c r="H23" i="105"/>
  <c r="L23" i="105"/>
  <c r="C22" i="105"/>
  <c r="G22" i="105" s="1"/>
  <c r="M21" i="105"/>
  <c r="H21" i="105"/>
  <c r="L21" i="105"/>
  <c r="H20" i="105"/>
  <c r="L20" i="105" s="1"/>
  <c r="C19" i="105"/>
  <c r="G19" i="105" s="1"/>
  <c r="C18" i="105"/>
  <c r="G18" i="105" s="1"/>
  <c r="C17" i="105"/>
  <c r="G17" i="105" s="1"/>
  <c r="C16" i="105"/>
  <c r="G16" i="105" s="1"/>
  <c r="H15" i="105"/>
  <c r="L15" i="105" s="1"/>
  <c r="H14" i="105"/>
  <c r="M14" i="105" s="1"/>
  <c r="C13" i="105"/>
  <c r="G13" i="105" s="1"/>
  <c r="C12" i="105"/>
  <c r="G12" i="105" s="1"/>
  <c r="H11" i="105"/>
  <c r="M11" i="105" s="1"/>
  <c r="H10" i="105"/>
  <c r="M10" i="105" s="1"/>
  <c r="C9" i="105"/>
  <c r="G9" i="105" s="1"/>
  <c r="H8" i="105"/>
  <c r="M8" i="105" s="1"/>
  <c r="H7" i="105"/>
  <c r="M7" i="105" s="1"/>
  <c r="H6" i="105"/>
  <c r="M6" i="105" s="1"/>
  <c r="D5" i="105"/>
  <c r="H5" i="105" s="1"/>
  <c r="C4" i="105"/>
  <c r="G4" i="105" s="1"/>
  <c r="D26" i="104"/>
  <c r="C21" i="104"/>
  <c r="G21" i="104" s="1"/>
  <c r="C23" i="104"/>
  <c r="G23" i="104" s="1"/>
  <c r="C25" i="104"/>
  <c r="G25" i="104" s="1"/>
  <c r="H25" i="104" s="1"/>
  <c r="M25" i="104" s="1"/>
  <c r="C27" i="104"/>
  <c r="G27" i="104" s="1"/>
  <c r="H27" i="104" s="1"/>
  <c r="M27" i="104" s="1"/>
  <c r="H26" i="104"/>
  <c r="M26" i="104" s="1"/>
  <c r="C24" i="104"/>
  <c r="G24" i="104" s="1"/>
  <c r="H23" i="104"/>
  <c r="M23" i="104" s="1"/>
  <c r="C22" i="104"/>
  <c r="G22" i="104" s="1"/>
  <c r="H21" i="104"/>
  <c r="M21" i="104" s="1"/>
  <c r="C4" i="5"/>
  <c r="F4" i="5" s="1"/>
  <c r="G4" i="5"/>
  <c r="L4" i="5" s="1"/>
  <c r="C3" i="5"/>
  <c r="F3" i="5" s="1"/>
  <c r="W38" i="50" l="1"/>
  <c r="V38" i="50"/>
  <c r="N38" i="50"/>
  <c r="O38" i="50" s="1"/>
  <c r="U38" i="50"/>
  <c r="T38" i="50"/>
  <c r="S38" i="50"/>
  <c r="R38" i="50"/>
  <c r="Q38" i="50"/>
  <c r="P38" i="50"/>
  <c r="L38" i="50"/>
  <c r="W37" i="50"/>
  <c r="V37" i="50"/>
  <c r="N37" i="50"/>
  <c r="O37" i="50" s="1"/>
  <c r="P37" i="50"/>
  <c r="U37" i="50"/>
  <c r="T37" i="50"/>
  <c r="S37" i="50"/>
  <c r="Q37" i="50"/>
  <c r="R37" i="50"/>
  <c r="L37" i="50"/>
  <c r="W36" i="50"/>
  <c r="U36" i="50"/>
  <c r="T36" i="50"/>
  <c r="V36" i="50"/>
  <c r="N36" i="50"/>
  <c r="O36" i="50" s="1"/>
  <c r="S36" i="50"/>
  <c r="R36" i="50"/>
  <c r="Q36" i="50"/>
  <c r="P36" i="50"/>
  <c r="L36" i="50"/>
  <c r="M35" i="50"/>
  <c r="L35" i="50"/>
  <c r="F35" i="50"/>
  <c r="W34" i="50"/>
  <c r="P34" i="50"/>
  <c r="V34" i="50"/>
  <c r="N34" i="50"/>
  <c r="O34" i="50" s="1"/>
  <c r="U34" i="50"/>
  <c r="T34" i="50"/>
  <c r="S34" i="50"/>
  <c r="R34" i="50"/>
  <c r="Q34" i="50"/>
  <c r="L34" i="50"/>
  <c r="W33" i="50"/>
  <c r="V33" i="50"/>
  <c r="N33" i="50"/>
  <c r="O33" i="50" s="1"/>
  <c r="U33" i="50"/>
  <c r="T33" i="50"/>
  <c r="S33" i="50"/>
  <c r="R33" i="50"/>
  <c r="Q33" i="50"/>
  <c r="P33" i="50"/>
  <c r="L33" i="50"/>
  <c r="V32" i="50"/>
  <c r="N32" i="50"/>
  <c r="O32" i="50" s="1"/>
  <c r="S32" i="50"/>
  <c r="U32" i="50"/>
  <c r="T32" i="50"/>
  <c r="R32" i="50"/>
  <c r="P32" i="50"/>
  <c r="W32" i="50"/>
  <c r="Q32" i="50"/>
  <c r="M31" i="50"/>
  <c r="L31" i="50"/>
  <c r="W30" i="50"/>
  <c r="R30" i="50"/>
  <c r="V30" i="50"/>
  <c r="N30" i="50"/>
  <c r="O30" i="50" s="1"/>
  <c r="U30" i="50"/>
  <c r="T30" i="50"/>
  <c r="S30" i="50"/>
  <c r="Q30" i="50"/>
  <c r="P30" i="50"/>
  <c r="W29" i="50"/>
  <c r="R29" i="50"/>
  <c r="V29" i="50"/>
  <c r="N29" i="50"/>
  <c r="O29" i="50" s="1"/>
  <c r="U29" i="50"/>
  <c r="T29" i="50"/>
  <c r="S29" i="50"/>
  <c r="Q29" i="50"/>
  <c r="P29" i="50"/>
  <c r="L29" i="50"/>
  <c r="W28" i="50"/>
  <c r="P28" i="50"/>
  <c r="V28" i="50"/>
  <c r="N28" i="50"/>
  <c r="O28" i="50" s="1"/>
  <c r="U28" i="50"/>
  <c r="T28" i="50"/>
  <c r="S28" i="50"/>
  <c r="Q28" i="50"/>
  <c r="R28" i="50"/>
  <c r="L28" i="50"/>
  <c r="M27" i="50"/>
  <c r="W26" i="50"/>
  <c r="V26" i="50"/>
  <c r="N26" i="50"/>
  <c r="O26" i="50" s="1"/>
  <c r="Q26" i="50"/>
  <c r="U26" i="50"/>
  <c r="T26" i="50"/>
  <c r="P26" i="50"/>
  <c r="S26" i="50"/>
  <c r="R26" i="50"/>
  <c r="L26" i="50"/>
  <c r="V25" i="50"/>
  <c r="N25" i="50"/>
  <c r="O25" i="50" s="1"/>
  <c r="T25" i="50"/>
  <c r="U25" i="50"/>
  <c r="P25" i="50"/>
  <c r="W25" i="50"/>
  <c r="S25" i="50"/>
  <c r="R25" i="50"/>
  <c r="Q25" i="50"/>
  <c r="W24" i="50"/>
  <c r="V24" i="50"/>
  <c r="N24" i="50"/>
  <c r="O24" i="50" s="1"/>
  <c r="U24" i="50"/>
  <c r="R24" i="50"/>
  <c r="T24" i="50"/>
  <c r="S24" i="50"/>
  <c r="Q24" i="50"/>
  <c r="P24" i="50"/>
  <c r="W23" i="50"/>
  <c r="V23" i="50"/>
  <c r="N23" i="50"/>
  <c r="O23" i="50" s="1"/>
  <c r="U23" i="50"/>
  <c r="T23" i="50"/>
  <c r="S23" i="50"/>
  <c r="Q23" i="50"/>
  <c r="P23" i="50"/>
  <c r="R23" i="50"/>
  <c r="L23" i="50"/>
  <c r="W22" i="50"/>
  <c r="T22" i="50"/>
  <c r="S22" i="50"/>
  <c r="V22" i="50"/>
  <c r="N22" i="50"/>
  <c r="O22" i="50" s="1"/>
  <c r="U22" i="50"/>
  <c r="R22" i="50"/>
  <c r="Q22" i="50"/>
  <c r="P22" i="50"/>
  <c r="L22" i="50"/>
  <c r="M21" i="50"/>
  <c r="L21" i="50"/>
  <c r="F21" i="50"/>
  <c r="V20" i="50"/>
  <c r="N20" i="50"/>
  <c r="O20" i="50" s="1"/>
  <c r="U20" i="50"/>
  <c r="T20" i="50"/>
  <c r="S20" i="50"/>
  <c r="R20" i="50"/>
  <c r="W20" i="50"/>
  <c r="Q20" i="50"/>
  <c r="P20" i="50"/>
  <c r="L20" i="50"/>
  <c r="M19" i="50"/>
  <c r="L19" i="50"/>
  <c r="W18" i="50"/>
  <c r="V18" i="50"/>
  <c r="N18" i="50"/>
  <c r="O18" i="50" s="1"/>
  <c r="U18" i="50"/>
  <c r="R18" i="50"/>
  <c r="T18" i="50"/>
  <c r="S18" i="50"/>
  <c r="Q18" i="50"/>
  <c r="P18" i="50"/>
  <c r="L18" i="50"/>
  <c r="M17" i="50"/>
  <c r="W16" i="50"/>
  <c r="U16" i="50"/>
  <c r="T16" i="50"/>
  <c r="V16" i="50"/>
  <c r="N16" i="50"/>
  <c r="O16" i="50" s="1"/>
  <c r="R16" i="50"/>
  <c r="Q16" i="50"/>
  <c r="P16" i="50"/>
  <c r="S16" i="50"/>
  <c r="L16" i="50"/>
  <c r="M15" i="50"/>
  <c r="L15" i="50"/>
  <c r="W14" i="50"/>
  <c r="P14" i="50"/>
  <c r="V14" i="50"/>
  <c r="N14" i="50"/>
  <c r="O14" i="50" s="1"/>
  <c r="U14" i="50"/>
  <c r="T14" i="50"/>
  <c r="S14" i="50"/>
  <c r="R14" i="50"/>
  <c r="Q14" i="50"/>
  <c r="L14" i="50"/>
  <c r="M13" i="50"/>
  <c r="L13" i="50"/>
  <c r="W12" i="50"/>
  <c r="S12" i="50"/>
  <c r="R12" i="50"/>
  <c r="Q12" i="50"/>
  <c r="P12" i="50"/>
  <c r="V12" i="50"/>
  <c r="N12" i="50"/>
  <c r="O12" i="50" s="1"/>
  <c r="U12" i="50"/>
  <c r="T12" i="50"/>
  <c r="L12" i="50"/>
  <c r="H27" i="105"/>
  <c r="M27" i="105" s="1"/>
  <c r="V26" i="105"/>
  <c r="N26" i="105"/>
  <c r="O26" i="105" s="1"/>
  <c r="U26" i="105"/>
  <c r="T26" i="105"/>
  <c r="S26" i="105"/>
  <c r="P26" i="105"/>
  <c r="R26" i="105"/>
  <c r="Q26" i="105"/>
  <c r="M25" i="105"/>
  <c r="M24" i="105"/>
  <c r="L24" i="105"/>
  <c r="U23" i="105"/>
  <c r="T23" i="105"/>
  <c r="S23" i="105"/>
  <c r="R23" i="105"/>
  <c r="P23" i="105"/>
  <c r="V23" i="105"/>
  <c r="N23" i="105"/>
  <c r="O23" i="105" s="1"/>
  <c r="Q23" i="105"/>
  <c r="M22" i="105"/>
  <c r="L22" i="105"/>
  <c r="H22" i="105"/>
  <c r="U21" i="105"/>
  <c r="T21" i="105"/>
  <c r="S21" i="105"/>
  <c r="R21" i="105"/>
  <c r="P21" i="105"/>
  <c r="V21" i="105"/>
  <c r="N21" i="105"/>
  <c r="O21" i="105" s="1"/>
  <c r="Q21" i="105"/>
  <c r="M20" i="105"/>
  <c r="H19" i="105"/>
  <c r="L19" i="105" s="1"/>
  <c r="H18" i="105"/>
  <c r="M18" i="105" s="1"/>
  <c r="H17" i="105"/>
  <c r="M17" i="105" s="1"/>
  <c r="L17" i="105"/>
  <c r="H16" i="105"/>
  <c r="M16" i="105" s="1"/>
  <c r="M15" i="105"/>
  <c r="Q14" i="105"/>
  <c r="U14" i="105"/>
  <c r="T14" i="105"/>
  <c r="S14" i="105"/>
  <c r="R14" i="105"/>
  <c r="P14" i="105"/>
  <c r="V14" i="105"/>
  <c r="N14" i="105"/>
  <c r="O14" i="105" s="1"/>
  <c r="L14" i="105"/>
  <c r="H13" i="105"/>
  <c r="M13" i="105" s="1"/>
  <c r="M12" i="105"/>
  <c r="L12" i="105"/>
  <c r="H12" i="105"/>
  <c r="V11" i="105"/>
  <c r="N11" i="105"/>
  <c r="O11" i="105" s="1"/>
  <c r="U11" i="105"/>
  <c r="S11" i="105"/>
  <c r="T11" i="105"/>
  <c r="R11" i="105"/>
  <c r="Q11" i="105"/>
  <c r="P11" i="105"/>
  <c r="L11" i="105"/>
  <c r="V10" i="105"/>
  <c r="U10" i="105"/>
  <c r="T10" i="105"/>
  <c r="S10" i="105"/>
  <c r="R10" i="105"/>
  <c r="Q10" i="105"/>
  <c r="P10" i="105"/>
  <c r="N10" i="105"/>
  <c r="O10" i="105" s="1"/>
  <c r="L10" i="105"/>
  <c r="H9" i="105"/>
  <c r="M9" i="105"/>
  <c r="L9" i="105"/>
  <c r="V8" i="105"/>
  <c r="N8" i="105"/>
  <c r="O8" i="105" s="1"/>
  <c r="U8" i="105"/>
  <c r="T8" i="105"/>
  <c r="S8" i="105"/>
  <c r="R8" i="105"/>
  <c r="Q8" i="105"/>
  <c r="P8" i="105"/>
  <c r="L8" i="105"/>
  <c r="V7" i="105"/>
  <c r="N7" i="105"/>
  <c r="O7" i="105" s="1"/>
  <c r="U7" i="105"/>
  <c r="T7" i="105"/>
  <c r="S7" i="105"/>
  <c r="R7" i="105"/>
  <c r="Q7" i="105"/>
  <c r="P7" i="105"/>
  <c r="L7" i="105"/>
  <c r="U6" i="105"/>
  <c r="T6" i="105"/>
  <c r="S6" i="105"/>
  <c r="R6" i="105"/>
  <c r="P6" i="105"/>
  <c r="V6" i="105"/>
  <c r="N6" i="105"/>
  <c r="O6" i="105" s="1"/>
  <c r="Q6" i="105"/>
  <c r="L6" i="105"/>
  <c r="L5" i="105"/>
  <c r="M5" i="105"/>
  <c r="H4" i="105"/>
  <c r="L4" i="105" s="1"/>
  <c r="L26" i="104"/>
  <c r="V27" i="104"/>
  <c r="N27" i="104"/>
  <c r="O27" i="104" s="1"/>
  <c r="U27" i="104"/>
  <c r="T27" i="104"/>
  <c r="S27" i="104"/>
  <c r="R27" i="104"/>
  <c r="Q27" i="104"/>
  <c r="P27" i="104"/>
  <c r="L27" i="104"/>
  <c r="V26" i="104"/>
  <c r="N26" i="104"/>
  <c r="O26" i="104" s="1"/>
  <c r="U26" i="104"/>
  <c r="T26" i="104"/>
  <c r="S26" i="104"/>
  <c r="R26" i="104"/>
  <c r="Q26" i="104"/>
  <c r="P26" i="104"/>
  <c r="V25" i="104"/>
  <c r="N25" i="104"/>
  <c r="O25" i="104" s="1"/>
  <c r="U25" i="104"/>
  <c r="T25" i="104"/>
  <c r="S25" i="104"/>
  <c r="R25" i="104"/>
  <c r="Q25" i="104"/>
  <c r="P25" i="104"/>
  <c r="L25" i="104"/>
  <c r="H24" i="104"/>
  <c r="M24" i="104" s="1"/>
  <c r="V23" i="104"/>
  <c r="N23" i="104"/>
  <c r="O23" i="104" s="1"/>
  <c r="U23" i="104"/>
  <c r="T23" i="104"/>
  <c r="S23" i="104"/>
  <c r="R23" i="104"/>
  <c r="Q23" i="104"/>
  <c r="P23" i="104"/>
  <c r="L23" i="104"/>
  <c r="H22" i="104"/>
  <c r="M22" i="104" s="1"/>
  <c r="V21" i="104"/>
  <c r="N21" i="104"/>
  <c r="O21" i="104" s="1"/>
  <c r="U21" i="104"/>
  <c r="T21" i="104"/>
  <c r="S21" i="104"/>
  <c r="R21" i="104"/>
  <c r="Q21" i="104"/>
  <c r="P21" i="104"/>
  <c r="L21" i="104"/>
  <c r="M4" i="5"/>
  <c r="G3" i="5"/>
  <c r="L3" i="5" s="1"/>
  <c r="U35" i="50" l="1"/>
  <c r="T35" i="50"/>
  <c r="W35" i="50"/>
  <c r="S35" i="50"/>
  <c r="R35" i="50"/>
  <c r="Q35" i="50"/>
  <c r="P35" i="50"/>
  <c r="V35" i="50"/>
  <c r="N35" i="50"/>
  <c r="O35" i="50" s="1"/>
  <c r="W31" i="50"/>
  <c r="V31" i="50"/>
  <c r="N31" i="50"/>
  <c r="O31" i="50" s="1"/>
  <c r="S31" i="50"/>
  <c r="R31" i="50"/>
  <c r="Q31" i="50"/>
  <c r="P31" i="50"/>
  <c r="U31" i="50"/>
  <c r="T31" i="50"/>
  <c r="W27" i="50"/>
  <c r="V27" i="50"/>
  <c r="N27" i="50"/>
  <c r="O27" i="50" s="1"/>
  <c r="T27" i="50"/>
  <c r="S27" i="50"/>
  <c r="Q27" i="50"/>
  <c r="P27" i="50"/>
  <c r="U27" i="50"/>
  <c r="R27" i="50"/>
  <c r="U21" i="50"/>
  <c r="T21" i="50"/>
  <c r="S21" i="50"/>
  <c r="R21" i="50"/>
  <c r="Q21" i="50"/>
  <c r="P21" i="50"/>
  <c r="W21" i="50"/>
  <c r="V21" i="50"/>
  <c r="N21" i="50"/>
  <c r="O21" i="50" s="1"/>
  <c r="W19" i="50"/>
  <c r="V19" i="50"/>
  <c r="N19" i="50"/>
  <c r="O19" i="50" s="1"/>
  <c r="U19" i="50"/>
  <c r="T19" i="50"/>
  <c r="S19" i="50"/>
  <c r="R19" i="50"/>
  <c r="Q19" i="50"/>
  <c r="P19" i="50"/>
  <c r="T17" i="50"/>
  <c r="N17" i="50"/>
  <c r="O17" i="50" s="1"/>
  <c r="U17" i="50"/>
  <c r="S17" i="50"/>
  <c r="R17" i="50"/>
  <c r="Q17" i="50"/>
  <c r="P17" i="50"/>
  <c r="W17" i="50"/>
  <c r="V17" i="50"/>
  <c r="W15" i="50"/>
  <c r="V15" i="50"/>
  <c r="N15" i="50"/>
  <c r="O15" i="50" s="1"/>
  <c r="S15" i="50"/>
  <c r="U15" i="50"/>
  <c r="R15" i="50"/>
  <c r="T15" i="50"/>
  <c r="Q15" i="50"/>
  <c r="P15" i="50"/>
  <c r="W13" i="50"/>
  <c r="V13" i="50"/>
  <c r="N13" i="50"/>
  <c r="O13" i="50" s="1"/>
  <c r="R13" i="50"/>
  <c r="Q13" i="50"/>
  <c r="P13" i="50"/>
  <c r="U13" i="50"/>
  <c r="T13" i="50"/>
  <c r="S13" i="50"/>
  <c r="T27" i="105"/>
  <c r="S27" i="105"/>
  <c r="R27" i="105"/>
  <c r="Q27" i="105"/>
  <c r="N27" i="105"/>
  <c r="O27" i="105" s="1"/>
  <c r="P27" i="105"/>
  <c r="V27" i="105"/>
  <c r="U27" i="105"/>
  <c r="L27" i="105"/>
  <c r="V25" i="105"/>
  <c r="N25" i="105"/>
  <c r="O25" i="105" s="1"/>
  <c r="U25" i="105"/>
  <c r="T25" i="105"/>
  <c r="S25" i="105"/>
  <c r="R25" i="105"/>
  <c r="Q25" i="105"/>
  <c r="P25" i="105"/>
  <c r="V24" i="105"/>
  <c r="N24" i="105"/>
  <c r="O24" i="105" s="1"/>
  <c r="U24" i="105"/>
  <c r="P24" i="105"/>
  <c r="T24" i="105"/>
  <c r="S24" i="105"/>
  <c r="R24" i="105"/>
  <c r="Q24" i="105"/>
  <c r="T22" i="105"/>
  <c r="R22" i="105"/>
  <c r="Q22" i="105"/>
  <c r="P22" i="105"/>
  <c r="V22" i="105"/>
  <c r="N22" i="105"/>
  <c r="O22" i="105" s="1"/>
  <c r="U22" i="105"/>
  <c r="S22" i="105"/>
  <c r="V20" i="105"/>
  <c r="N20" i="105"/>
  <c r="O20" i="105" s="1"/>
  <c r="T20" i="105"/>
  <c r="U20" i="105"/>
  <c r="S20" i="105"/>
  <c r="R20" i="105"/>
  <c r="Q20" i="105"/>
  <c r="P20" i="105"/>
  <c r="M19" i="105"/>
  <c r="P18" i="105"/>
  <c r="V18" i="105"/>
  <c r="N18" i="105"/>
  <c r="O18" i="105" s="1"/>
  <c r="U18" i="105"/>
  <c r="T18" i="105"/>
  <c r="S18" i="105"/>
  <c r="R18" i="105"/>
  <c r="Q18" i="105"/>
  <c r="L18" i="105"/>
  <c r="T17" i="105"/>
  <c r="R17" i="105"/>
  <c r="Q17" i="105"/>
  <c r="P17" i="105"/>
  <c r="V17" i="105"/>
  <c r="N17" i="105"/>
  <c r="O17" i="105" s="1"/>
  <c r="U17" i="105"/>
  <c r="S17" i="105"/>
  <c r="P16" i="105"/>
  <c r="V16" i="105"/>
  <c r="N16" i="105"/>
  <c r="O16" i="105" s="1"/>
  <c r="U16" i="105"/>
  <c r="T16" i="105"/>
  <c r="S16" i="105"/>
  <c r="R16" i="105"/>
  <c r="Q16" i="105"/>
  <c r="L16" i="105"/>
  <c r="V15" i="105"/>
  <c r="N15" i="105"/>
  <c r="O15" i="105" s="1"/>
  <c r="U15" i="105"/>
  <c r="T15" i="105"/>
  <c r="S15" i="105"/>
  <c r="R15" i="105"/>
  <c r="Q15" i="105"/>
  <c r="P15" i="105"/>
  <c r="V13" i="105"/>
  <c r="P13" i="105"/>
  <c r="N13" i="105"/>
  <c r="O13" i="105" s="1"/>
  <c r="U13" i="105"/>
  <c r="T13" i="105"/>
  <c r="S13" i="105"/>
  <c r="R13" i="105"/>
  <c r="Q13" i="105"/>
  <c r="L13" i="105"/>
  <c r="P12" i="105"/>
  <c r="V12" i="105"/>
  <c r="N12" i="105"/>
  <c r="O12" i="105" s="1"/>
  <c r="U12" i="105"/>
  <c r="T12" i="105"/>
  <c r="S12" i="105"/>
  <c r="R12" i="105"/>
  <c r="Q12" i="105"/>
  <c r="T9" i="105"/>
  <c r="R9" i="105"/>
  <c r="Q9" i="105"/>
  <c r="P9" i="105"/>
  <c r="V9" i="105"/>
  <c r="N9" i="105"/>
  <c r="O9" i="105" s="1"/>
  <c r="U9" i="105"/>
  <c r="S9" i="105"/>
  <c r="V5" i="105"/>
  <c r="N5" i="105"/>
  <c r="O5" i="105" s="1"/>
  <c r="T5" i="105"/>
  <c r="S5" i="105"/>
  <c r="R5" i="105"/>
  <c r="Q5" i="105"/>
  <c r="P5" i="105"/>
  <c r="U5" i="105"/>
  <c r="M4" i="105"/>
  <c r="V24" i="104"/>
  <c r="N24" i="104"/>
  <c r="O24" i="104" s="1"/>
  <c r="U24" i="104"/>
  <c r="T24" i="104"/>
  <c r="S24" i="104"/>
  <c r="R24" i="104"/>
  <c r="Q24" i="104"/>
  <c r="P24" i="104"/>
  <c r="L24" i="104"/>
  <c r="U22" i="104"/>
  <c r="T22" i="104"/>
  <c r="S22" i="104"/>
  <c r="N22" i="104"/>
  <c r="O22" i="104" s="1"/>
  <c r="R22" i="104"/>
  <c r="Q22" i="104"/>
  <c r="P22" i="104"/>
  <c r="V22" i="104"/>
  <c r="L22" i="104"/>
  <c r="V4" i="5"/>
  <c r="N4" i="5"/>
  <c r="O4" i="5" s="1"/>
  <c r="U4" i="5"/>
  <c r="T4" i="5"/>
  <c r="S4" i="5"/>
  <c r="Q4" i="5"/>
  <c r="R4" i="5"/>
  <c r="P4" i="5"/>
  <c r="M3" i="5"/>
  <c r="R19" i="105" l="1"/>
  <c r="Q19" i="105"/>
  <c r="P19" i="105"/>
  <c r="V19" i="105"/>
  <c r="N19" i="105"/>
  <c r="O19" i="105" s="1"/>
  <c r="U19" i="105"/>
  <c r="T19" i="105"/>
  <c r="S19" i="105"/>
  <c r="T4" i="105"/>
  <c r="S4" i="105"/>
  <c r="R4" i="105"/>
  <c r="Q4" i="105"/>
  <c r="U4" i="105"/>
  <c r="P4" i="105"/>
  <c r="V4" i="105"/>
  <c r="N4" i="105"/>
  <c r="O4" i="105" s="1"/>
  <c r="R3" i="5"/>
  <c r="V3" i="5"/>
  <c r="Q3" i="5"/>
  <c r="P3" i="5"/>
  <c r="N3" i="5"/>
  <c r="O3" i="5" s="1"/>
  <c r="U3" i="5"/>
  <c r="T3" i="5"/>
  <c r="S3" i="5"/>
  <c r="H4" i="107" l="1"/>
  <c r="B4" i="107"/>
  <c r="D4" i="107" s="1"/>
  <c r="H3" i="107"/>
  <c r="B3" i="107"/>
  <c r="D3" i="107" s="1"/>
  <c r="H2" i="107"/>
  <c r="B2" i="107"/>
  <c r="D2" i="107" s="1"/>
  <c r="C2" i="107" l="1"/>
  <c r="E2" i="107" s="1"/>
  <c r="C3" i="107"/>
  <c r="E3" i="107" s="1"/>
  <c r="C4" i="107"/>
  <c r="E4" i="107" s="1"/>
  <c r="F2" i="107" l="1"/>
  <c r="L2" i="107" s="1"/>
  <c r="F3" i="107"/>
  <c r="L3" i="107" s="1"/>
  <c r="M3" i="107"/>
  <c r="F4" i="107"/>
  <c r="M4" i="107"/>
  <c r="L4" i="107"/>
  <c r="T3" i="107" l="1"/>
  <c r="S3" i="107"/>
  <c r="R3" i="107"/>
  <c r="Q3" i="107"/>
  <c r="P3" i="107"/>
  <c r="V3" i="107"/>
  <c r="N3" i="107"/>
  <c r="O3" i="107" s="1"/>
  <c r="U3" i="107"/>
  <c r="M2" i="107"/>
  <c r="T4" i="107"/>
  <c r="S4" i="107"/>
  <c r="R4" i="107"/>
  <c r="Q4" i="107"/>
  <c r="P4" i="107"/>
  <c r="V4" i="107"/>
  <c r="N4" i="107"/>
  <c r="O4" i="107" s="1"/>
  <c r="U4" i="107"/>
  <c r="N2" i="107" l="1"/>
  <c r="O2" i="107" s="1"/>
  <c r="U2" i="107"/>
  <c r="S2" i="107"/>
  <c r="T2" i="107"/>
  <c r="R2" i="107"/>
  <c r="Q2" i="107"/>
  <c r="P2" i="107"/>
  <c r="V2" i="107"/>
  <c r="M633" i="106" l="1"/>
  <c r="L633" i="106"/>
  <c r="K633" i="106"/>
  <c r="J633" i="106"/>
  <c r="I633" i="106"/>
  <c r="H633" i="106"/>
  <c r="G633" i="106"/>
  <c r="F633" i="106"/>
  <c r="E633" i="106"/>
  <c r="D633" i="106"/>
  <c r="C633" i="106"/>
  <c r="B633" i="106"/>
  <c r="M632" i="106"/>
  <c r="L632" i="106"/>
  <c r="K632" i="106"/>
  <c r="J632" i="106"/>
  <c r="I632" i="106"/>
  <c r="H632" i="106"/>
  <c r="G632" i="106"/>
  <c r="F632" i="106"/>
  <c r="E632" i="106"/>
  <c r="D632" i="106"/>
  <c r="C632" i="106"/>
  <c r="B632" i="106"/>
  <c r="M631" i="106"/>
  <c r="L631" i="106"/>
  <c r="K631" i="106"/>
  <c r="J631" i="106"/>
  <c r="I631" i="106"/>
  <c r="H631" i="106"/>
  <c r="G631" i="106"/>
  <c r="F631" i="106"/>
  <c r="E631" i="106"/>
  <c r="D631" i="106"/>
  <c r="C631" i="106"/>
  <c r="B631" i="106"/>
  <c r="M630" i="106"/>
  <c r="L630" i="106"/>
  <c r="K630" i="106"/>
  <c r="J630" i="106"/>
  <c r="I630" i="106"/>
  <c r="H630" i="106"/>
  <c r="G630" i="106"/>
  <c r="F630" i="106"/>
  <c r="E630" i="106"/>
  <c r="D630" i="106"/>
  <c r="C630" i="106"/>
  <c r="B630" i="106"/>
  <c r="M629" i="106"/>
  <c r="L629" i="106"/>
  <c r="K629" i="106"/>
  <c r="J629" i="106"/>
  <c r="I629" i="106"/>
  <c r="H629" i="106"/>
  <c r="G629" i="106"/>
  <c r="F629" i="106"/>
  <c r="E629" i="106"/>
  <c r="D629" i="106"/>
  <c r="C629" i="106"/>
  <c r="B629" i="106"/>
  <c r="M628" i="106"/>
  <c r="L628" i="106"/>
  <c r="K628" i="106"/>
  <c r="J628" i="106"/>
  <c r="I628" i="106"/>
  <c r="H628" i="106"/>
  <c r="G628" i="106"/>
  <c r="F628" i="106"/>
  <c r="E628" i="106"/>
  <c r="D628" i="106"/>
  <c r="C628" i="106"/>
  <c r="B628" i="106"/>
  <c r="M627" i="106"/>
  <c r="L627" i="106"/>
  <c r="K627" i="106"/>
  <c r="J627" i="106"/>
  <c r="I627" i="106"/>
  <c r="H627" i="106"/>
  <c r="G627" i="106"/>
  <c r="F627" i="106"/>
  <c r="E627" i="106"/>
  <c r="D627" i="106"/>
  <c r="C627" i="106"/>
  <c r="B627" i="106"/>
  <c r="M626" i="106"/>
  <c r="L626" i="106"/>
  <c r="K626" i="106"/>
  <c r="J626" i="106"/>
  <c r="I626" i="106"/>
  <c r="H626" i="106"/>
  <c r="G626" i="106"/>
  <c r="F626" i="106"/>
  <c r="E626" i="106"/>
  <c r="D626" i="106"/>
  <c r="C626" i="106"/>
  <c r="B626" i="106"/>
  <c r="M625" i="106"/>
  <c r="L625" i="106"/>
  <c r="K625" i="106"/>
  <c r="J625" i="106"/>
  <c r="I625" i="106"/>
  <c r="H625" i="106"/>
  <c r="G625" i="106"/>
  <c r="F625" i="106"/>
  <c r="E625" i="106"/>
  <c r="D625" i="106"/>
  <c r="C625" i="106"/>
  <c r="B625" i="106"/>
  <c r="M624" i="106"/>
  <c r="L624" i="106"/>
  <c r="K624" i="106"/>
  <c r="J624" i="106"/>
  <c r="I624" i="106"/>
  <c r="H624" i="106"/>
  <c r="G624" i="106"/>
  <c r="F624" i="106"/>
  <c r="E624" i="106"/>
  <c r="D624" i="106"/>
  <c r="C624" i="106"/>
  <c r="B624" i="106"/>
  <c r="M623" i="106"/>
  <c r="L623" i="106"/>
  <c r="K623" i="106"/>
  <c r="J623" i="106"/>
  <c r="I623" i="106"/>
  <c r="H623" i="106"/>
  <c r="G623" i="106"/>
  <c r="F623" i="106"/>
  <c r="E623" i="106"/>
  <c r="D623" i="106"/>
  <c r="C623" i="106"/>
  <c r="B623" i="106"/>
  <c r="M622" i="106"/>
  <c r="L622" i="106"/>
  <c r="K622" i="106"/>
  <c r="J622" i="106"/>
  <c r="I622" i="106"/>
  <c r="H622" i="106"/>
  <c r="G622" i="106"/>
  <c r="F622" i="106"/>
  <c r="E622" i="106"/>
  <c r="D622" i="106"/>
  <c r="C622" i="106"/>
  <c r="B622" i="106"/>
  <c r="M621" i="106"/>
  <c r="L621" i="106"/>
  <c r="K621" i="106"/>
  <c r="J621" i="106"/>
  <c r="I621" i="106"/>
  <c r="H621" i="106"/>
  <c r="G621" i="106"/>
  <c r="F621" i="106"/>
  <c r="E621" i="106"/>
  <c r="D621" i="106"/>
  <c r="C621" i="106"/>
  <c r="B621" i="106"/>
  <c r="M620" i="106"/>
  <c r="L620" i="106"/>
  <c r="K620" i="106"/>
  <c r="J620" i="106"/>
  <c r="I620" i="106"/>
  <c r="H620" i="106"/>
  <c r="G620" i="106"/>
  <c r="F620" i="106"/>
  <c r="E620" i="106"/>
  <c r="D620" i="106"/>
  <c r="C620" i="106"/>
  <c r="B620" i="106"/>
  <c r="M619" i="106"/>
  <c r="L619" i="106"/>
  <c r="K619" i="106"/>
  <c r="J619" i="106"/>
  <c r="I619" i="106"/>
  <c r="H619" i="106"/>
  <c r="G619" i="106"/>
  <c r="F619" i="106"/>
  <c r="E619" i="106"/>
  <c r="D619" i="106"/>
  <c r="C619" i="106"/>
  <c r="B619" i="106"/>
  <c r="M618" i="106"/>
  <c r="L618" i="106"/>
  <c r="K618" i="106"/>
  <c r="J618" i="106"/>
  <c r="I618" i="106"/>
  <c r="H618" i="106"/>
  <c r="G618" i="106"/>
  <c r="F618" i="106"/>
  <c r="E618" i="106"/>
  <c r="D618" i="106"/>
  <c r="C618" i="106"/>
  <c r="B618" i="106"/>
  <c r="M617" i="106"/>
  <c r="L617" i="106"/>
  <c r="K617" i="106"/>
  <c r="J617" i="106"/>
  <c r="I617" i="106"/>
  <c r="H617" i="106"/>
  <c r="G617" i="106"/>
  <c r="F617" i="106"/>
  <c r="E617" i="106"/>
  <c r="D617" i="106"/>
  <c r="C617" i="106"/>
  <c r="B617" i="106"/>
  <c r="M616" i="106"/>
  <c r="L616" i="106"/>
  <c r="K616" i="106"/>
  <c r="J616" i="106"/>
  <c r="I616" i="106"/>
  <c r="H616" i="106"/>
  <c r="G616" i="106"/>
  <c r="F616" i="106"/>
  <c r="E616" i="106"/>
  <c r="D616" i="106"/>
  <c r="C616" i="106"/>
  <c r="B616" i="106"/>
  <c r="M615" i="106"/>
  <c r="L615" i="106"/>
  <c r="K615" i="106"/>
  <c r="J615" i="106"/>
  <c r="I615" i="106"/>
  <c r="H615" i="106"/>
  <c r="G615" i="106"/>
  <c r="F615" i="106"/>
  <c r="E615" i="106"/>
  <c r="D615" i="106"/>
  <c r="C615" i="106"/>
  <c r="B615" i="106"/>
  <c r="M614" i="106"/>
  <c r="L614" i="106"/>
  <c r="K614" i="106"/>
  <c r="J614" i="106"/>
  <c r="I614" i="106"/>
  <c r="H614" i="106"/>
  <c r="G614" i="106"/>
  <c r="F614" i="106"/>
  <c r="E614" i="106"/>
  <c r="D614" i="106"/>
  <c r="C614" i="106"/>
  <c r="B614" i="106"/>
  <c r="M613" i="106"/>
  <c r="L613" i="106"/>
  <c r="K613" i="106"/>
  <c r="J613" i="106"/>
  <c r="I613" i="106"/>
  <c r="H613" i="106"/>
  <c r="G613" i="106"/>
  <c r="F613" i="106"/>
  <c r="E613" i="106"/>
  <c r="D613" i="106"/>
  <c r="C613" i="106"/>
  <c r="B613" i="106"/>
  <c r="M612" i="106"/>
  <c r="L612" i="106"/>
  <c r="K612" i="106"/>
  <c r="J612" i="106"/>
  <c r="I612" i="106"/>
  <c r="H612" i="106"/>
  <c r="G612" i="106"/>
  <c r="F612" i="106"/>
  <c r="E612" i="106"/>
  <c r="D612" i="106"/>
  <c r="C612" i="106"/>
  <c r="B612" i="106"/>
  <c r="M611" i="106"/>
  <c r="L611" i="106"/>
  <c r="K611" i="106"/>
  <c r="J611" i="106"/>
  <c r="I611" i="106"/>
  <c r="H611" i="106"/>
  <c r="G611" i="106"/>
  <c r="F611" i="106"/>
  <c r="E611" i="106"/>
  <c r="D611" i="106"/>
  <c r="C611" i="106"/>
  <c r="B611" i="106"/>
  <c r="M610" i="106"/>
  <c r="L610" i="106"/>
  <c r="K610" i="106"/>
  <c r="J610" i="106"/>
  <c r="I610" i="106"/>
  <c r="H610" i="106"/>
  <c r="G610" i="106"/>
  <c r="F610" i="106"/>
  <c r="E610" i="106"/>
  <c r="D610" i="106"/>
  <c r="C610" i="106"/>
  <c r="B610" i="106"/>
  <c r="M609" i="106"/>
  <c r="L609" i="106"/>
  <c r="K609" i="106"/>
  <c r="J609" i="106"/>
  <c r="I609" i="106"/>
  <c r="H609" i="106"/>
  <c r="G609" i="106"/>
  <c r="F609" i="106"/>
  <c r="E609" i="106"/>
  <c r="D609" i="106"/>
  <c r="C609" i="106"/>
  <c r="B609" i="106"/>
  <c r="M608" i="106"/>
  <c r="L608" i="106"/>
  <c r="K608" i="106"/>
  <c r="J608" i="106"/>
  <c r="I608" i="106"/>
  <c r="H608" i="106"/>
  <c r="G608" i="106"/>
  <c r="F608" i="106"/>
  <c r="E608" i="106"/>
  <c r="D608" i="106"/>
  <c r="C608" i="106"/>
  <c r="B608" i="106"/>
  <c r="M607" i="106"/>
  <c r="L607" i="106"/>
  <c r="K607" i="106"/>
  <c r="J607" i="106"/>
  <c r="I607" i="106"/>
  <c r="H607" i="106"/>
  <c r="G607" i="106"/>
  <c r="F607" i="106"/>
  <c r="E607" i="106"/>
  <c r="D607" i="106"/>
  <c r="C607" i="106"/>
  <c r="B607" i="106"/>
  <c r="M606" i="106"/>
  <c r="L606" i="106"/>
  <c r="K606" i="106"/>
  <c r="J606" i="106"/>
  <c r="I606" i="106"/>
  <c r="H606" i="106"/>
  <c r="G606" i="106"/>
  <c r="F606" i="106"/>
  <c r="E606" i="106"/>
  <c r="D606" i="106"/>
  <c r="C606" i="106"/>
  <c r="B606" i="106"/>
  <c r="M605" i="106"/>
  <c r="L605" i="106"/>
  <c r="K605" i="106"/>
  <c r="J605" i="106"/>
  <c r="I605" i="106"/>
  <c r="H605" i="106"/>
  <c r="G605" i="106"/>
  <c r="F605" i="106"/>
  <c r="E605" i="106"/>
  <c r="D605" i="106"/>
  <c r="C605" i="106"/>
  <c r="B605" i="106"/>
  <c r="M604" i="106"/>
  <c r="L604" i="106"/>
  <c r="K604" i="106"/>
  <c r="J604" i="106"/>
  <c r="I604" i="106"/>
  <c r="H604" i="106"/>
  <c r="G604" i="106"/>
  <c r="F604" i="106"/>
  <c r="E604" i="106"/>
  <c r="D604" i="106"/>
  <c r="C604" i="106"/>
  <c r="B604" i="106"/>
  <c r="M603" i="106"/>
  <c r="L603" i="106"/>
  <c r="K603" i="106"/>
  <c r="J603" i="106"/>
  <c r="I603" i="106"/>
  <c r="H603" i="106"/>
  <c r="G603" i="106"/>
  <c r="F603" i="106"/>
  <c r="E603" i="106"/>
  <c r="D603" i="106"/>
  <c r="C603" i="106"/>
  <c r="B603" i="106"/>
  <c r="M602" i="106"/>
  <c r="L602" i="106"/>
  <c r="K602" i="106"/>
  <c r="J602" i="106"/>
  <c r="I602" i="106"/>
  <c r="H602" i="106"/>
  <c r="G602" i="106"/>
  <c r="F602" i="106"/>
  <c r="E602" i="106"/>
  <c r="D602" i="106"/>
  <c r="C602" i="106"/>
  <c r="B602" i="106"/>
  <c r="M601" i="106"/>
  <c r="L601" i="106"/>
  <c r="K601" i="106"/>
  <c r="J601" i="106"/>
  <c r="I601" i="106"/>
  <c r="H601" i="106"/>
  <c r="G601" i="106"/>
  <c r="F601" i="106"/>
  <c r="E601" i="106"/>
  <c r="D601" i="106"/>
  <c r="C601" i="106"/>
  <c r="B601" i="106"/>
  <c r="M600" i="106"/>
  <c r="L600" i="106"/>
  <c r="K600" i="106"/>
  <c r="J600" i="106"/>
  <c r="I600" i="106"/>
  <c r="H600" i="106"/>
  <c r="G600" i="106"/>
  <c r="F600" i="106"/>
  <c r="E600" i="106"/>
  <c r="D600" i="106"/>
  <c r="C600" i="106"/>
  <c r="B600" i="106"/>
  <c r="M599" i="106"/>
  <c r="L599" i="106"/>
  <c r="K599" i="106"/>
  <c r="J599" i="106"/>
  <c r="I599" i="106"/>
  <c r="H599" i="106"/>
  <c r="G599" i="106"/>
  <c r="F599" i="106"/>
  <c r="E599" i="106"/>
  <c r="D599" i="106"/>
  <c r="C599" i="106"/>
  <c r="B599" i="106"/>
  <c r="K598" i="106"/>
  <c r="J598" i="106"/>
  <c r="I598" i="106"/>
  <c r="H598" i="106"/>
  <c r="G598" i="106"/>
  <c r="F598" i="106"/>
  <c r="E598" i="106"/>
  <c r="D598" i="106"/>
  <c r="C598" i="106"/>
  <c r="B598" i="106"/>
  <c r="K597" i="106"/>
  <c r="J597" i="106"/>
  <c r="I597" i="106"/>
  <c r="H597" i="106"/>
  <c r="G597" i="106"/>
  <c r="F597" i="106"/>
  <c r="E597" i="106"/>
  <c r="D597" i="106"/>
  <c r="C597" i="106"/>
  <c r="B597" i="106"/>
  <c r="K596" i="106"/>
  <c r="J596" i="106"/>
  <c r="I596" i="106"/>
  <c r="H596" i="106"/>
  <c r="G596" i="106"/>
  <c r="F596" i="106"/>
  <c r="E596" i="106"/>
  <c r="D596" i="106"/>
  <c r="C596" i="106"/>
  <c r="B596" i="106"/>
  <c r="K595" i="106"/>
  <c r="J595" i="106"/>
  <c r="I595" i="106"/>
  <c r="H595" i="106"/>
  <c r="G595" i="106"/>
  <c r="F595" i="106"/>
  <c r="E595" i="106"/>
  <c r="D595" i="106"/>
  <c r="C595" i="106"/>
  <c r="B595" i="106"/>
  <c r="K594" i="106"/>
  <c r="J594" i="106"/>
  <c r="I594" i="106"/>
  <c r="H594" i="106"/>
  <c r="G594" i="106"/>
  <c r="F594" i="106"/>
  <c r="E594" i="106"/>
  <c r="D594" i="106"/>
  <c r="C594" i="106"/>
  <c r="B594" i="106"/>
  <c r="K593" i="106"/>
  <c r="J593" i="106"/>
  <c r="I593" i="106"/>
  <c r="H593" i="106"/>
  <c r="G593" i="106"/>
  <c r="F593" i="106"/>
  <c r="E593" i="106"/>
  <c r="D593" i="106"/>
  <c r="C593" i="106"/>
  <c r="B593" i="106"/>
  <c r="K592" i="106"/>
  <c r="J592" i="106"/>
  <c r="I592" i="106"/>
  <c r="H592" i="106"/>
  <c r="G592" i="106"/>
  <c r="F592" i="106"/>
  <c r="E592" i="106"/>
  <c r="D592" i="106"/>
  <c r="C592" i="106"/>
  <c r="B592" i="106"/>
  <c r="K591" i="106"/>
  <c r="J591" i="106"/>
  <c r="I591" i="106"/>
  <c r="H591" i="106"/>
  <c r="G591" i="106"/>
  <c r="F591" i="106"/>
  <c r="E591" i="106"/>
  <c r="D591" i="106"/>
  <c r="C591" i="106"/>
  <c r="B591" i="106"/>
  <c r="K590" i="106"/>
  <c r="J590" i="106"/>
  <c r="I590" i="106"/>
  <c r="H590" i="106"/>
  <c r="G590" i="106"/>
  <c r="F590" i="106"/>
  <c r="E590" i="106"/>
  <c r="D590" i="106"/>
  <c r="C590" i="106"/>
  <c r="B590" i="106"/>
  <c r="K589" i="106"/>
  <c r="J589" i="106"/>
  <c r="I589" i="106"/>
  <c r="H589" i="106"/>
  <c r="G589" i="106"/>
  <c r="F589" i="106"/>
  <c r="E589" i="106"/>
  <c r="D589" i="106"/>
  <c r="C589" i="106"/>
  <c r="B589" i="106"/>
  <c r="K588" i="106"/>
  <c r="J588" i="106"/>
  <c r="I588" i="106"/>
  <c r="H588" i="106"/>
  <c r="G588" i="106"/>
  <c r="F588" i="106"/>
  <c r="E588" i="106"/>
  <c r="D588" i="106"/>
  <c r="C588" i="106"/>
  <c r="B588" i="106"/>
  <c r="K587" i="106"/>
  <c r="J587" i="106"/>
  <c r="I587" i="106"/>
  <c r="H587" i="106"/>
  <c r="G587" i="106"/>
  <c r="F587" i="106"/>
  <c r="E587" i="106"/>
  <c r="D587" i="106"/>
  <c r="C587" i="106"/>
  <c r="B587" i="106"/>
  <c r="N586" i="106"/>
  <c r="M586" i="106"/>
  <c r="L586" i="106"/>
  <c r="K586" i="106"/>
  <c r="J586" i="106"/>
  <c r="I586" i="106"/>
  <c r="H586" i="106"/>
  <c r="G586" i="106"/>
  <c r="F586" i="106"/>
  <c r="E586" i="106"/>
  <c r="D586" i="106"/>
  <c r="C586" i="106"/>
  <c r="B586" i="106"/>
  <c r="N585" i="106"/>
  <c r="M585" i="106"/>
  <c r="L585" i="106"/>
  <c r="K585" i="106"/>
  <c r="J585" i="106"/>
  <c r="I585" i="106"/>
  <c r="H585" i="106"/>
  <c r="G585" i="106"/>
  <c r="F585" i="106"/>
  <c r="E585" i="106"/>
  <c r="D585" i="106"/>
  <c r="C585" i="106"/>
  <c r="B585" i="106"/>
  <c r="N584" i="106"/>
  <c r="M584" i="106"/>
  <c r="L584" i="106"/>
  <c r="K584" i="106"/>
  <c r="J584" i="106"/>
  <c r="I584" i="106"/>
  <c r="H584" i="106"/>
  <c r="G584" i="106"/>
  <c r="F584" i="106"/>
  <c r="E584" i="106"/>
  <c r="D584" i="106"/>
  <c r="C584" i="106"/>
  <c r="B584" i="106"/>
  <c r="N583" i="106"/>
  <c r="M583" i="106"/>
  <c r="L583" i="106"/>
  <c r="K583" i="106"/>
  <c r="J583" i="106"/>
  <c r="I583" i="106"/>
  <c r="H583" i="106"/>
  <c r="G583" i="106"/>
  <c r="F583" i="106"/>
  <c r="E583" i="106"/>
  <c r="D583" i="106"/>
  <c r="C583" i="106"/>
  <c r="B583" i="106"/>
  <c r="B582" i="106"/>
  <c r="B581" i="106"/>
  <c r="B580" i="106"/>
  <c r="B579" i="106"/>
  <c r="B578" i="106"/>
  <c r="B577" i="106"/>
  <c r="B576" i="106"/>
  <c r="B575" i="106"/>
  <c r="B574" i="106"/>
  <c r="B573" i="106"/>
  <c r="B572" i="106"/>
  <c r="B571" i="106"/>
  <c r="B570" i="106"/>
  <c r="B569" i="106"/>
  <c r="B568" i="106"/>
  <c r="B567" i="106"/>
  <c r="N566" i="106"/>
  <c r="B566" i="106"/>
  <c r="N565" i="106"/>
  <c r="B565" i="106"/>
  <c r="N564" i="106"/>
  <c r="B564" i="106"/>
  <c r="N563" i="106"/>
  <c r="B563" i="106"/>
  <c r="N562" i="106"/>
  <c r="B562" i="106"/>
  <c r="N561" i="106"/>
  <c r="M561" i="106"/>
  <c r="L561" i="106"/>
  <c r="K561" i="106"/>
  <c r="J561" i="106"/>
  <c r="I561" i="106"/>
  <c r="H561" i="106"/>
  <c r="G561" i="106"/>
  <c r="F561" i="106"/>
  <c r="E561" i="106"/>
  <c r="D561" i="106"/>
  <c r="C561" i="106"/>
  <c r="B561" i="106"/>
  <c r="N560" i="106"/>
  <c r="M560" i="106"/>
  <c r="L560" i="106"/>
  <c r="K560" i="106"/>
  <c r="J560" i="106"/>
  <c r="I560" i="106"/>
  <c r="H560" i="106"/>
  <c r="G560" i="106"/>
  <c r="F560" i="106"/>
  <c r="E560" i="106"/>
  <c r="D560" i="106"/>
  <c r="C560" i="106"/>
  <c r="B560" i="106"/>
  <c r="N559" i="106"/>
  <c r="B559" i="106"/>
  <c r="N558" i="106"/>
  <c r="B558" i="106"/>
  <c r="N557" i="106"/>
  <c r="B557" i="106"/>
  <c r="N556" i="106"/>
  <c r="B556" i="106"/>
  <c r="N555" i="106"/>
  <c r="B555" i="106"/>
  <c r="M554" i="106"/>
  <c r="L554" i="106"/>
  <c r="K554" i="106"/>
  <c r="J554" i="106"/>
  <c r="I554" i="106"/>
  <c r="H554" i="106"/>
  <c r="G554" i="106"/>
  <c r="F554" i="106"/>
  <c r="E554" i="106"/>
  <c r="D554" i="106"/>
  <c r="C554" i="106"/>
  <c r="B554" i="106"/>
  <c r="M553" i="106"/>
  <c r="L553" i="106"/>
  <c r="K553" i="106"/>
  <c r="J553" i="106"/>
  <c r="I553" i="106"/>
  <c r="H553" i="106"/>
  <c r="G553" i="106"/>
  <c r="F553" i="106"/>
  <c r="E553" i="106"/>
  <c r="D553" i="106"/>
  <c r="C553" i="106"/>
  <c r="B553" i="106"/>
  <c r="M552" i="106"/>
  <c r="L552" i="106"/>
  <c r="K552" i="106"/>
  <c r="J552" i="106"/>
  <c r="I552" i="106"/>
  <c r="H552" i="106"/>
  <c r="G552" i="106"/>
  <c r="F552" i="106"/>
  <c r="E552" i="106"/>
  <c r="D552" i="106"/>
  <c r="C552" i="106"/>
  <c r="B552" i="106"/>
  <c r="M551" i="106"/>
  <c r="L551" i="106"/>
  <c r="K551" i="106"/>
  <c r="J551" i="106"/>
  <c r="I551" i="106"/>
  <c r="H551" i="106"/>
  <c r="G551" i="106"/>
  <c r="F551" i="106"/>
  <c r="E551" i="106"/>
  <c r="D551" i="106"/>
  <c r="C551" i="106"/>
  <c r="B551" i="106"/>
  <c r="M550" i="106"/>
  <c r="L550" i="106"/>
  <c r="K550" i="106"/>
  <c r="J550" i="106"/>
  <c r="I550" i="106"/>
  <c r="H550" i="106"/>
  <c r="G550" i="106"/>
  <c r="F550" i="106"/>
  <c r="E550" i="106"/>
  <c r="D550" i="106"/>
  <c r="C550" i="106"/>
  <c r="B550" i="106"/>
  <c r="M549" i="106"/>
  <c r="L549" i="106"/>
  <c r="K549" i="106"/>
  <c r="J549" i="106"/>
  <c r="I549" i="106"/>
  <c r="H549" i="106"/>
  <c r="G549" i="106"/>
  <c r="F549" i="106"/>
  <c r="E549" i="106"/>
  <c r="D549" i="106"/>
  <c r="C549" i="106"/>
  <c r="B549" i="106"/>
  <c r="M548" i="106"/>
  <c r="L548" i="106"/>
  <c r="K548" i="106"/>
  <c r="J548" i="106"/>
  <c r="I548" i="106"/>
  <c r="H548" i="106"/>
  <c r="G548" i="106"/>
  <c r="F548" i="106"/>
  <c r="E548" i="106"/>
  <c r="D548" i="106"/>
  <c r="C548" i="106"/>
  <c r="B548" i="106"/>
  <c r="M547" i="106"/>
  <c r="L547" i="106"/>
  <c r="K547" i="106"/>
  <c r="J547" i="106"/>
  <c r="I547" i="106"/>
  <c r="H547" i="106"/>
  <c r="G547" i="106"/>
  <c r="F547" i="106"/>
  <c r="E547" i="106"/>
  <c r="D547" i="106"/>
  <c r="C547" i="106"/>
  <c r="B547" i="106"/>
  <c r="M546" i="106"/>
  <c r="L546" i="106"/>
  <c r="K546" i="106"/>
  <c r="J546" i="106"/>
  <c r="I546" i="106"/>
  <c r="H546" i="106"/>
  <c r="G546" i="106"/>
  <c r="F546" i="106"/>
  <c r="E546" i="106"/>
  <c r="D546" i="106"/>
  <c r="C546" i="106"/>
  <c r="B546" i="106"/>
  <c r="M545" i="106"/>
  <c r="L545" i="106"/>
  <c r="K545" i="106"/>
  <c r="J545" i="106"/>
  <c r="I545" i="106"/>
  <c r="H545" i="106"/>
  <c r="G545" i="106"/>
  <c r="F545" i="106"/>
  <c r="E545" i="106"/>
  <c r="D545" i="106"/>
  <c r="C545" i="106"/>
  <c r="B545" i="106"/>
  <c r="M544" i="106"/>
  <c r="L544" i="106"/>
  <c r="K544" i="106"/>
  <c r="J544" i="106"/>
  <c r="I544" i="106"/>
  <c r="H544" i="106"/>
  <c r="G544" i="106"/>
  <c r="F544" i="106"/>
  <c r="E544" i="106"/>
  <c r="D544" i="106"/>
  <c r="C544" i="106"/>
  <c r="B544" i="106"/>
  <c r="M543" i="106"/>
  <c r="L543" i="106"/>
  <c r="K543" i="106"/>
  <c r="J543" i="106"/>
  <c r="I543" i="106"/>
  <c r="H543" i="106"/>
  <c r="G543" i="106"/>
  <c r="F543" i="106"/>
  <c r="E543" i="106"/>
  <c r="D543" i="106"/>
  <c r="C543" i="106"/>
  <c r="B543" i="106"/>
  <c r="M542" i="106"/>
  <c r="L542" i="106"/>
  <c r="K542" i="106"/>
  <c r="J542" i="106"/>
  <c r="I542" i="106"/>
  <c r="H542" i="106"/>
  <c r="G542" i="106"/>
  <c r="F542" i="106"/>
  <c r="E542" i="106"/>
  <c r="D542" i="106"/>
  <c r="C542" i="106"/>
  <c r="B542" i="106"/>
  <c r="M541" i="106"/>
  <c r="L541" i="106"/>
  <c r="K541" i="106"/>
  <c r="J541" i="106"/>
  <c r="I541" i="106"/>
  <c r="H541" i="106"/>
  <c r="G541" i="106"/>
  <c r="F541" i="106"/>
  <c r="E541" i="106"/>
  <c r="D541" i="106"/>
  <c r="C541" i="106"/>
  <c r="B541" i="106"/>
  <c r="M540" i="106"/>
  <c r="L540" i="106"/>
  <c r="K540" i="106"/>
  <c r="J540" i="106"/>
  <c r="I540" i="106"/>
  <c r="H540" i="106"/>
  <c r="G540" i="106"/>
  <c r="F540" i="106"/>
  <c r="E540" i="106"/>
  <c r="D540" i="106"/>
  <c r="C540" i="106"/>
  <c r="B540" i="106"/>
  <c r="M539" i="106"/>
  <c r="L539" i="106"/>
  <c r="K539" i="106"/>
  <c r="J539" i="106"/>
  <c r="I539" i="106"/>
  <c r="H539" i="106"/>
  <c r="G539" i="106"/>
  <c r="F539" i="106"/>
  <c r="E539" i="106"/>
  <c r="D539" i="106"/>
  <c r="C539" i="106"/>
  <c r="B539" i="106"/>
  <c r="M538" i="106"/>
  <c r="L538" i="106"/>
  <c r="K538" i="106"/>
  <c r="J538" i="106"/>
  <c r="I538" i="106"/>
  <c r="H538" i="106"/>
  <c r="G538" i="106"/>
  <c r="F538" i="106"/>
  <c r="E538" i="106"/>
  <c r="D538" i="106"/>
  <c r="C538" i="106"/>
  <c r="B538" i="106"/>
  <c r="M537" i="106"/>
  <c r="L537" i="106"/>
  <c r="K537" i="106"/>
  <c r="J537" i="106"/>
  <c r="I537" i="106"/>
  <c r="H537" i="106"/>
  <c r="G537" i="106"/>
  <c r="F537" i="106"/>
  <c r="E537" i="106"/>
  <c r="D537" i="106"/>
  <c r="C537" i="106"/>
  <c r="B537" i="106"/>
  <c r="M536" i="106"/>
  <c r="L536" i="106"/>
  <c r="K536" i="106"/>
  <c r="J536" i="106"/>
  <c r="I536" i="106"/>
  <c r="H536" i="106"/>
  <c r="G536" i="106"/>
  <c r="F536" i="106"/>
  <c r="E536" i="106"/>
  <c r="D536" i="106"/>
  <c r="C536" i="106"/>
  <c r="B536" i="106"/>
  <c r="M535" i="106"/>
  <c r="L535" i="106"/>
  <c r="K535" i="106"/>
  <c r="J535" i="106"/>
  <c r="I535" i="106"/>
  <c r="H535" i="106"/>
  <c r="G535" i="106"/>
  <c r="F535" i="106"/>
  <c r="E535" i="106"/>
  <c r="D535" i="106"/>
  <c r="C535" i="106"/>
  <c r="B535" i="106"/>
  <c r="N534" i="106"/>
  <c r="M534" i="106"/>
  <c r="L534" i="106"/>
  <c r="K534" i="106"/>
  <c r="J534" i="106"/>
  <c r="I534" i="106"/>
  <c r="H534" i="106"/>
  <c r="G534" i="106"/>
  <c r="F534" i="106"/>
  <c r="E534" i="106"/>
  <c r="D534" i="106"/>
  <c r="C534" i="106"/>
  <c r="B534" i="106"/>
  <c r="N533" i="106"/>
  <c r="M533" i="106"/>
  <c r="L533" i="106"/>
  <c r="K533" i="106"/>
  <c r="J533" i="106"/>
  <c r="I533" i="106"/>
  <c r="H533" i="106"/>
  <c r="G533" i="106"/>
  <c r="F533" i="106"/>
  <c r="E533" i="106"/>
  <c r="D533" i="106"/>
  <c r="C533" i="106"/>
  <c r="B533" i="106"/>
  <c r="N532" i="106"/>
  <c r="M532" i="106"/>
  <c r="L532" i="106"/>
  <c r="K532" i="106"/>
  <c r="J532" i="106"/>
  <c r="I532" i="106"/>
  <c r="H532" i="106"/>
  <c r="G532" i="106"/>
  <c r="F532" i="106"/>
  <c r="E532" i="106"/>
  <c r="D532" i="106"/>
  <c r="C532" i="106"/>
  <c r="B532" i="106"/>
  <c r="N531" i="106"/>
  <c r="M531" i="106"/>
  <c r="L531" i="106"/>
  <c r="K531" i="106"/>
  <c r="J531" i="106"/>
  <c r="I531" i="106"/>
  <c r="H531" i="106"/>
  <c r="G531" i="106"/>
  <c r="F531" i="106"/>
  <c r="E531" i="106"/>
  <c r="D531" i="106"/>
  <c r="C531" i="106"/>
  <c r="B531" i="106"/>
  <c r="N530" i="106"/>
  <c r="M530" i="106"/>
  <c r="L530" i="106"/>
  <c r="K530" i="106"/>
  <c r="J530" i="106"/>
  <c r="I530" i="106"/>
  <c r="H530" i="106"/>
  <c r="G530" i="106"/>
  <c r="F530" i="106"/>
  <c r="E530" i="106"/>
  <c r="D530" i="106"/>
  <c r="C530" i="106"/>
  <c r="B530" i="106"/>
  <c r="N529" i="106"/>
  <c r="M529" i="106"/>
  <c r="L529" i="106"/>
  <c r="K529" i="106"/>
  <c r="J529" i="106"/>
  <c r="I529" i="106"/>
  <c r="H529" i="106"/>
  <c r="G529" i="106"/>
  <c r="F529" i="106"/>
  <c r="E529" i="106"/>
  <c r="D529" i="106"/>
  <c r="C529" i="106"/>
  <c r="B529" i="106"/>
  <c r="N528" i="106"/>
  <c r="M528" i="106"/>
  <c r="L528" i="106"/>
  <c r="K528" i="106"/>
  <c r="J528" i="106"/>
  <c r="I528" i="106"/>
  <c r="H528" i="106"/>
  <c r="G528" i="106"/>
  <c r="F528" i="106"/>
  <c r="E528" i="106"/>
  <c r="D528" i="106"/>
  <c r="C528" i="106"/>
  <c r="B528" i="106"/>
  <c r="N527" i="106"/>
  <c r="M527" i="106"/>
  <c r="L527" i="106"/>
  <c r="K527" i="106"/>
  <c r="J527" i="106"/>
  <c r="I527" i="106"/>
  <c r="H527" i="106"/>
  <c r="G527" i="106"/>
  <c r="F527" i="106"/>
  <c r="E527" i="106"/>
  <c r="D527" i="106"/>
  <c r="C527" i="106"/>
  <c r="B527" i="106"/>
  <c r="N526" i="106"/>
  <c r="M526" i="106"/>
  <c r="L526" i="106"/>
  <c r="K526" i="106"/>
  <c r="J526" i="106"/>
  <c r="I526" i="106"/>
  <c r="H526" i="106"/>
  <c r="G526" i="106"/>
  <c r="F526" i="106"/>
  <c r="E526" i="106"/>
  <c r="D526" i="106"/>
  <c r="C526" i="106"/>
  <c r="B526" i="106"/>
  <c r="N525" i="106"/>
  <c r="M525" i="106"/>
  <c r="L525" i="106"/>
  <c r="K525" i="106"/>
  <c r="J525" i="106"/>
  <c r="I525" i="106"/>
  <c r="H525" i="106"/>
  <c r="G525" i="106"/>
  <c r="F525" i="106"/>
  <c r="E525" i="106"/>
  <c r="D525" i="106"/>
  <c r="C525" i="106"/>
  <c r="B525" i="106"/>
  <c r="N524" i="106"/>
  <c r="M524" i="106"/>
  <c r="L524" i="106"/>
  <c r="K524" i="106"/>
  <c r="J524" i="106"/>
  <c r="I524" i="106"/>
  <c r="H524" i="106"/>
  <c r="G524" i="106"/>
  <c r="F524" i="106"/>
  <c r="E524" i="106"/>
  <c r="D524" i="106"/>
  <c r="C524" i="106"/>
  <c r="B524" i="106"/>
  <c r="N523" i="106"/>
  <c r="M523" i="106"/>
  <c r="L523" i="106"/>
  <c r="K523" i="106"/>
  <c r="J523" i="106"/>
  <c r="I523" i="106"/>
  <c r="H523" i="106"/>
  <c r="G523" i="106"/>
  <c r="F523" i="106"/>
  <c r="E523" i="106"/>
  <c r="D523" i="106"/>
  <c r="C523" i="106"/>
  <c r="B523" i="106"/>
  <c r="N522" i="106"/>
  <c r="M522" i="106"/>
  <c r="L522" i="106"/>
  <c r="K522" i="106"/>
  <c r="J522" i="106"/>
  <c r="I522" i="106"/>
  <c r="H522" i="106"/>
  <c r="G522" i="106"/>
  <c r="F522" i="106"/>
  <c r="E522" i="106"/>
  <c r="D522" i="106"/>
  <c r="C522" i="106"/>
  <c r="B522" i="106"/>
  <c r="N521" i="106"/>
  <c r="M521" i="106"/>
  <c r="L521" i="106"/>
  <c r="K521" i="106"/>
  <c r="J521" i="106"/>
  <c r="I521" i="106"/>
  <c r="H521" i="106"/>
  <c r="G521" i="106"/>
  <c r="F521" i="106"/>
  <c r="E521" i="106"/>
  <c r="D521" i="106"/>
  <c r="C521" i="106"/>
  <c r="B521" i="106"/>
  <c r="N520" i="106"/>
  <c r="M520" i="106"/>
  <c r="L520" i="106"/>
  <c r="K520" i="106"/>
  <c r="J520" i="106"/>
  <c r="I520" i="106"/>
  <c r="H520" i="106"/>
  <c r="G520" i="106"/>
  <c r="F520" i="106"/>
  <c r="E520" i="106"/>
  <c r="D520" i="106"/>
  <c r="C520" i="106"/>
  <c r="B520" i="106"/>
  <c r="N519" i="106"/>
  <c r="M519" i="106"/>
  <c r="L519" i="106"/>
  <c r="K519" i="106"/>
  <c r="J519" i="106"/>
  <c r="I519" i="106"/>
  <c r="H519" i="106"/>
  <c r="G519" i="106"/>
  <c r="F519" i="106"/>
  <c r="E519" i="106"/>
  <c r="D519" i="106"/>
  <c r="C519" i="106"/>
  <c r="B519" i="106"/>
  <c r="N518" i="106"/>
  <c r="M518" i="106"/>
  <c r="L518" i="106"/>
  <c r="K518" i="106"/>
  <c r="J518" i="106"/>
  <c r="I518" i="106"/>
  <c r="H518" i="106"/>
  <c r="G518" i="106"/>
  <c r="F518" i="106"/>
  <c r="E518" i="106"/>
  <c r="D518" i="106"/>
  <c r="C518" i="106"/>
  <c r="B518" i="106"/>
  <c r="N517" i="106"/>
  <c r="M517" i="106"/>
  <c r="L517" i="106"/>
  <c r="K517" i="106"/>
  <c r="J517" i="106"/>
  <c r="I517" i="106"/>
  <c r="H517" i="106"/>
  <c r="G517" i="106"/>
  <c r="F517" i="106"/>
  <c r="E517" i="106"/>
  <c r="D517" i="106"/>
  <c r="C517" i="106"/>
  <c r="B517" i="106"/>
  <c r="N516" i="106"/>
  <c r="M516" i="106"/>
  <c r="L516" i="106"/>
  <c r="K516" i="106"/>
  <c r="J516" i="106"/>
  <c r="I516" i="106"/>
  <c r="H516" i="106"/>
  <c r="G516" i="106"/>
  <c r="F516" i="106"/>
  <c r="E516" i="106"/>
  <c r="D516" i="106"/>
  <c r="C516" i="106"/>
  <c r="B516" i="106"/>
  <c r="N515" i="106"/>
  <c r="M515" i="106"/>
  <c r="L515" i="106"/>
  <c r="K515" i="106"/>
  <c r="J515" i="106"/>
  <c r="I515" i="106"/>
  <c r="H515" i="106"/>
  <c r="G515" i="106"/>
  <c r="F515" i="106"/>
  <c r="E515" i="106"/>
  <c r="D515" i="106"/>
  <c r="C515" i="106"/>
  <c r="B515" i="106"/>
  <c r="N514" i="106"/>
  <c r="M514" i="106"/>
  <c r="L514" i="106"/>
  <c r="K514" i="106"/>
  <c r="J514" i="106"/>
  <c r="I514" i="106"/>
  <c r="H514" i="106"/>
  <c r="G514" i="106"/>
  <c r="F514" i="106"/>
  <c r="E514" i="106"/>
  <c r="D514" i="106"/>
  <c r="C514" i="106"/>
  <c r="B514" i="106"/>
  <c r="N513" i="106"/>
  <c r="M513" i="106"/>
  <c r="L513" i="106"/>
  <c r="K513" i="106"/>
  <c r="J513" i="106"/>
  <c r="I513" i="106"/>
  <c r="H513" i="106"/>
  <c r="G513" i="106"/>
  <c r="F513" i="106"/>
  <c r="E513" i="106"/>
  <c r="D513" i="106"/>
  <c r="C513" i="106"/>
  <c r="B513" i="106"/>
  <c r="N512" i="106"/>
  <c r="M512" i="106"/>
  <c r="L512" i="106"/>
  <c r="K512" i="106"/>
  <c r="J512" i="106"/>
  <c r="I512" i="106"/>
  <c r="H512" i="106"/>
  <c r="G512" i="106"/>
  <c r="F512" i="106"/>
  <c r="E512" i="106"/>
  <c r="D512" i="106"/>
  <c r="C512" i="106"/>
  <c r="B512" i="106"/>
  <c r="N511" i="106"/>
  <c r="M511" i="106"/>
  <c r="L511" i="106"/>
  <c r="K511" i="106"/>
  <c r="J511" i="106"/>
  <c r="I511" i="106"/>
  <c r="H511" i="106"/>
  <c r="G511" i="106"/>
  <c r="F511" i="106"/>
  <c r="E511" i="106"/>
  <c r="D511" i="106"/>
  <c r="C511" i="106"/>
  <c r="B511" i="106"/>
  <c r="N510" i="106"/>
  <c r="M510" i="106"/>
  <c r="L510" i="106"/>
  <c r="K510" i="106"/>
  <c r="J510" i="106"/>
  <c r="I510" i="106"/>
  <c r="H510" i="106"/>
  <c r="G510" i="106"/>
  <c r="F510" i="106"/>
  <c r="E510" i="106"/>
  <c r="D510" i="106"/>
  <c r="C510" i="106"/>
  <c r="B510" i="106"/>
  <c r="N509" i="106"/>
  <c r="M509" i="106"/>
  <c r="L509" i="106"/>
  <c r="K509" i="106"/>
  <c r="J509" i="106"/>
  <c r="I509" i="106"/>
  <c r="H509" i="106"/>
  <c r="G509" i="106"/>
  <c r="F509" i="106"/>
  <c r="E509" i="106"/>
  <c r="D509" i="106"/>
  <c r="C509" i="106"/>
  <c r="B509" i="106"/>
  <c r="N508" i="106"/>
  <c r="M508" i="106"/>
  <c r="L508" i="106"/>
  <c r="K508" i="106"/>
  <c r="J508" i="106"/>
  <c r="I508" i="106"/>
  <c r="H508" i="106"/>
  <c r="G508" i="106"/>
  <c r="F508" i="106"/>
  <c r="E508" i="106"/>
  <c r="D508" i="106"/>
  <c r="C508" i="106"/>
  <c r="B508" i="106"/>
  <c r="M507" i="106"/>
  <c r="L507" i="106"/>
  <c r="K507" i="106"/>
  <c r="J507" i="106"/>
  <c r="I507" i="106"/>
  <c r="H507" i="106"/>
  <c r="G507" i="106"/>
  <c r="F507" i="106"/>
  <c r="E507" i="106"/>
  <c r="D507" i="106"/>
  <c r="C507" i="106"/>
  <c r="B507" i="106"/>
  <c r="M506" i="106"/>
  <c r="L506" i="106"/>
  <c r="K506" i="106"/>
  <c r="J506" i="106"/>
  <c r="I506" i="106"/>
  <c r="H506" i="106"/>
  <c r="G506" i="106"/>
  <c r="F506" i="106"/>
  <c r="E506" i="106"/>
  <c r="D506" i="106"/>
  <c r="C506" i="106"/>
  <c r="B506" i="106"/>
  <c r="M505" i="106"/>
  <c r="L505" i="106"/>
  <c r="K505" i="106"/>
  <c r="J505" i="106"/>
  <c r="I505" i="106"/>
  <c r="H505" i="106"/>
  <c r="G505" i="106"/>
  <c r="F505" i="106"/>
  <c r="E505" i="106"/>
  <c r="D505" i="106"/>
  <c r="C505" i="106"/>
  <c r="B505" i="106"/>
  <c r="M504" i="106"/>
  <c r="L504" i="106"/>
  <c r="K504" i="106"/>
  <c r="J504" i="106"/>
  <c r="I504" i="106"/>
  <c r="H504" i="106"/>
  <c r="G504" i="106"/>
  <c r="F504" i="106"/>
  <c r="E504" i="106"/>
  <c r="D504" i="106"/>
  <c r="C504" i="106"/>
  <c r="B504" i="106"/>
  <c r="M503" i="106"/>
  <c r="L503" i="106"/>
  <c r="K503" i="106"/>
  <c r="J503" i="106"/>
  <c r="I503" i="106"/>
  <c r="H503" i="106"/>
  <c r="G503" i="106"/>
  <c r="F503" i="106"/>
  <c r="E503" i="106"/>
  <c r="D503" i="106"/>
  <c r="C503" i="106"/>
  <c r="B503" i="106"/>
  <c r="M502" i="106"/>
  <c r="L502" i="106"/>
  <c r="K502" i="106"/>
  <c r="J502" i="106"/>
  <c r="I502" i="106"/>
  <c r="H502" i="106"/>
  <c r="G502" i="106"/>
  <c r="F502" i="106"/>
  <c r="E502" i="106"/>
  <c r="D502" i="106"/>
  <c r="C502" i="106"/>
  <c r="B502" i="106"/>
  <c r="M501" i="106"/>
  <c r="L501" i="106"/>
  <c r="K501" i="106"/>
  <c r="J501" i="106"/>
  <c r="I501" i="106"/>
  <c r="H501" i="106"/>
  <c r="G501" i="106"/>
  <c r="F501" i="106"/>
  <c r="E501" i="106"/>
  <c r="D501" i="106"/>
  <c r="C501" i="106"/>
  <c r="B501" i="106"/>
  <c r="M500" i="106"/>
  <c r="L500" i="106"/>
  <c r="K500" i="106"/>
  <c r="J500" i="106"/>
  <c r="I500" i="106"/>
  <c r="H500" i="106"/>
  <c r="G500" i="106"/>
  <c r="F500" i="106"/>
  <c r="E500" i="106"/>
  <c r="D500" i="106"/>
  <c r="C500" i="106"/>
  <c r="B500" i="106"/>
  <c r="M499" i="106"/>
  <c r="L499" i="106"/>
  <c r="K499" i="106"/>
  <c r="J499" i="106"/>
  <c r="I499" i="106"/>
  <c r="H499" i="106"/>
  <c r="G499" i="106"/>
  <c r="F499" i="106"/>
  <c r="E499" i="106"/>
  <c r="D499" i="106"/>
  <c r="C499" i="106"/>
  <c r="B499" i="106"/>
  <c r="M498" i="106"/>
  <c r="L498" i="106"/>
  <c r="K498" i="106"/>
  <c r="J498" i="106"/>
  <c r="I498" i="106"/>
  <c r="H498" i="106"/>
  <c r="G498" i="106"/>
  <c r="F498" i="106"/>
  <c r="E498" i="106"/>
  <c r="D498" i="106"/>
  <c r="C498" i="106"/>
  <c r="B498" i="106"/>
  <c r="M497" i="106"/>
  <c r="L497" i="106"/>
  <c r="K497" i="106"/>
  <c r="J497" i="106"/>
  <c r="I497" i="106"/>
  <c r="H497" i="106"/>
  <c r="G497" i="106"/>
  <c r="F497" i="106"/>
  <c r="E497" i="106"/>
  <c r="D497" i="106"/>
  <c r="C497" i="106"/>
  <c r="B497" i="106"/>
  <c r="M496" i="106"/>
  <c r="L496" i="106"/>
  <c r="K496" i="106"/>
  <c r="J496" i="106"/>
  <c r="I496" i="106"/>
  <c r="H496" i="106"/>
  <c r="G496" i="106"/>
  <c r="F496" i="106"/>
  <c r="E496" i="106"/>
  <c r="D496" i="106"/>
  <c r="C496" i="106"/>
  <c r="B496" i="106"/>
  <c r="M495" i="106"/>
  <c r="L495" i="106"/>
  <c r="K495" i="106"/>
  <c r="J495" i="106"/>
  <c r="I495" i="106"/>
  <c r="H495" i="106"/>
  <c r="G495" i="106"/>
  <c r="F495" i="106"/>
  <c r="E495" i="106"/>
  <c r="D495" i="106"/>
  <c r="C495" i="106"/>
  <c r="B495" i="106"/>
  <c r="M494" i="106"/>
  <c r="L494" i="106"/>
  <c r="K494" i="106"/>
  <c r="J494" i="106"/>
  <c r="I494" i="106"/>
  <c r="H494" i="106"/>
  <c r="G494" i="106"/>
  <c r="F494" i="106"/>
  <c r="E494" i="106"/>
  <c r="D494" i="106"/>
  <c r="C494" i="106"/>
  <c r="B494" i="106"/>
  <c r="M493" i="106"/>
  <c r="L493" i="106"/>
  <c r="K493" i="106"/>
  <c r="J493" i="106"/>
  <c r="I493" i="106"/>
  <c r="H493" i="106"/>
  <c r="G493" i="106"/>
  <c r="F493" i="106"/>
  <c r="E493" i="106"/>
  <c r="D493" i="106"/>
  <c r="C493" i="106"/>
  <c r="B493" i="106"/>
  <c r="M492" i="106"/>
  <c r="L492" i="106"/>
  <c r="K492" i="106"/>
  <c r="J492" i="106"/>
  <c r="I492" i="106"/>
  <c r="H492" i="106"/>
  <c r="G492" i="106"/>
  <c r="F492" i="106"/>
  <c r="E492" i="106"/>
  <c r="D492" i="106"/>
  <c r="C492" i="106"/>
  <c r="B492" i="106"/>
  <c r="M491" i="106"/>
  <c r="L491" i="106"/>
  <c r="K491" i="106"/>
  <c r="J491" i="106"/>
  <c r="I491" i="106"/>
  <c r="H491" i="106"/>
  <c r="G491" i="106"/>
  <c r="F491" i="106"/>
  <c r="E491" i="106"/>
  <c r="D491" i="106"/>
  <c r="C491" i="106"/>
  <c r="B491" i="106"/>
  <c r="M490" i="106"/>
  <c r="L490" i="106"/>
  <c r="K490" i="106"/>
  <c r="J490" i="106"/>
  <c r="I490" i="106"/>
  <c r="H490" i="106"/>
  <c r="G490" i="106"/>
  <c r="F490" i="106"/>
  <c r="E490" i="106"/>
  <c r="D490" i="106"/>
  <c r="C490" i="106"/>
  <c r="B490" i="106"/>
  <c r="M489" i="106"/>
  <c r="L489" i="106"/>
  <c r="K489" i="106"/>
  <c r="J489" i="106"/>
  <c r="I489" i="106"/>
  <c r="H489" i="106"/>
  <c r="G489" i="106"/>
  <c r="F489" i="106"/>
  <c r="E489" i="106"/>
  <c r="D489" i="106"/>
  <c r="C489" i="106"/>
  <c r="B489" i="106"/>
  <c r="M488" i="106"/>
  <c r="L488" i="106"/>
  <c r="K488" i="106"/>
  <c r="J488" i="106"/>
  <c r="I488" i="106"/>
  <c r="H488" i="106"/>
  <c r="G488" i="106"/>
  <c r="F488" i="106"/>
  <c r="E488" i="106"/>
  <c r="D488" i="106"/>
  <c r="C488" i="106"/>
  <c r="B488" i="106"/>
  <c r="M487" i="106"/>
  <c r="L487" i="106"/>
  <c r="K487" i="106"/>
  <c r="J487" i="106"/>
  <c r="I487" i="106"/>
  <c r="H487" i="106"/>
  <c r="G487" i="106"/>
  <c r="F487" i="106"/>
  <c r="E487" i="106"/>
  <c r="D487" i="106"/>
  <c r="C487" i="106"/>
  <c r="B487" i="106"/>
  <c r="M486" i="106"/>
  <c r="L486" i="106"/>
  <c r="K486" i="106"/>
  <c r="J486" i="106"/>
  <c r="I486" i="106"/>
  <c r="H486" i="106"/>
  <c r="G486" i="106"/>
  <c r="F486" i="106"/>
  <c r="E486" i="106"/>
  <c r="D486" i="106"/>
  <c r="C486" i="106"/>
  <c r="B486" i="106"/>
  <c r="M485" i="106"/>
  <c r="L485" i="106"/>
  <c r="K485" i="106"/>
  <c r="J485" i="106"/>
  <c r="I485" i="106"/>
  <c r="H485" i="106"/>
  <c r="G485" i="106"/>
  <c r="F485" i="106"/>
  <c r="E485" i="106"/>
  <c r="D485" i="106"/>
  <c r="C485" i="106"/>
  <c r="B485" i="106"/>
  <c r="M484" i="106"/>
  <c r="L484" i="106"/>
  <c r="K484" i="106"/>
  <c r="J484" i="106"/>
  <c r="I484" i="106"/>
  <c r="H484" i="106"/>
  <c r="G484" i="106"/>
  <c r="F484" i="106"/>
  <c r="E484" i="106"/>
  <c r="D484" i="106"/>
  <c r="C484" i="106"/>
  <c r="B484" i="106"/>
  <c r="M483" i="106"/>
  <c r="L483" i="106"/>
  <c r="K483" i="106"/>
  <c r="J483" i="106"/>
  <c r="I483" i="106"/>
  <c r="H483" i="106"/>
  <c r="G483" i="106"/>
  <c r="F483" i="106"/>
  <c r="E483" i="106"/>
  <c r="D483" i="106"/>
  <c r="C483" i="106"/>
  <c r="B483" i="106"/>
  <c r="M482" i="106"/>
  <c r="L482" i="106"/>
  <c r="K482" i="106"/>
  <c r="J482" i="106"/>
  <c r="I482" i="106"/>
  <c r="H482" i="106"/>
  <c r="G482" i="106"/>
  <c r="F482" i="106"/>
  <c r="E482" i="106"/>
  <c r="D482" i="106"/>
  <c r="C482" i="106"/>
  <c r="B482" i="106"/>
  <c r="M481" i="106"/>
  <c r="L481" i="106"/>
  <c r="K481" i="106"/>
  <c r="J481" i="106"/>
  <c r="I481" i="106"/>
  <c r="H481" i="106"/>
  <c r="G481" i="106"/>
  <c r="F481" i="106"/>
  <c r="E481" i="106"/>
  <c r="D481" i="106"/>
  <c r="C481" i="106"/>
  <c r="B481" i="106"/>
  <c r="M480" i="106"/>
  <c r="L480" i="106"/>
  <c r="K480" i="106"/>
  <c r="J480" i="106"/>
  <c r="I480" i="106"/>
  <c r="H480" i="106"/>
  <c r="G480" i="106"/>
  <c r="F480" i="106"/>
  <c r="E480" i="106"/>
  <c r="D480" i="106"/>
  <c r="C480" i="106"/>
  <c r="B480" i="106"/>
  <c r="M479" i="106"/>
  <c r="L479" i="106"/>
  <c r="K479" i="106"/>
  <c r="J479" i="106"/>
  <c r="I479" i="106"/>
  <c r="H479" i="106"/>
  <c r="G479" i="106"/>
  <c r="F479" i="106"/>
  <c r="E479" i="106"/>
  <c r="D479" i="106"/>
  <c r="C479" i="106"/>
  <c r="B479" i="106"/>
  <c r="M478" i="106"/>
  <c r="L478" i="106"/>
  <c r="K478" i="106"/>
  <c r="J478" i="106"/>
  <c r="I478" i="106"/>
  <c r="H478" i="106"/>
  <c r="G478" i="106"/>
  <c r="F478" i="106"/>
  <c r="E478" i="106"/>
  <c r="D478" i="106"/>
  <c r="C478" i="106"/>
  <c r="B478" i="106"/>
  <c r="M477" i="106"/>
  <c r="L477" i="106"/>
  <c r="K477" i="106"/>
  <c r="J477" i="106"/>
  <c r="I477" i="106"/>
  <c r="H477" i="106"/>
  <c r="G477" i="106"/>
  <c r="F477" i="106"/>
  <c r="E477" i="106"/>
  <c r="D477" i="106"/>
  <c r="C477" i="106"/>
  <c r="B477" i="106"/>
  <c r="M476" i="106"/>
  <c r="L476" i="106"/>
  <c r="K476" i="106"/>
  <c r="J476" i="106"/>
  <c r="I476" i="106"/>
  <c r="H476" i="106"/>
  <c r="G476" i="106"/>
  <c r="F476" i="106"/>
  <c r="E476" i="106"/>
  <c r="D476" i="106"/>
  <c r="C476" i="106"/>
  <c r="B476" i="106"/>
  <c r="M475" i="106"/>
  <c r="L475" i="106"/>
  <c r="K475" i="106"/>
  <c r="J475" i="106"/>
  <c r="I475" i="106"/>
  <c r="H475" i="106"/>
  <c r="G475" i="106"/>
  <c r="F475" i="106"/>
  <c r="E475" i="106"/>
  <c r="D475" i="106"/>
  <c r="C475" i="106"/>
  <c r="B475" i="106"/>
  <c r="M474" i="106"/>
  <c r="L474" i="106"/>
  <c r="K474" i="106"/>
  <c r="J474" i="106"/>
  <c r="I474" i="106"/>
  <c r="H474" i="106"/>
  <c r="G474" i="106"/>
  <c r="F474" i="106"/>
  <c r="E474" i="106"/>
  <c r="D474" i="106"/>
  <c r="C474" i="106"/>
  <c r="B474" i="106"/>
  <c r="M473" i="106"/>
  <c r="L473" i="106"/>
  <c r="K473" i="106"/>
  <c r="J473" i="106"/>
  <c r="I473" i="106"/>
  <c r="H473" i="106"/>
  <c r="G473" i="106"/>
  <c r="F473" i="106"/>
  <c r="E473" i="106"/>
  <c r="D473" i="106"/>
  <c r="C473" i="106"/>
  <c r="B473" i="106"/>
  <c r="M472" i="106"/>
  <c r="L472" i="106"/>
  <c r="K472" i="106"/>
  <c r="J472" i="106"/>
  <c r="I472" i="106"/>
  <c r="H472" i="106"/>
  <c r="G472" i="106"/>
  <c r="F472" i="106"/>
  <c r="E472" i="106"/>
  <c r="D472" i="106"/>
  <c r="C472" i="106"/>
  <c r="B472" i="106"/>
  <c r="M471" i="106"/>
  <c r="L471" i="106"/>
  <c r="K471" i="106"/>
  <c r="J471" i="106"/>
  <c r="I471" i="106"/>
  <c r="H471" i="106"/>
  <c r="G471" i="106"/>
  <c r="F471" i="106"/>
  <c r="E471" i="106"/>
  <c r="D471" i="106"/>
  <c r="C471" i="106"/>
  <c r="B471" i="106"/>
  <c r="M470" i="106"/>
  <c r="L470" i="106"/>
  <c r="K470" i="106"/>
  <c r="J470" i="106"/>
  <c r="I470" i="106"/>
  <c r="H470" i="106"/>
  <c r="G470" i="106"/>
  <c r="F470" i="106"/>
  <c r="E470" i="106"/>
  <c r="D470" i="106"/>
  <c r="C470" i="106"/>
  <c r="B470" i="106"/>
  <c r="M469" i="106"/>
  <c r="L469" i="106"/>
  <c r="K469" i="106"/>
  <c r="J469" i="106"/>
  <c r="I469" i="106"/>
  <c r="H469" i="106"/>
  <c r="G469" i="106"/>
  <c r="F469" i="106"/>
  <c r="E469" i="106"/>
  <c r="D469" i="106"/>
  <c r="C469" i="106"/>
  <c r="B469" i="106"/>
  <c r="M468" i="106"/>
  <c r="L468" i="106"/>
  <c r="K468" i="106"/>
  <c r="J468" i="106"/>
  <c r="I468" i="106"/>
  <c r="H468" i="106"/>
  <c r="G468" i="106"/>
  <c r="F468" i="106"/>
  <c r="E468" i="106"/>
  <c r="D468" i="106"/>
  <c r="C468" i="106"/>
  <c r="B468" i="106"/>
  <c r="M467" i="106"/>
  <c r="L467" i="106"/>
  <c r="K467" i="106"/>
  <c r="J467" i="106"/>
  <c r="I467" i="106"/>
  <c r="H467" i="106"/>
  <c r="G467" i="106"/>
  <c r="F467" i="106"/>
  <c r="E467" i="106"/>
  <c r="D467" i="106"/>
  <c r="C467" i="106"/>
  <c r="B467" i="106"/>
  <c r="M466" i="106"/>
  <c r="L466" i="106"/>
  <c r="K466" i="106"/>
  <c r="J466" i="106"/>
  <c r="I466" i="106"/>
  <c r="H466" i="106"/>
  <c r="G466" i="106"/>
  <c r="F466" i="106"/>
  <c r="E466" i="106"/>
  <c r="D466" i="106"/>
  <c r="C466" i="106"/>
  <c r="B466" i="106"/>
  <c r="M465" i="106"/>
  <c r="L465" i="106"/>
  <c r="K465" i="106"/>
  <c r="J465" i="106"/>
  <c r="I465" i="106"/>
  <c r="H465" i="106"/>
  <c r="G465" i="106"/>
  <c r="F465" i="106"/>
  <c r="E465" i="106"/>
  <c r="D465" i="106"/>
  <c r="C465" i="106"/>
  <c r="B465" i="106"/>
  <c r="M464" i="106"/>
  <c r="L464" i="106"/>
  <c r="K464" i="106"/>
  <c r="J464" i="106"/>
  <c r="I464" i="106"/>
  <c r="H464" i="106"/>
  <c r="G464" i="106"/>
  <c r="F464" i="106"/>
  <c r="E464" i="106"/>
  <c r="D464" i="106"/>
  <c r="C464" i="106"/>
  <c r="B464" i="106"/>
  <c r="M463" i="106"/>
  <c r="L463" i="106"/>
  <c r="K463" i="106"/>
  <c r="J463" i="106"/>
  <c r="I463" i="106"/>
  <c r="H463" i="106"/>
  <c r="G463" i="106"/>
  <c r="F463" i="106"/>
  <c r="E463" i="106"/>
  <c r="D463" i="106"/>
  <c r="C463" i="106"/>
  <c r="B463" i="106"/>
  <c r="M462" i="106"/>
  <c r="L462" i="106"/>
  <c r="K462" i="106"/>
  <c r="J462" i="106"/>
  <c r="I462" i="106"/>
  <c r="H462" i="106"/>
  <c r="G462" i="106"/>
  <c r="F462" i="106"/>
  <c r="E462" i="106"/>
  <c r="D462" i="106"/>
  <c r="C462" i="106"/>
  <c r="B462" i="106"/>
  <c r="M461" i="106"/>
  <c r="L461" i="106"/>
  <c r="K461" i="106"/>
  <c r="J461" i="106"/>
  <c r="I461" i="106"/>
  <c r="H461" i="106"/>
  <c r="G461" i="106"/>
  <c r="F461" i="106"/>
  <c r="E461" i="106"/>
  <c r="D461" i="106"/>
  <c r="C461" i="106"/>
  <c r="B461" i="106"/>
  <c r="M460" i="106"/>
  <c r="L460" i="106"/>
  <c r="K460" i="106"/>
  <c r="J460" i="106"/>
  <c r="I460" i="106"/>
  <c r="H460" i="106"/>
  <c r="G460" i="106"/>
  <c r="F460" i="106"/>
  <c r="E460" i="106"/>
  <c r="D460" i="106"/>
  <c r="C460" i="106"/>
  <c r="B460" i="106"/>
  <c r="M459" i="106"/>
  <c r="L459" i="106"/>
  <c r="K459" i="106"/>
  <c r="J459" i="106"/>
  <c r="I459" i="106"/>
  <c r="H459" i="106"/>
  <c r="G459" i="106"/>
  <c r="F459" i="106"/>
  <c r="E459" i="106"/>
  <c r="D459" i="106"/>
  <c r="C459" i="106"/>
  <c r="B459" i="106"/>
  <c r="M458" i="106"/>
  <c r="L458" i="106"/>
  <c r="K458" i="106"/>
  <c r="J458" i="106"/>
  <c r="I458" i="106"/>
  <c r="H458" i="106"/>
  <c r="G458" i="106"/>
  <c r="F458" i="106"/>
  <c r="E458" i="106"/>
  <c r="D458" i="106"/>
  <c r="C458" i="106"/>
  <c r="B458" i="106"/>
  <c r="M457" i="106"/>
  <c r="L457" i="106"/>
  <c r="K457" i="106"/>
  <c r="J457" i="106"/>
  <c r="I457" i="106"/>
  <c r="H457" i="106"/>
  <c r="G457" i="106"/>
  <c r="F457" i="106"/>
  <c r="E457" i="106"/>
  <c r="D457" i="106"/>
  <c r="C457" i="106"/>
  <c r="B457" i="106"/>
  <c r="M456" i="106"/>
  <c r="L456" i="106"/>
  <c r="K456" i="106"/>
  <c r="J456" i="106"/>
  <c r="I456" i="106"/>
  <c r="H456" i="106"/>
  <c r="G456" i="106"/>
  <c r="F456" i="106"/>
  <c r="E456" i="106"/>
  <c r="D456" i="106"/>
  <c r="C456" i="106"/>
  <c r="B456" i="106"/>
  <c r="B455" i="106"/>
  <c r="B454" i="106"/>
  <c r="B453" i="106"/>
  <c r="B452" i="106"/>
  <c r="B451" i="106"/>
  <c r="B450" i="106"/>
  <c r="B449" i="106"/>
  <c r="B448" i="106"/>
  <c r="B447" i="106"/>
  <c r="B446" i="106"/>
  <c r="B445" i="106"/>
  <c r="M444" i="106"/>
  <c r="L444" i="106"/>
  <c r="K444" i="106"/>
  <c r="J444" i="106"/>
  <c r="I444" i="106"/>
  <c r="H444" i="106"/>
  <c r="G444" i="106"/>
  <c r="F444" i="106"/>
  <c r="E444" i="106"/>
  <c r="D444" i="106"/>
  <c r="C444" i="106"/>
  <c r="B444" i="106"/>
  <c r="L443" i="106"/>
  <c r="B443" i="106"/>
  <c r="L442" i="106"/>
  <c r="B442" i="106"/>
  <c r="L441" i="106"/>
  <c r="B441" i="106"/>
  <c r="L440" i="106"/>
  <c r="B440" i="106"/>
  <c r="L439" i="106"/>
  <c r="B439" i="106"/>
  <c r="L438" i="106"/>
  <c r="B438" i="106"/>
  <c r="L437" i="106"/>
  <c r="B437" i="106"/>
  <c r="L436" i="106"/>
  <c r="B436" i="106"/>
  <c r="L435" i="106"/>
  <c r="B435" i="106"/>
  <c r="L434" i="106"/>
  <c r="B434" i="106"/>
  <c r="L433" i="106"/>
  <c r="B433" i="106"/>
  <c r="L432" i="106"/>
  <c r="B432" i="106"/>
  <c r="L431" i="106"/>
  <c r="B431" i="106"/>
  <c r="L430" i="106"/>
  <c r="B430" i="106"/>
  <c r="L429" i="106"/>
  <c r="B429" i="106"/>
  <c r="N428" i="106"/>
  <c r="M428" i="106"/>
  <c r="L428" i="106"/>
  <c r="K428" i="106"/>
  <c r="J428" i="106"/>
  <c r="I428" i="106"/>
  <c r="H428" i="106"/>
  <c r="G428" i="106"/>
  <c r="F428" i="106"/>
  <c r="E428" i="106"/>
  <c r="D428" i="106"/>
  <c r="C428" i="106"/>
  <c r="B428" i="106"/>
  <c r="L427" i="106"/>
  <c r="B427" i="106"/>
  <c r="L426" i="106"/>
  <c r="B426" i="106"/>
  <c r="L425" i="106"/>
  <c r="B425" i="106"/>
  <c r="L424" i="106"/>
  <c r="B424" i="106"/>
  <c r="L423" i="106"/>
  <c r="B423" i="106"/>
  <c r="L422" i="106"/>
  <c r="B422" i="106"/>
  <c r="N421" i="106"/>
  <c r="M421" i="106"/>
  <c r="L421" i="106"/>
  <c r="K421" i="106"/>
  <c r="J421" i="106"/>
  <c r="I421" i="106"/>
  <c r="H421" i="106"/>
  <c r="G421" i="106"/>
  <c r="F421" i="106"/>
  <c r="E421" i="106"/>
  <c r="D421" i="106"/>
  <c r="C421" i="106"/>
  <c r="B421" i="106"/>
  <c r="L420" i="106"/>
  <c r="B420" i="106"/>
  <c r="N419" i="106"/>
  <c r="M419" i="106"/>
  <c r="L419" i="106"/>
  <c r="K419" i="106"/>
  <c r="J419" i="106"/>
  <c r="I419" i="106"/>
  <c r="H419" i="106"/>
  <c r="G419" i="106"/>
  <c r="F419" i="106"/>
  <c r="E419" i="106"/>
  <c r="D419" i="106"/>
  <c r="C419" i="106"/>
  <c r="B419" i="106"/>
  <c r="L418" i="106"/>
  <c r="B418" i="106"/>
  <c r="N417" i="106"/>
  <c r="M417" i="106"/>
  <c r="L417" i="106"/>
  <c r="K417" i="106"/>
  <c r="J417" i="106"/>
  <c r="I417" i="106"/>
  <c r="H417" i="106"/>
  <c r="G417" i="106"/>
  <c r="F417" i="106"/>
  <c r="E417" i="106"/>
  <c r="D417" i="106"/>
  <c r="C417" i="106"/>
  <c r="B417" i="106"/>
  <c r="L416" i="106"/>
  <c r="B416" i="106"/>
  <c r="N415" i="106"/>
  <c r="M415" i="106"/>
  <c r="L415" i="106"/>
  <c r="K415" i="106"/>
  <c r="J415" i="106"/>
  <c r="I415" i="106"/>
  <c r="H415" i="106"/>
  <c r="G415" i="106"/>
  <c r="F415" i="106"/>
  <c r="E415" i="106"/>
  <c r="D415" i="106"/>
  <c r="C415" i="106"/>
  <c r="B415" i="106"/>
  <c r="N414" i="106"/>
  <c r="M414" i="106"/>
  <c r="L414" i="106"/>
  <c r="K414" i="106"/>
  <c r="J414" i="106"/>
  <c r="I414" i="106"/>
  <c r="H414" i="106"/>
  <c r="G414" i="106"/>
  <c r="F414" i="106"/>
  <c r="E414" i="106"/>
  <c r="D414" i="106"/>
  <c r="C414" i="106"/>
  <c r="B414" i="106"/>
  <c r="L413" i="106"/>
  <c r="B413" i="106"/>
  <c r="T412" i="106"/>
  <c r="S412" i="106"/>
  <c r="R412" i="106"/>
  <c r="Q412" i="106"/>
  <c r="P412" i="106"/>
  <c r="O412" i="106"/>
  <c r="N412" i="106"/>
  <c r="M412" i="106"/>
  <c r="L412" i="106"/>
  <c r="K412" i="106"/>
  <c r="J412" i="106"/>
  <c r="I412" i="106"/>
  <c r="H412" i="106"/>
  <c r="G412" i="106"/>
  <c r="F412" i="106"/>
  <c r="E412" i="106"/>
  <c r="D412" i="106"/>
  <c r="C412" i="106"/>
  <c r="B412" i="106"/>
  <c r="T411" i="106"/>
  <c r="S411" i="106"/>
  <c r="R411" i="106"/>
  <c r="Q411" i="106"/>
  <c r="P411" i="106"/>
  <c r="O411" i="106"/>
  <c r="N411" i="106"/>
  <c r="M411" i="106"/>
  <c r="L411" i="106"/>
  <c r="K411" i="106"/>
  <c r="J411" i="106"/>
  <c r="I411" i="106"/>
  <c r="H411" i="106"/>
  <c r="G411" i="106"/>
  <c r="F411" i="106"/>
  <c r="E411" i="106"/>
  <c r="D411" i="106"/>
  <c r="C411" i="106"/>
  <c r="B411" i="106"/>
  <c r="T410" i="106"/>
  <c r="S410" i="106"/>
  <c r="R410" i="106"/>
  <c r="Q410" i="106"/>
  <c r="P410" i="106"/>
  <c r="O410" i="106"/>
  <c r="N410" i="106"/>
  <c r="M410" i="106"/>
  <c r="L410" i="106"/>
  <c r="K410" i="106"/>
  <c r="J410" i="106"/>
  <c r="I410" i="106"/>
  <c r="H410" i="106"/>
  <c r="G410" i="106"/>
  <c r="F410" i="106"/>
  <c r="E410" i="106"/>
  <c r="D410" i="106"/>
  <c r="C410" i="106"/>
  <c r="B410" i="106"/>
  <c r="T409" i="106"/>
  <c r="S409" i="106"/>
  <c r="R409" i="106"/>
  <c r="Q409" i="106"/>
  <c r="P409" i="106"/>
  <c r="O409" i="106"/>
  <c r="N409" i="106"/>
  <c r="M409" i="106"/>
  <c r="L409" i="106"/>
  <c r="K409" i="106"/>
  <c r="J409" i="106"/>
  <c r="I409" i="106"/>
  <c r="H409" i="106"/>
  <c r="G409" i="106"/>
  <c r="F409" i="106"/>
  <c r="E409" i="106"/>
  <c r="D409" i="106"/>
  <c r="C409" i="106"/>
  <c r="B409" i="106"/>
  <c r="T408" i="106"/>
  <c r="S408" i="106"/>
  <c r="R408" i="106"/>
  <c r="Q408" i="106"/>
  <c r="P408" i="106"/>
  <c r="O408" i="106"/>
  <c r="N408" i="106"/>
  <c r="M408" i="106"/>
  <c r="L408" i="106"/>
  <c r="K408" i="106"/>
  <c r="J408" i="106"/>
  <c r="I408" i="106"/>
  <c r="H408" i="106"/>
  <c r="G408" i="106"/>
  <c r="F408" i="106"/>
  <c r="E408" i="106"/>
  <c r="D408" i="106"/>
  <c r="C408" i="106"/>
  <c r="B408" i="106"/>
  <c r="T407" i="106"/>
  <c r="S407" i="106"/>
  <c r="R407" i="106"/>
  <c r="Q407" i="106"/>
  <c r="P407" i="106"/>
  <c r="O407" i="106"/>
  <c r="N407" i="106"/>
  <c r="M407" i="106"/>
  <c r="L407" i="106"/>
  <c r="K407" i="106"/>
  <c r="J407" i="106"/>
  <c r="I407" i="106"/>
  <c r="H407" i="106"/>
  <c r="G407" i="106"/>
  <c r="F407" i="106"/>
  <c r="E407" i="106"/>
  <c r="D407" i="106"/>
  <c r="C407" i="106"/>
  <c r="B407" i="106"/>
  <c r="T406" i="106"/>
  <c r="S406" i="106"/>
  <c r="R406" i="106"/>
  <c r="Q406" i="106"/>
  <c r="P406" i="106"/>
  <c r="O406" i="106"/>
  <c r="N406" i="106"/>
  <c r="M406" i="106"/>
  <c r="L406" i="106"/>
  <c r="K406" i="106"/>
  <c r="J406" i="106"/>
  <c r="I406" i="106"/>
  <c r="H406" i="106"/>
  <c r="G406" i="106"/>
  <c r="F406" i="106"/>
  <c r="E406" i="106"/>
  <c r="D406" i="106"/>
  <c r="C406" i="106"/>
  <c r="B406" i="106"/>
  <c r="T405" i="106"/>
  <c r="S405" i="106"/>
  <c r="R405" i="106"/>
  <c r="Q405" i="106"/>
  <c r="P405" i="106"/>
  <c r="O405" i="106"/>
  <c r="N405" i="106"/>
  <c r="M405" i="106"/>
  <c r="L405" i="106"/>
  <c r="K405" i="106"/>
  <c r="J405" i="106"/>
  <c r="I405" i="106"/>
  <c r="H405" i="106"/>
  <c r="G405" i="106"/>
  <c r="F405" i="106"/>
  <c r="E405" i="106"/>
  <c r="D405" i="106"/>
  <c r="C405" i="106"/>
  <c r="B405" i="106"/>
  <c r="T404" i="106"/>
  <c r="S404" i="106"/>
  <c r="R404" i="106"/>
  <c r="Q404" i="106"/>
  <c r="P404" i="106"/>
  <c r="O404" i="106"/>
  <c r="N404" i="106"/>
  <c r="M404" i="106"/>
  <c r="L404" i="106"/>
  <c r="K404" i="106"/>
  <c r="J404" i="106"/>
  <c r="I404" i="106"/>
  <c r="H404" i="106"/>
  <c r="G404" i="106"/>
  <c r="F404" i="106"/>
  <c r="E404" i="106"/>
  <c r="D404" i="106"/>
  <c r="C404" i="106"/>
  <c r="B404" i="106"/>
  <c r="T403" i="106"/>
  <c r="S403" i="106"/>
  <c r="R403" i="106"/>
  <c r="Q403" i="106"/>
  <c r="P403" i="106"/>
  <c r="O403" i="106"/>
  <c r="N403" i="106"/>
  <c r="M403" i="106"/>
  <c r="L403" i="106"/>
  <c r="K403" i="106"/>
  <c r="J403" i="106"/>
  <c r="I403" i="106"/>
  <c r="H403" i="106"/>
  <c r="G403" i="106"/>
  <c r="F403" i="106"/>
  <c r="E403" i="106"/>
  <c r="D403" i="106"/>
  <c r="C403" i="106"/>
  <c r="B403" i="106"/>
  <c r="T402" i="106"/>
  <c r="S402" i="106"/>
  <c r="R402" i="106"/>
  <c r="Q402" i="106"/>
  <c r="P402" i="106"/>
  <c r="O402" i="106"/>
  <c r="N402" i="106"/>
  <c r="M402" i="106"/>
  <c r="L402" i="106"/>
  <c r="K402" i="106"/>
  <c r="J402" i="106"/>
  <c r="I402" i="106"/>
  <c r="H402" i="106"/>
  <c r="G402" i="106"/>
  <c r="F402" i="106"/>
  <c r="E402" i="106"/>
  <c r="D402" i="106"/>
  <c r="C402" i="106"/>
  <c r="B402" i="106"/>
  <c r="T401" i="106"/>
  <c r="S401" i="106"/>
  <c r="R401" i="106"/>
  <c r="Q401" i="106"/>
  <c r="P401" i="106"/>
  <c r="O401" i="106"/>
  <c r="N401" i="106"/>
  <c r="M401" i="106"/>
  <c r="L401" i="106"/>
  <c r="K401" i="106"/>
  <c r="J401" i="106"/>
  <c r="I401" i="106"/>
  <c r="H401" i="106"/>
  <c r="G401" i="106"/>
  <c r="F401" i="106"/>
  <c r="E401" i="106"/>
  <c r="D401" i="106"/>
  <c r="C401" i="106"/>
  <c r="B401" i="106"/>
  <c r="T400" i="106"/>
  <c r="S400" i="106"/>
  <c r="R400" i="106"/>
  <c r="Q400" i="106"/>
  <c r="P400" i="106"/>
  <c r="O400" i="106"/>
  <c r="N400" i="106"/>
  <c r="M400" i="106"/>
  <c r="L400" i="106"/>
  <c r="K400" i="106"/>
  <c r="J400" i="106"/>
  <c r="I400" i="106"/>
  <c r="H400" i="106"/>
  <c r="G400" i="106"/>
  <c r="F400" i="106"/>
  <c r="E400" i="106"/>
  <c r="D400" i="106"/>
  <c r="C400" i="106"/>
  <c r="B400" i="106"/>
  <c r="T399" i="106"/>
  <c r="S399" i="106"/>
  <c r="R399" i="106"/>
  <c r="Q399" i="106"/>
  <c r="P399" i="106"/>
  <c r="O399" i="106"/>
  <c r="N399" i="106"/>
  <c r="M399" i="106"/>
  <c r="L399" i="106"/>
  <c r="K399" i="106"/>
  <c r="J399" i="106"/>
  <c r="I399" i="106"/>
  <c r="H399" i="106"/>
  <c r="G399" i="106"/>
  <c r="F399" i="106"/>
  <c r="E399" i="106"/>
  <c r="D399" i="106"/>
  <c r="C399" i="106"/>
  <c r="B399" i="106"/>
  <c r="T398" i="106"/>
  <c r="S398" i="106"/>
  <c r="R398" i="106"/>
  <c r="Q398" i="106"/>
  <c r="P398" i="106"/>
  <c r="O398" i="106"/>
  <c r="N398" i="106"/>
  <c r="M398" i="106"/>
  <c r="L398" i="106"/>
  <c r="K398" i="106"/>
  <c r="J398" i="106"/>
  <c r="I398" i="106"/>
  <c r="H398" i="106"/>
  <c r="G398" i="106"/>
  <c r="F398" i="106"/>
  <c r="E398" i="106"/>
  <c r="D398" i="106"/>
  <c r="C398" i="106"/>
  <c r="B398" i="106"/>
  <c r="T397" i="106"/>
  <c r="S397" i="106"/>
  <c r="R397" i="106"/>
  <c r="Q397" i="106"/>
  <c r="P397" i="106"/>
  <c r="O397" i="106"/>
  <c r="N397" i="106"/>
  <c r="M397" i="106"/>
  <c r="L397" i="106"/>
  <c r="K397" i="106"/>
  <c r="J397" i="106"/>
  <c r="I397" i="106"/>
  <c r="H397" i="106"/>
  <c r="G397" i="106"/>
  <c r="F397" i="106"/>
  <c r="E397" i="106"/>
  <c r="D397" i="106"/>
  <c r="C397" i="106"/>
  <c r="B397" i="106"/>
  <c r="T396" i="106"/>
  <c r="S396" i="106"/>
  <c r="R396" i="106"/>
  <c r="Q396" i="106"/>
  <c r="P396" i="106"/>
  <c r="O396" i="106"/>
  <c r="N396" i="106"/>
  <c r="M396" i="106"/>
  <c r="L396" i="106"/>
  <c r="K396" i="106"/>
  <c r="J396" i="106"/>
  <c r="I396" i="106"/>
  <c r="H396" i="106"/>
  <c r="G396" i="106"/>
  <c r="F396" i="106"/>
  <c r="E396" i="106"/>
  <c r="D396" i="106"/>
  <c r="C396" i="106"/>
  <c r="B396" i="106"/>
  <c r="T395" i="106"/>
  <c r="S395" i="106"/>
  <c r="R395" i="106"/>
  <c r="Q395" i="106"/>
  <c r="P395" i="106"/>
  <c r="O395" i="106"/>
  <c r="N395" i="106"/>
  <c r="M395" i="106"/>
  <c r="L395" i="106"/>
  <c r="K395" i="106"/>
  <c r="J395" i="106"/>
  <c r="I395" i="106"/>
  <c r="H395" i="106"/>
  <c r="G395" i="106"/>
  <c r="F395" i="106"/>
  <c r="E395" i="106"/>
  <c r="D395" i="106"/>
  <c r="C395" i="106"/>
  <c r="B395" i="106"/>
  <c r="T394" i="106"/>
  <c r="S394" i="106"/>
  <c r="R394" i="106"/>
  <c r="Q394" i="106"/>
  <c r="P394" i="106"/>
  <c r="O394" i="106"/>
  <c r="N394" i="106"/>
  <c r="M394" i="106"/>
  <c r="L394" i="106"/>
  <c r="K394" i="106"/>
  <c r="J394" i="106"/>
  <c r="I394" i="106"/>
  <c r="H394" i="106"/>
  <c r="G394" i="106"/>
  <c r="F394" i="106"/>
  <c r="E394" i="106"/>
  <c r="D394" i="106"/>
  <c r="C394" i="106"/>
  <c r="B394" i="106"/>
  <c r="T393" i="106"/>
  <c r="S393" i="106"/>
  <c r="R393" i="106"/>
  <c r="Q393" i="106"/>
  <c r="P393" i="106"/>
  <c r="O393" i="106"/>
  <c r="N393" i="106"/>
  <c r="M393" i="106"/>
  <c r="L393" i="106"/>
  <c r="K393" i="106"/>
  <c r="J393" i="106"/>
  <c r="I393" i="106"/>
  <c r="H393" i="106"/>
  <c r="G393" i="106"/>
  <c r="F393" i="106"/>
  <c r="E393" i="106"/>
  <c r="D393" i="106"/>
  <c r="C393" i="106"/>
  <c r="B393" i="106"/>
  <c r="T392" i="106"/>
  <c r="S392" i="106"/>
  <c r="R392" i="106"/>
  <c r="Q392" i="106"/>
  <c r="P392" i="106"/>
  <c r="O392" i="106"/>
  <c r="N392" i="106"/>
  <c r="M392" i="106"/>
  <c r="L392" i="106"/>
  <c r="K392" i="106"/>
  <c r="J392" i="106"/>
  <c r="I392" i="106"/>
  <c r="H392" i="106"/>
  <c r="G392" i="106"/>
  <c r="F392" i="106"/>
  <c r="E392" i="106"/>
  <c r="D392" i="106"/>
  <c r="C392" i="106"/>
  <c r="B392" i="106"/>
  <c r="T391" i="106"/>
  <c r="S391" i="106"/>
  <c r="R391" i="106"/>
  <c r="Q391" i="106"/>
  <c r="P391" i="106"/>
  <c r="O391" i="106"/>
  <c r="N391" i="106"/>
  <c r="M391" i="106"/>
  <c r="L391" i="106"/>
  <c r="K391" i="106"/>
  <c r="J391" i="106"/>
  <c r="I391" i="106"/>
  <c r="H391" i="106"/>
  <c r="G391" i="106"/>
  <c r="F391" i="106"/>
  <c r="E391" i="106"/>
  <c r="D391" i="106"/>
  <c r="C391" i="106"/>
  <c r="B391" i="106"/>
  <c r="T390" i="106"/>
  <c r="S390" i="106"/>
  <c r="R390" i="106"/>
  <c r="Q390" i="106"/>
  <c r="P390" i="106"/>
  <c r="O390" i="106"/>
  <c r="N390" i="106"/>
  <c r="M390" i="106"/>
  <c r="L390" i="106"/>
  <c r="K390" i="106"/>
  <c r="J390" i="106"/>
  <c r="I390" i="106"/>
  <c r="H390" i="106"/>
  <c r="G390" i="106"/>
  <c r="F390" i="106"/>
  <c r="E390" i="106"/>
  <c r="D390" i="106"/>
  <c r="C390" i="106"/>
  <c r="B390" i="106"/>
  <c r="T389" i="106"/>
  <c r="S389" i="106"/>
  <c r="R389" i="106"/>
  <c r="Q389" i="106"/>
  <c r="P389" i="106"/>
  <c r="O389" i="106"/>
  <c r="N389" i="106"/>
  <c r="M389" i="106"/>
  <c r="L389" i="106"/>
  <c r="K389" i="106"/>
  <c r="J389" i="106"/>
  <c r="I389" i="106"/>
  <c r="H389" i="106"/>
  <c r="G389" i="106"/>
  <c r="F389" i="106"/>
  <c r="E389" i="106"/>
  <c r="D389" i="106"/>
  <c r="C389" i="106"/>
  <c r="B389" i="106"/>
  <c r="T388" i="106"/>
  <c r="S388" i="106"/>
  <c r="R388" i="106"/>
  <c r="Q388" i="106"/>
  <c r="P388" i="106"/>
  <c r="O388" i="106"/>
  <c r="N388" i="106"/>
  <c r="M388" i="106"/>
  <c r="L388" i="106"/>
  <c r="K388" i="106"/>
  <c r="J388" i="106"/>
  <c r="I388" i="106"/>
  <c r="H388" i="106"/>
  <c r="G388" i="106"/>
  <c r="F388" i="106"/>
  <c r="E388" i="106"/>
  <c r="D388" i="106"/>
  <c r="C388" i="106"/>
  <c r="B388" i="106"/>
  <c r="T387" i="106"/>
  <c r="S387" i="106"/>
  <c r="R387" i="106"/>
  <c r="Q387" i="106"/>
  <c r="P387" i="106"/>
  <c r="O387" i="106"/>
  <c r="N387" i="106"/>
  <c r="M387" i="106"/>
  <c r="L387" i="106"/>
  <c r="K387" i="106"/>
  <c r="J387" i="106"/>
  <c r="I387" i="106"/>
  <c r="H387" i="106"/>
  <c r="G387" i="106"/>
  <c r="F387" i="106"/>
  <c r="E387" i="106"/>
  <c r="D387" i="106"/>
  <c r="C387" i="106"/>
  <c r="B387" i="106"/>
  <c r="T386" i="106"/>
  <c r="S386" i="106"/>
  <c r="R386" i="106"/>
  <c r="Q386" i="106"/>
  <c r="P386" i="106"/>
  <c r="O386" i="106"/>
  <c r="N386" i="106"/>
  <c r="M386" i="106"/>
  <c r="L386" i="106"/>
  <c r="K386" i="106"/>
  <c r="J386" i="106"/>
  <c r="I386" i="106"/>
  <c r="H386" i="106"/>
  <c r="G386" i="106"/>
  <c r="F386" i="106"/>
  <c r="E386" i="106"/>
  <c r="D386" i="106"/>
  <c r="C386" i="106"/>
  <c r="B386" i="106"/>
  <c r="T385" i="106"/>
  <c r="S385" i="106"/>
  <c r="R385" i="106"/>
  <c r="Q385" i="106"/>
  <c r="P385" i="106"/>
  <c r="O385" i="106"/>
  <c r="N385" i="106"/>
  <c r="M385" i="106"/>
  <c r="L385" i="106"/>
  <c r="K385" i="106"/>
  <c r="J385" i="106"/>
  <c r="I385" i="106"/>
  <c r="H385" i="106"/>
  <c r="G385" i="106"/>
  <c r="F385" i="106"/>
  <c r="E385" i="106"/>
  <c r="D385" i="106"/>
  <c r="C385" i="106"/>
  <c r="B385" i="106"/>
  <c r="T384" i="106"/>
  <c r="S384" i="106"/>
  <c r="R384" i="106"/>
  <c r="Q384" i="106"/>
  <c r="P384" i="106"/>
  <c r="O384" i="106"/>
  <c r="N384" i="106"/>
  <c r="M384" i="106"/>
  <c r="L384" i="106"/>
  <c r="K384" i="106"/>
  <c r="J384" i="106"/>
  <c r="I384" i="106"/>
  <c r="H384" i="106"/>
  <c r="G384" i="106"/>
  <c r="F384" i="106"/>
  <c r="E384" i="106"/>
  <c r="D384" i="106"/>
  <c r="C384" i="106"/>
  <c r="B384" i="106"/>
  <c r="T383" i="106"/>
  <c r="S383" i="106"/>
  <c r="R383" i="106"/>
  <c r="Q383" i="106"/>
  <c r="P383" i="106"/>
  <c r="O383" i="106"/>
  <c r="N383" i="106"/>
  <c r="M383" i="106"/>
  <c r="L383" i="106"/>
  <c r="K383" i="106"/>
  <c r="J383" i="106"/>
  <c r="I383" i="106"/>
  <c r="H383" i="106"/>
  <c r="G383" i="106"/>
  <c r="F383" i="106"/>
  <c r="E383" i="106"/>
  <c r="D383" i="106"/>
  <c r="C383" i="106"/>
  <c r="B383" i="106"/>
  <c r="T382" i="106"/>
  <c r="S382" i="106"/>
  <c r="R382" i="106"/>
  <c r="Q382" i="106"/>
  <c r="P382" i="106"/>
  <c r="O382" i="106"/>
  <c r="N382" i="106"/>
  <c r="M382" i="106"/>
  <c r="L382" i="106"/>
  <c r="K382" i="106"/>
  <c r="J382" i="106"/>
  <c r="I382" i="106"/>
  <c r="H382" i="106"/>
  <c r="G382" i="106"/>
  <c r="F382" i="106"/>
  <c r="E382" i="106"/>
  <c r="D382" i="106"/>
  <c r="C382" i="106"/>
  <c r="B382" i="106"/>
  <c r="T381" i="106"/>
  <c r="S381" i="106"/>
  <c r="R381" i="106"/>
  <c r="Q381" i="106"/>
  <c r="P381" i="106"/>
  <c r="O381" i="106"/>
  <c r="N381" i="106"/>
  <c r="M381" i="106"/>
  <c r="L381" i="106"/>
  <c r="K381" i="106"/>
  <c r="J381" i="106"/>
  <c r="I381" i="106"/>
  <c r="H381" i="106"/>
  <c r="G381" i="106"/>
  <c r="F381" i="106"/>
  <c r="E381" i="106"/>
  <c r="D381" i="106"/>
  <c r="C381" i="106"/>
  <c r="B381" i="106"/>
  <c r="T380" i="106"/>
  <c r="S380" i="106"/>
  <c r="R380" i="106"/>
  <c r="Q380" i="106"/>
  <c r="P380" i="106"/>
  <c r="O380" i="106"/>
  <c r="N380" i="106"/>
  <c r="M380" i="106"/>
  <c r="L380" i="106"/>
  <c r="K380" i="106"/>
  <c r="J380" i="106"/>
  <c r="I380" i="106"/>
  <c r="H380" i="106"/>
  <c r="G380" i="106"/>
  <c r="F380" i="106"/>
  <c r="E380" i="106"/>
  <c r="D380" i="106"/>
  <c r="C380" i="106"/>
  <c r="B380" i="106"/>
  <c r="T379" i="106"/>
  <c r="S379" i="106"/>
  <c r="R379" i="106"/>
  <c r="Q379" i="106"/>
  <c r="P379" i="106"/>
  <c r="O379" i="106"/>
  <c r="N379" i="106"/>
  <c r="M379" i="106"/>
  <c r="L379" i="106"/>
  <c r="K379" i="106"/>
  <c r="J379" i="106"/>
  <c r="I379" i="106"/>
  <c r="H379" i="106"/>
  <c r="G379" i="106"/>
  <c r="F379" i="106"/>
  <c r="E379" i="106"/>
  <c r="D379" i="106"/>
  <c r="C379" i="106"/>
  <c r="B379" i="106"/>
  <c r="T378" i="106"/>
  <c r="S378" i="106"/>
  <c r="R378" i="106"/>
  <c r="Q378" i="106"/>
  <c r="P378" i="106"/>
  <c r="O378" i="106"/>
  <c r="N378" i="106"/>
  <c r="M378" i="106"/>
  <c r="L378" i="106"/>
  <c r="K378" i="106"/>
  <c r="J378" i="106"/>
  <c r="I378" i="106"/>
  <c r="H378" i="106"/>
  <c r="G378" i="106"/>
  <c r="F378" i="106"/>
  <c r="E378" i="106"/>
  <c r="D378" i="106"/>
  <c r="C378" i="106"/>
  <c r="B378" i="106"/>
  <c r="T377" i="106"/>
  <c r="S377" i="106"/>
  <c r="R377" i="106"/>
  <c r="Q377" i="106"/>
  <c r="P377" i="106"/>
  <c r="O377" i="106"/>
  <c r="N377" i="106"/>
  <c r="M377" i="106"/>
  <c r="L377" i="106"/>
  <c r="K377" i="106"/>
  <c r="J377" i="106"/>
  <c r="I377" i="106"/>
  <c r="H377" i="106"/>
  <c r="G377" i="106"/>
  <c r="F377" i="106"/>
  <c r="E377" i="106"/>
  <c r="D377" i="106"/>
  <c r="C377" i="106"/>
  <c r="B377" i="106"/>
  <c r="T376" i="106"/>
  <c r="S376" i="106"/>
  <c r="R376" i="106"/>
  <c r="Q376" i="106"/>
  <c r="P376" i="106"/>
  <c r="O376" i="106"/>
  <c r="N376" i="106"/>
  <c r="M376" i="106"/>
  <c r="L376" i="106"/>
  <c r="K376" i="106"/>
  <c r="J376" i="106"/>
  <c r="I376" i="106"/>
  <c r="H376" i="106"/>
  <c r="G376" i="106"/>
  <c r="F376" i="106"/>
  <c r="E376" i="106"/>
  <c r="D376" i="106"/>
  <c r="C376" i="106"/>
  <c r="B376" i="106"/>
  <c r="T375" i="106"/>
  <c r="S375" i="106"/>
  <c r="R375" i="106"/>
  <c r="Q375" i="106"/>
  <c r="P375" i="106"/>
  <c r="O375" i="106"/>
  <c r="N375" i="106"/>
  <c r="M375" i="106"/>
  <c r="L375" i="106"/>
  <c r="K375" i="106"/>
  <c r="J375" i="106"/>
  <c r="I375" i="106"/>
  <c r="H375" i="106"/>
  <c r="G375" i="106"/>
  <c r="F375" i="106"/>
  <c r="E375" i="106"/>
  <c r="D375" i="106"/>
  <c r="C375" i="106"/>
  <c r="B375" i="106"/>
  <c r="T374" i="106"/>
  <c r="S374" i="106"/>
  <c r="R374" i="106"/>
  <c r="Q374" i="106"/>
  <c r="P374" i="106"/>
  <c r="O374" i="106"/>
  <c r="N374" i="106"/>
  <c r="M374" i="106"/>
  <c r="L374" i="106"/>
  <c r="K374" i="106"/>
  <c r="J374" i="106"/>
  <c r="I374" i="106"/>
  <c r="H374" i="106"/>
  <c r="G374" i="106"/>
  <c r="F374" i="106"/>
  <c r="E374" i="106"/>
  <c r="D374" i="106"/>
  <c r="C374" i="106"/>
  <c r="B374" i="106"/>
  <c r="T373" i="106"/>
  <c r="S373" i="106"/>
  <c r="R373" i="106"/>
  <c r="Q373" i="106"/>
  <c r="P373" i="106"/>
  <c r="O373" i="106"/>
  <c r="N373" i="106"/>
  <c r="M373" i="106"/>
  <c r="L373" i="106"/>
  <c r="K373" i="106"/>
  <c r="J373" i="106"/>
  <c r="I373" i="106"/>
  <c r="H373" i="106"/>
  <c r="G373" i="106"/>
  <c r="F373" i="106"/>
  <c r="E373" i="106"/>
  <c r="D373" i="106"/>
  <c r="C373" i="106"/>
  <c r="B373" i="106"/>
  <c r="T372" i="106"/>
  <c r="S372" i="106"/>
  <c r="R372" i="106"/>
  <c r="Q372" i="106"/>
  <c r="P372" i="106"/>
  <c r="O372" i="106"/>
  <c r="N372" i="106"/>
  <c r="M372" i="106"/>
  <c r="L372" i="106"/>
  <c r="K372" i="106"/>
  <c r="J372" i="106"/>
  <c r="I372" i="106"/>
  <c r="H372" i="106"/>
  <c r="G372" i="106"/>
  <c r="F372" i="106"/>
  <c r="E372" i="106"/>
  <c r="D372" i="106"/>
  <c r="C372" i="106"/>
  <c r="B372" i="106"/>
  <c r="T371" i="106"/>
  <c r="S371" i="106"/>
  <c r="R371" i="106"/>
  <c r="Q371" i="106"/>
  <c r="P371" i="106"/>
  <c r="O371" i="106"/>
  <c r="N371" i="106"/>
  <c r="M371" i="106"/>
  <c r="L371" i="106"/>
  <c r="K371" i="106"/>
  <c r="J371" i="106"/>
  <c r="I371" i="106"/>
  <c r="H371" i="106"/>
  <c r="G371" i="106"/>
  <c r="F371" i="106"/>
  <c r="E371" i="106"/>
  <c r="D371" i="106"/>
  <c r="C371" i="106"/>
  <c r="B371" i="106"/>
  <c r="T370" i="106"/>
  <c r="S370" i="106"/>
  <c r="R370" i="106"/>
  <c r="Q370" i="106"/>
  <c r="P370" i="106"/>
  <c r="O370" i="106"/>
  <c r="N370" i="106"/>
  <c r="M370" i="106"/>
  <c r="L370" i="106"/>
  <c r="K370" i="106"/>
  <c r="J370" i="106"/>
  <c r="I370" i="106"/>
  <c r="H370" i="106"/>
  <c r="G370" i="106"/>
  <c r="F370" i="106"/>
  <c r="E370" i="106"/>
  <c r="D370" i="106"/>
  <c r="C370" i="106"/>
  <c r="B370" i="106"/>
  <c r="T369" i="106"/>
  <c r="S369" i="106"/>
  <c r="R369" i="106"/>
  <c r="Q369" i="106"/>
  <c r="P369" i="106"/>
  <c r="O369" i="106"/>
  <c r="N369" i="106"/>
  <c r="M369" i="106"/>
  <c r="L369" i="106"/>
  <c r="K369" i="106"/>
  <c r="J369" i="106"/>
  <c r="I369" i="106"/>
  <c r="H369" i="106"/>
  <c r="G369" i="106"/>
  <c r="F369" i="106"/>
  <c r="E369" i="106"/>
  <c r="D369" i="106"/>
  <c r="C369" i="106"/>
  <c r="B369" i="106"/>
  <c r="T368" i="106"/>
  <c r="S368" i="106"/>
  <c r="R368" i="106"/>
  <c r="Q368" i="106"/>
  <c r="P368" i="106"/>
  <c r="O368" i="106"/>
  <c r="N368" i="106"/>
  <c r="M368" i="106"/>
  <c r="L368" i="106"/>
  <c r="K368" i="106"/>
  <c r="J368" i="106"/>
  <c r="I368" i="106"/>
  <c r="H368" i="106"/>
  <c r="G368" i="106"/>
  <c r="F368" i="106"/>
  <c r="E368" i="106"/>
  <c r="D368" i="106"/>
  <c r="C368" i="106"/>
  <c r="B368" i="106"/>
  <c r="T367" i="106"/>
  <c r="S367" i="106"/>
  <c r="R367" i="106"/>
  <c r="Q367" i="106"/>
  <c r="P367" i="106"/>
  <c r="O367" i="106"/>
  <c r="N367" i="106"/>
  <c r="M367" i="106"/>
  <c r="L367" i="106"/>
  <c r="K367" i="106"/>
  <c r="J367" i="106"/>
  <c r="I367" i="106"/>
  <c r="H367" i="106"/>
  <c r="G367" i="106"/>
  <c r="F367" i="106"/>
  <c r="E367" i="106"/>
  <c r="D367" i="106"/>
  <c r="C367" i="106"/>
  <c r="B367" i="106"/>
  <c r="T366" i="106"/>
  <c r="S366" i="106"/>
  <c r="R366" i="106"/>
  <c r="Q366" i="106"/>
  <c r="P366" i="106"/>
  <c r="O366" i="106"/>
  <c r="N366" i="106"/>
  <c r="M366" i="106"/>
  <c r="L366" i="106"/>
  <c r="K366" i="106"/>
  <c r="J366" i="106"/>
  <c r="I366" i="106"/>
  <c r="H366" i="106"/>
  <c r="G366" i="106"/>
  <c r="F366" i="106"/>
  <c r="E366" i="106"/>
  <c r="D366" i="106"/>
  <c r="C366" i="106"/>
  <c r="B366" i="106"/>
  <c r="T365" i="106"/>
  <c r="S365" i="106"/>
  <c r="R365" i="106"/>
  <c r="Q365" i="106"/>
  <c r="P365" i="106"/>
  <c r="O365" i="106"/>
  <c r="N365" i="106"/>
  <c r="M365" i="106"/>
  <c r="L365" i="106"/>
  <c r="K365" i="106"/>
  <c r="J365" i="106"/>
  <c r="I365" i="106"/>
  <c r="H365" i="106"/>
  <c r="G365" i="106"/>
  <c r="F365" i="106"/>
  <c r="E365" i="106"/>
  <c r="D365" i="106"/>
  <c r="C365" i="106"/>
  <c r="B365" i="106"/>
  <c r="T364" i="106"/>
  <c r="S364" i="106"/>
  <c r="R364" i="106"/>
  <c r="Q364" i="106"/>
  <c r="P364" i="106"/>
  <c r="O364" i="106"/>
  <c r="N364" i="106"/>
  <c r="M364" i="106"/>
  <c r="L364" i="106"/>
  <c r="K364" i="106"/>
  <c r="J364" i="106"/>
  <c r="I364" i="106"/>
  <c r="H364" i="106"/>
  <c r="G364" i="106"/>
  <c r="F364" i="106"/>
  <c r="E364" i="106"/>
  <c r="D364" i="106"/>
  <c r="C364" i="106"/>
  <c r="B364" i="106"/>
  <c r="T363" i="106"/>
  <c r="S363" i="106"/>
  <c r="R363" i="106"/>
  <c r="Q363" i="106"/>
  <c r="P363" i="106"/>
  <c r="O363" i="106"/>
  <c r="N363" i="106"/>
  <c r="M363" i="106"/>
  <c r="L363" i="106"/>
  <c r="K363" i="106"/>
  <c r="J363" i="106"/>
  <c r="I363" i="106"/>
  <c r="H363" i="106"/>
  <c r="G363" i="106"/>
  <c r="F363" i="106"/>
  <c r="E363" i="106"/>
  <c r="D363" i="106"/>
  <c r="C363" i="106"/>
  <c r="B363" i="106"/>
  <c r="T362" i="106"/>
  <c r="S362" i="106"/>
  <c r="R362" i="106"/>
  <c r="Q362" i="106"/>
  <c r="P362" i="106"/>
  <c r="O362" i="106"/>
  <c r="N362" i="106"/>
  <c r="M362" i="106"/>
  <c r="L362" i="106"/>
  <c r="K362" i="106"/>
  <c r="J362" i="106"/>
  <c r="I362" i="106"/>
  <c r="H362" i="106"/>
  <c r="G362" i="106"/>
  <c r="F362" i="106"/>
  <c r="E362" i="106"/>
  <c r="D362" i="106"/>
  <c r="C362" i="106"/>
  <c r="B362" i="106"/>
  <c r="T361" i="106"/>
  <c r="S361" i="106"/>
  <c r="R361" i="106"/>
  <c r="Q361" i="106"/>
  <c r="P361" i="106"/>
  <c r="O361" i="106"/>
  <c r="N361" i="106"/>
  <c r="M361" i="106"/>
  <c r="L361" i="106"/>
  <c r="K361" i="106"/>
  <c r="J361" i="106"/>
  <c r="I361" i="106"/>
  <c r="H361" i="106"/>
  <c r="G361" i="106"/>
  <c r="F361" i="106"/>
  <c r="E361" i="106"/>
  <c r="D361" i="106"/>
  <c r="C361" i="106"/>
  <c r="B361" i="106"/>
  <c r="T360" i="106"/>
  <c r="S360" i="106"/>
  <c r="R360" i="106"/>
  <c r="Q360" i="106"/>
  <c r="P360" i="106"/>
  <c r="O360" i="106"/>
  <c r="N360" i="106"/>
  <c r="M360" i="106"/>
  <c r="L360" i="106"/>
  <c r="K360" i="106"/>
  <c r="J360" i="106"/>
  <c r="I360" i="106"/>
  <c r="H360" i="106"/>
  <c r="G360" i="106"/>
  <c r="F360" i="106"/>
  <c r="E360" i="106"/>
  <c r="D360" i="106"/>
  <c r="C360" i="106"/>
  <c r="B360" i="106"/>
  <c r="T359" i="106"/>
  <c r="S359" i="106"/>
  <c r="R359" i="106"/>
  <c r="Q359" i="106"/>
  <c r="P359" i="106"/>
  <c r="O359" i="106"/>
  <c r="N359" i="106"/>
  <c r="M359" i="106"/>
  <c r="L359" i="106"/>
  <c r="K359" i="106"/>
  <c r="J359" i="106"/>
  <c r="I359" i="106"/>
  <c r="H359" i="106"/>
  <c r="G359" i="106"/>
  <c r="F359" i="106"/>
  <c r="E359" i="106"/>
  <c r="D359" i="106"/>
  <c r="C359" i="106"/>
  <c r="B359" i="106"/>
  <c r="T358" i="106"/>
  <c r="S358" i="106"/>
  <c r="R358" i="106"/>
  <c r="Q358" i="106"/>
  <c r="P358" i="106"/>
  <c r="O358" i="106"/>
  <c r="N358" i="106"/>
  <c r="M358" i="106"/>
  <c r="L358" i="106"/>
  <c r="K358" i="106"/>
  <c r="J358" i="106"/>
  <c r="I358" i="106"/>
  <c r="H358" i="106"/>
  <c r="G358" i="106"/>
  <c r="F358" i="106"/>
  <c r="E358" i="106"/>
  <c r="D358" i="106"/>
  <c r="C358" i="106"/>
  <c r="B358" i="106"/>
  <c r="T357" i="106"/>
  <c r="S357" i="106"/>
  <c r="R357" i="106"/>
  <c r="Q357" i="106"/>
  <c r="P357" i="106"/>
  <c r="O357" i="106"/>
  <c r="N357" i="106"/>
  <c r="M357" i="106"/>
  <c r="L357" i="106"/>
  <c r="K357" i="106"/>
  <c r="J357" i="106"/>
  <c r="I357" i="106"/>
  <c r="H357" i="106"/>
  <c r="G357" i="106"/>
  <c r="F357" i="106"/>
  <c r="E357" i="106"/>
  <c r="D357" i="106"/>
  <c r="C357" i="106"/>
  <c r="B357" i="106"/>
  <c r="T356" i="106"/>
  <c r="S356" i="106"/>
  <c r="R356" i="106"/>
  <c r="Q356" i="106"/>
  <c r="P356" i="106"/>
  <c r="O356" i="106"/>
  <c r="N356" i="106"/>
  <c r="M356" i="106"/>
  <c r="L356" i="106"/>
  <c r="K356" i="106"/>
  <c r="J356" i="106"/>
  <c r="I356" i="106"/>
  <c r="H356" i="106"/>
  <c r="G356" i="106"/>
  <c r="F356" i="106"/>
  <c r="E356" i="106"/>
  <c r="D356" i="106"/>
  <c r="C356" i="106"/>
  <c r="B356" i="106"/>
  <c r="T355" i="106"/>
  <c r="S355" i="106"/>
  <c r="R355" i="106"/>
  <c r="Q355" i="106"/>
  <c r="P355" i="106"/>
  <c r="O355" i="106"/>
  <c r="N355" i="106"/>
  <c r="M355" i="106"/>
  <c r="L355" i="106"/>
  <c r="K355" i="106"/>
  <c r="J355" i="106"/>
  <c r="I355" i="106"/>
  <c r="H355" i="106"/>
  <c r="G355" i="106"/>
  <c r="F355" i="106"/>
  <c r="E355" i="106"/>
  <c r="D355" i="106"/>
  <c r="C355" i="106"/>
  <c r="B355" i="106"/>
  <c r="T354" i="106"/>
  <c r="S354" i="106"/>
  <c r="R354" i="106"/>
  <c r="Q354" i="106"/>
  <c r="P354" i="106"/>
  <c r="O354" i="106"/>
  <c r="N354" i="106"/>
  <c r="M354" i="106"/>
  <c r="L354" i="106"/>
  <c r="K354" i="106"/>
  <c r="J354" i="106"/>
  <c r="I354" i="106"/>
  <c r="H354" i="106"/>
  <c r="G354" i="106"/>
  <c r="F354" i="106"/>
  <c r="E354" i="106"/>
  <c r="D354" i="106"/>
  <c r="C354" i="106"/>
  <c r="B354" i="106"/>
  <c r="T353" i="106"/>
  <c r="S353" i="106"/>
  <c r="R353" i="106"/>
  <c r="Q353" i="106"/>
  <c r="P353" i="106"/>
  <c r="O353" i="106"/>
  <c r="N353" i="106"/>
  <c r="M353" i="106"/>
  <c r="L353" i="106"/>
  <c r="K353" i="106"/>
  <c r="J353" i="106"/>
  <c r="I353" i="106"/>
  <c r="H353" i="106"/>
  <c r="G353" i="106"/>
  <c r="F353" i="106"/>
  <c r="E353" i="106"/>
  <c r="D353" i="106"/>
  <c r="C353" i="106"/>
  <c r="B353" i="106"/>
  <c r="T352" i="106"/>
  <c r="S352" i="106"/>
  <c r="R352" i="106"/>
  <c r="Q352" i="106"/>
  <c r="P352" i="106"/>
  <c r="O352" i="106"/>
  <c r="N352" i="106"/>
  <c r="M352" i="106"/>
  <c r="L352" i="106"/>
  <c r="K352" i="106"/>
  <c r="J352" i="106"/>
  <c r="I352" i="106"/>
  <c r="H352" i="106"/>
  <c r="G352" i="106"/>
  <c r="F352" i="106"/>
  <c r="E352" i="106"/>
  <c r="D352" i="106"/>
  <c r="C352" i="106"/>
  <c r="B352" i="106"/>
  <c r="T351" i="106"/>
  <c r="S351" i="106"/>
  <c r="R351" i="106"/>
  <c r="Q351" i="106"/>
  <c r="P351" i="106"/>
  <c r="O351" i="106"/>
  <c r="N351" i="106"/>
  <c r="M351" i="106"/>
  <c r="L351" i="106"/>
  <c r="K351" i="106"/>
  <c r="J351" i="106"/>
  <c r="I351" i="106"/>
  <c r="H351" i="106"/>
  <c r="G351" i="106"/>
  <c r="F351" i="106"/>
  <c r="E351" i="106"/>
  <c r="D351" i="106"/>
  <c r="C351" i="106"/>
  <c r="B351" i="106"/>
  <c r="T350" i="106"/>
  <c r="S350" i="106"/>
  <c r="R350" i="106"/>
  <c r="Q350" i="106"/>
  <c r="P350" i="106"/>
  <c r="O350" i="106"/>
  <c r="N350" i="106"/>
  <c r="M350" i="106"/>
  <c r="L350" i="106"/>
  <c r="K350" i="106"/>
  <c r="J350" i="106"/>
  <c r="I350" i="106"/>
  <c r="H350" i="106"/>
  <c r="G350" i="106"/>
  <c r="F350" i="106"/>
  <c r="E350" i="106"/>
  <c r="D350" i="106"/>
  <c r="C350" i="106"/>
  <c r="B350" i="106"/>
  <c r="T349" i="106"/>
  <c r="S349" i="106"/>
  <c r="R349" i="106"/>
  <c r="Q349" i="106"/>
  <c r="P349" i="106"/>
  <c r="O349" i="106"/>
  <c r="N349" i="106"/>
  <c r="M349" i="106"/>
  <c r="L349" i="106"/>
  <c r="K349" i="106"/>
  <c r="J349" i="106"/>
  <c r="I349" i="106"/>
  <c r="H349" i="106"/>
  <c r="G349" i="106"/>
  <c r="F349" i="106"/>
  <c r="E349" i="106"/>
  <c r="D349" i="106"/>
  <c r="C349" i="106"/>
  <c r="B349" i="106"/>
  <c r="T348" i="106"/>
  <c r="S348" i="106"/>
  <c r="R348" i="106"/>
  <c r="Q348" i="106"/>
  <c r="P348" i="106"/>
  <c r="O348" i="106"/>
  <c r="N348" i="106"/>
  <c r="M348" i="106"/>
  <c r="L348" i="106"/>
  <c r="K348" i="106"/>
  <c r="J348" i="106"/>
  <c r="I348" i="106"/>
  <c r="H348" i="106"/>
  <c r="G348" i="106"/>
  <c r="F348" i="106"/>
  <c r="E348" i="106"/>
  <c r="D348" i="106"/>
  <c r="C348" i="106"/>
  <c r="B348" i="106"/>
  <c r="T347" i="106"/>
  <c r="S347" i="106"/>
  <c r="R347" i="106"/>
  <c r="Q347" i="106"/>
  <c r="P347" i="106"/>
  <c r="O347" i="106"/>
  <c r="N347" i="106"/>
  <c r="M347" i="106"/>
  <c r="L347" i="106"/>
  <c r="K347" i="106"/>
  <c r="J347" i="106"/>
  <c r="I347" i="106"/>
  <c r="H347" i="106"/>
  <c r="G347" i="106"/>
  <c r="F347" i="106"/>
  <c r="E347" i="106"/>
  <c r="D347" i="106"/>
  <c r="C347" i="106"/>
  <c r="B347" i="106"/>
  <c r="T346" i="106"/>
  <c r="S346" i="106"/>
  <c r="R346" i="106"/>
  <c r="Q346" i="106"/>
  <c r="P346" i="106"/>
  <c r="O346" i="106"/>
  <c r="N346" i="106"/>
  <c r="M346" i="106"/>
  <c r="L346" i="106"/>
  <c r="K346" i="106"/>
  <c r="J346" i="106"/>
  <c r="I346" i="106"/>
  <c r="H346" i="106"/>
  <c r="G346" i="106"/>
  <c r="F346" i="106"/>
  <c r="E346" i="106"/>
  <c r="D346" i="106"/>
  <c r="C346" i="106"/>
  <c r="B346" i="106"/>
  <c r="T345" i="106"/>
  <c r="S345" i="106"/>
  <c r="R345" i="106"/>
  <c r="Q345" i="106"/>
  <c r="P345" i="106"/>
  <c r="O345" i="106"/>
  <c r="N345" i="106"/>
  <c r="M345" i="106"/>
  <c r="L345" i="106"/>
  <c r="K345" i="106"/>
  <c r="J345" i="106"/>
  <c r="I345" i="106"/>
  <c r="H345" i="106"/>
  <c r="G345" i="106"/>
  <c r="F345" i="106"/>
  <c r="E345" i="106"/>
  <c r="D345" i="106"/>
  <c r="C345" i="106"/>
  <c r="B345" i="106"/>
  <c r="T344" i="106"/>
  <c r="S344" i="106"/>
  <c r="R344" i="106"/>
  <c r="Q344" i="106"/>
  <c r="P344" i="106"/>
  <c r="O344" i="106"/>
  <c r="N344" i="106"/>
  <c r="M344" i="106"/>
  <c r="L344" i="106"/>
  <c r="K344" i="106"/>
  <c r="J344" i="106"/>
  <c r="I344" i="106"/>
  <c r="H344" i="106"/>
  <c r="G344" i="106"/>
  <c r="F344" i="106"/>
  <c r="E344" i="106"/>
  <c r="D344" i="106"/>
  <c r="C344" i="106"/>
  <c r="B344" i="106"/>
  <c r="T343" i="106"/>
  <c r="S343" i="106"/>
  <c r="R343" i="106"/>
  <c r="Q343" i="106"/>
  <c r="P343" i="106"/>
  <c r="O343" i="106"/>
  <c r="N343" i="106"/>
  <c r="M343" i="106"/>
  <c r="L343" i="106"/>
  <c r="K343" i="106"/>
  <c r="J343" i="106"/>
  <c r="I343" i="106"/>
  <c r="H343" i="106"/>
  <c r="G343" i="106"/>
  <c r="F343" i="106"/>
  <c r="E343" i="106"/>
  <c r="D343" i="106"/>
  <c r="C343" i="106"/>
  <c r="B343" i="106"/>
  <c r="T342" i="106"/>
  <c r="S342" i="106"/>
  <c r="R342" i="106"/>
  <c r="Q342" i="106"/>
  <c r="P342" i="106"/>
  <c r="O342" i="106"/>
  <c r="N342" i="106"/>
  <c r="M342" i="106"/>
  <c r="L342" i="106"/>
  <c r="K342" i="106"/>
  <c r="J342" i="106"/>
  <c r="I342" i="106"/>
  <c r="H342" i="106"/>
  <c r="G342" i="106"/>
  <c r="F342" i="106"/>
  <c r="E342" i="106"/>
  <c r="D342" i="106"/>
  <c r="C342" i="106"/>
  <c r="B342" i="106"/>
  <c r="T341" i="106"/>
  <c r="S341" i="106"/>
  <c r="R341" i="106"/>
  <c r="Q341" i="106"/>
  <c r="P341" i="106"/>
  <c r="O341" i="106"/>
  <c r="N341" i="106"/>
  <c r="M341" i="106"/>
  <c r="L341" i="106"/>
  <c r="K341" i="106"/>
  <c r="J341" i="106"/>
  <c r="I341" i="106"/>
  <c r="H341" i="106"/>
  <c r="G341" i="106"/>
  <c r="F341" i="106"/>
  <c r="E341" i="106"/>
  <c r="D341" i="106"/>
  <c r="C341" i="106"/>
  <c r="B341" i="106"/>
  <c r="T340" i="106"/>
  <c r="S340" i="106"/>
  <c r="R340" i="106"/>
  <c r="Q340" i="106"/>
  <c r="P340" i="106"/>
  <c r="O340" i="106"/>
  <c r="N340" i="106"/>
  <c r="M340" i="106"/>
  <c r="L340" i="106"/>
  <c r="K340" i="106"/>
  <c r="J340" i="106"/>
  <c r="I340" i="106"/>
  <c r="H340" i="106"/>
  <c r="G340" i="106"/>
  <c r="F340" i="106"/>
  <c r="E340" i="106"/>
  <c r="D340" i="106"/>
  <c r="C340" i="106"/>
  <c r="B340" i="106"/>
  <c r="T339" i="106"/>
  <c r="S339" i="106"/>
  <c r="R339" i="106"/>
  <c r="Q339" i="106"/>
  <c r="P339" i="106"/>
  <c r="O339" i="106"/>
  <c r="N339" i="106"/>
  <c r="M339" i="106"/>
  <c r="L339" i="106"/>
  <c r="K339" i="106"/>
  <c r="J339" i="106"/>
  <c r="I339" i="106"/>
  <c r="H339" i="106"/>
  <c r="G339" i="106"/>
  <c r="F339" i="106"/>
  <c r="E339" i="106"/>
  <c r="D339" i="106"/>
  <c r="C339" i="106"/>
  <c r="B339" i="106"/>
  <c r="T338" i="106"/>
  <c r="S338" i="106"/>
  <c r="R338" i="106"/>
  <c r="Q338" i="106"/>
  <c r="P338" i="106"/>
  <c r="O338" i="106"/>
  <c r="N338" i="106"/>
  <c r="M338" i="106"/>
  <c r="L338" i="106"/>
  <c r="K338" i="106"/>
  <c r="J338" i="106"/>
  <c r="I338" i="106"/>
  <c r="H338" i="106"/>
  <c r="G338" i="106"/>
  <c r="F338" i="106"/>
  <c r="E338" i="106"/>
  <c r="D338" i="106"/>
  <c r="C338" i="106"/>
  <c r="B338" i="106"/>
  <c r="T337" i="106"/>
  <c r="S337" i="106"/>
  <c r="R337" i="106"/>
  <c r="Q337" i="106"/>
  <c r="P337" i="106"/>
  <c r="O337" i="106"/>
  <c r="N337" i="106"/>
  <c r="M337" i="106"/>
  <c r="L337" i="106"/>
  <c r="K337" i="106"/>
  <c r="J337" i="106"/>
  <c r="I337" i="106"/>
  <c r="H337" i="106"/>
  <c r="G337" i="106"/>
  <c r="F337" i="106"/>
  <c r="E337" i="106"/>
  <c r="D337" i="106"/>
  <c r="C337" i="106"/>
  <c r="B337" i="106"/>
  <c r="T336" i="106"/>
  <c r="S336" i="106"/>
  <c r="R336" i="106"/>
  <c r="Q336" i="106"/>
  <c r="P336" i="106"/>
  <c r="O336" i="106"/>
  <c r="N336" i="106"/>
  <c r="M336" i="106"/>
  <c r="L336" i="106"/>
  <c r="K336" i="106"/>
  <c r="J336" i="106"/>
  <c r="I336" i="106"/>
  <c r="H336" i="106"/>
  <c r="G336" i="106"/>
  <c r="F336" i="106"/>
  <c r="E336" i="106"/>
  <c r="D336" i="106"/>
  <c r="C336" i="106"/>
  <c r="B336" i="106"/>
  <c r="T335" i="106"/>
  <c r="S335" i="106"/>
  <c r="R335" i="106"/>
  <c r="Q335" i="106"/>
  <c r="P335" i="106"/>
  <c r="O335" i="106"/>
  <c r="N335" i="106"/>
  <c r="M335" i="106"/>
  <c r="L335" i="106"/>
  <c r="K335" i="106"/>
  <c r="J335" i="106"/>
  <c r="I335" i="106"/>
  <c r="H335" i="106"/>
  <c r="G335" i="106"/>
  <c r="F335" i="106"/>
  <c r="E335" i="106"/>
  <c r="D335" i="106"/>
  <c r="C335" i="106"/>
  <c r="B335" i="106"/>
  <c r="T334" i="106"/>
  <c r="S334" i="106"/>
  <c r="R334" i="106"/>
  <c r="Q334" i="106"/>
  <c r="P334" i="106"/>
  <c r="O334" i="106"/>
  <c r="N334" i="106"/>
  <c r="M334" i="106"/>
  <c r="L334" i="106"/>
  <c r="K334" i="106"/>
  <c r="J334" i="106"/>
  <c r="I334" i="106"/>
  <c r="H334" i="106"/>
  <c r="G334" i="106"/>
  <c r="F334" i="106"/>
  <c r="E334" i="106"/>
  <c r="D334" i="106"/>
  <c r="C334" i="106"/>
  <c r="B334" i="106"/>
  <c r="T333" i="106"/>
  <c r="S333" i="106"/>
  <c r="R333" i="106"/>
  <c r="Q333" i="106"/>
  <c r="P333" i="106"/>
  <c r="O333" i="106"/>
  <c r="N333" i="106"/>
  <c r="M333" i="106"/>
  <c r="L333" i="106"/>
  <c r="K333" i="106"/>
  <c r="J333" i="106"/>
  <c r="I333" i="106"/>
  <c r="H333" i="106"/>
  <c r="G333" i="106"/>
  <c r="F333" i="106"/>
  <c r="E333" i="106"/>
  <c r="D333" i="106"/>
  <c r="C333" i="106"/>
  <c r="B333" i="106"/>
  <c r="T332" i="106"/>
  <c r="S332" i="106"/>
  <c r="R332" i="106"/>
  <c r="Q332" i="106"/>
  <c r="P332" i="106"/>
  <c r="O332" i="106"/>
  <c r="N332" i="106"/>
  <c r="M332" i="106"/>
  <c r="L332" i="106"/>
  <c r="K332" i="106"/>
  <c r="J332" i="106"/>
  <c r="I332" i="106"/>
  <c r="H332" i="106"/>
  <c r="G332" i="106"/>
  <c r="F332" i="106"/>
  <c r="E332" i="106"/>
  <c r="D332" i="106"/>
  <c r="C332" i="106"/>
  <c r="B332" i="106"/>
  <c r="T331" i="106"/>
  <c r="S331" i="106"/>
  <c r="R331" i="106"/>
  <c r="Q331" i="106"/>
  <c r="P331" i="106"/>
  <c r="O331" i="106"/>
  <c r="N331" i="106"/>
  <c r="M331" i="106"/>
  <c r="L331" i="106"/>
  <c r="K331" i="106"/>
  <c r="J331" i="106"/>
  <c r="I331" i="106"/>
  <c r="H331" i="106"/>
  <c r="G331" i="106"/>
  <c r="F331" i="106"/>
  <c r="E331" i="106"/>
  <c r="D331" i="106"/>
  <c r="C331" i="106"/>
  <c r="B331" i="106"/>
  <c r="T330" i="106"/>
  <c r="S330" i="106"/>
  <c r="R330" i="106"/>
  <c r="Q330" i="106"/>
  <c r="P330" i="106"/>
  <c r="O330" i="106"/>
  <c r="N330" i="106"/>
  <c r="M330" i="106"/>
  <c r="L330" i="106"/>
  <c r="K330" i="106"/>
  <c r="J330" i="106"/>
  <c r="I330" i="106"/>
  <c r="H330" i="106"/>
  <c r="G330" i="106"/>
  <c r="F330" i="106"/>
  <c r="E330" i="106"/>
  <c r="D330" i="106"/>
  <c r="C330" i="106"/>
  <c r="B330" i="106"/>
  <c r="T329" i="106"/>
  <c r="S329" i="106"/>
  <c r="R329" i="106"/>
  <c r="Q329" i="106"/>
  <c r="P329" i="106"/>
  <c r="O329" i="106"/>
  <c r="N329" i="106"/>
  <c r="M329" i="106"/>
  <c r="L329" i="106"/>
  <c r="K329" i="106"/>
  <c r="J329" i="106"/>
  <c r="I329" i="106"/>
  <c r="H329" i="106"/>
  <c r="G329" i="106"/>
  <c r="F329" i="106"/>
  <c r="E329" i="106"/>
  <c r="D329" i="106"/>
  <c r="C329" i="106"/>
  <c r="B329" i="106"/>
  <c r="T328" i="106"/>
  <c r="S328" i="106"/>
  <c r="R328" i="106"/>
  <c r="Q328" i="106"/>
  <c r="P328" i="106"/>
  <c r="O328" i="106"/>
  <c r="N328" i="106"/>
  <c r="M328" i="106"/>
  <c r="L328" i="106"/>
  <c r="K328" i="106"/>
  <c r="J328" i="106"/>
  <c r="I328" i="106"/>
  <c r="H328" i="106"/>
  <c r="G328" i="106"/>
  <c r="F328" i="106"/>
  <c r="E328" i="106"/>
  <c r="D328" i="106"/>
  <c r="C328" i="106"/>
  <c r="B328" i="106"/>
  <c r="T327" i="106"/>
  <c r="S327" i="106"/>
  <c r="R327" i="106"/>
  <c r="Q327" i="106"/>
  <c r="P327" i="106"/>
  <c r="O327" i="106"/>
  <c r="N327" i="106"/>
  <c r="M327" i="106"/>
  <c r="L327" i="106"/>
  <c r="K327" i="106"/>
  <c r="J327" i="106"/>
  <c r="I327" i="106"/>
  <c r="H327" i="106"/>
  <c r="G327" i="106"/>
  <c r="F327" i="106"/>
  <c r="E327" i="106"/>
  <c r="D327" i="106"/>
  <c r="C327" i="106"/>
  <c r="B327" i="106"/>
  <c r="T326" i="106"/>
  <c r="S326" i="106"/>
  <c r="R326" i="106"/>
  <c r="Q326" i="106"/>
  <c r="P326" i="106"/>
  <c r="O326" i="106"/>
  <c r="N326" i="106"/>
  <c r="M326" i="106"/>
  <c r="L326" i="106"/>
  <c r="K326" i="106"/>
  <c r="J326" i="106"/>
  <c r="I326" i="106"/>
  <c r="H326" i="106"/>
  <c r="G326" i="106"/>
  <c r="F326" i="106"/>
  <c r="E326" i="106"/>
  <c r="D326" i="106"/>
  <c r="C326" i="106"/>
  <c r="B326" i="106"/>
  <c r="T325" i="106"/>
  <c r="S325" i="106"/>
  <c r="R325" i="106"/>
  <c r="Q325" i="106"/>
  <c r="P325" i="106"/>
  <c r="O325" i="106"/>
  <c r="N325" i="106"/>
  <c r="M325" i="106"/>
  <c r="L325" i="106"/>
  <c r="K325" i="106"/>
  <c r="J325" i="106"/>
  <c r="I325" i="106"/>
  <c r="H325" i="106"/>
  <c r="G325" i="106"/>
  <c r="F325" i="106"/>
  <c r="E325" i="106"/>
  <c r="D325" i="106"/>
  <c r="C325" i="106"/>
  <c r="B325" i="106"/>
  <c r="T324" i="106"/>
  <c r="S324" i="106"/>
  <c r="R324" i="106"/>
  <c r="Q324" i="106"/>
  <c r="P324" i="106"/>
  <c r="O324" i="106"/>
  <c r="N324" i="106"/>
  <c r="M324" i="106"/>
  <c r="L324" i="106"/>
  <c r="K324" i="106"/>
  <c r="J324" i="106"/>
  <c r="I324" i="106"/>
  <c r="H324" i="106"/>
  <c r="G324" i="106"/>
  <c r="F324" i="106"/>
  <c r="E324" i="106"/>
  <c r="D324" i="106"/>
  <c r="C324" i="106"/>
  <c r="B324" i="106"/>
  <c r="T323" i="106"/>
  <c r="S323" i="106"/>
  <c r="R323" i="106"/>
  <c r="Q323" i="106"/>
  <c r="P323" i="106"/>
  <c r="O323" i="106"/>
  <c r="N323" i="106"/>
  <c r="M323" i="106"/>
  <c r="L323" i="106"/>
  <c r="K323" i="106"/>
  <c r="J323" i="106"/>
  <c r="I323" i="106"/>
  <c r="H323" i="106"/>
  <c r="G323" i="106"/>
  <c r="F323" i="106"/>
  <c r="E323" i="106"/>
  <c r="D323" i="106"/>
  <c r="C323" i="106"/>
  <c r="B323" i="106"/>
  <c r="T322" i="106"/>
  <c r="S322" i="106"/>
  <c r="R322" i="106"/>
  <c r="Q322" i="106"/>
  <c r="P322" i="106"/>
  <c r="O322" i="106"/>
  <c r="N322" i="106"/>
  <c r="M322" i="106"/>
  <c r="L322" i="106"/>
  <c r="K322" i="106"/>
  <c r="J322" i="106"/>
  <c r="I322" i="106"/>
  <c r="H322" i="106"/>
  <c r="G322" i="106"/>
  <c r="F322" i="106"/>
  <c r="E322" i="106"/>
  <c r="D322" i="106"/>
  <c r="C322" i="106"/>
  <c r="B322" i="106"/>
  <c r="T321" i="106"/>
  <c r="S321" i="106"/>
  <c r="R321" i="106"/>
  <c r="Q321" i="106"/>
  <c r="P321" i="106"/>
  <c r="O321" i="106"/>
  <c r="N321" i="106"/>
  <c r="M321" i="106"/>
  <c r="L321" i="106"/>
  <c r="K321" i="106"/>
  <c r="J321" i="106"/>
  <c r="I321" i="106"/>
  <c r="H321" i="106"/>
  <c r="G321" i="106"/>
  <c r="F321" i="106"/>
  <c r="E321" i="106"/>
  <c r="D321" i="106"/>
  <c r="C321" i="106"/>
  <c r="B321" i="106"/>
  <c r="T320" i="106"/>
  <c r="S320" i="106"/>
  <c r="R320" i="106"/>
  <c r="Q320" i="106"/>
  <c r="P320" i="106"/>
  <c r="O320" i="106"/>
  <c r="N320" i="106"/>
  <c r="M320" i="106"/>
  <c r="L320" i="106"/>
  <c r="K320" i="106"/>
  <c r="J320" i="106"/>
  <c r="I320" i="106"/>
  <c r="H320" i="106"/>
  <c r="G320" i="106"/>
  <c r="F320" i="106"/>
  <c r="E320" i="106"/>
  <c r="D320" i="106"/>
  <c r="C320" i="106"/>
  <c r="B320" i="106"/>
  <c r="T319" i="106"/>
  <c r="S319" i="106"/>
  <c r="R319" i="106"/>
  <c r="Q319" i="106"/>
  <c r="P319" i="106"/>
  <c r="O319" i="106"/>
  <c r="N319" i="106"/>
  <c r="M319" i="106"/>
  <c r="L319" i="106"/>
  <c r="K319" i="106"/>
  <c r="J319" i="106"/>
  <c r="I319" i="106"/>
  <c r="H319" i="106"/>
  <c r="G319" i="106"/>
  <c r="F319" i="106"/>
  <c r="E319" i="106"/>
  <c r="D319" i="106"/>
  <c r="C319" i="106"/>
  <c r="B319" i="106"/>
  <c r="T318" i="106"/>
  <c r="S318" i="106"/>
  <c r="R318" i="106"/>
  <c r="Q318" i="106"/>
  <c r="P318" i="106"/>
  <c r="O318" i="106"/>
  <c r="N318" i="106"/>
  <c r="M318" i="106"/>
  <c r="L318" i="106"/>
  <c r="K318" i="106"/>
  <c r="J318" i="106"/>
  <c r="I318" i="106"/>
  <c r="H318" i="106"/>
  <c r="G318" i="106"/>
  <c r="F318" i="106"/>
  <c r="E318" i="106"/>
  <c r="D318" i="106"/>
  <c r="C318" i="106"/>
  <c r="B318" i="106"/>
  <c r="T317" i="106"/>
  <c r="S317" i="106"/>
  <c r="R317" i="106"/>
  <c r="Q317" i="106"/>
  <c r="P317" i="106"/>
  <c r="O317" i="106"/>
  <c r="N317" i="106"/>
  <c r="M317" i="106"/>
  <c r="L317" i="106"/>
  <c r="K317" i="106"/>
  <c r="J317" i="106"/>
  <c r="I317" i="106"/>
  <c r="H317" i="106"/>
  <c r="G317" i="106"/>
  <c r="F317" i="106"/>
  <c r="E317" i="106"/>
  <c r="D317" i="106"/>
  <c r="C317" i="106"/>
  <c r="B317" i="106"/>
  <c r="T316" i="106"/>
  <c r="S316" i="106"/>
  <c r="R316" i="106"/>
  <c r="Q316" i="106"/>
  <c r="P316" i="106"/>
  <c r="O316" i="106"/>
  <c r="N316" i="106"/>
  <c r="M316" i="106"/>
  <c r="L316" i="106"/>
  <c r="K316" i="106"/>
  <c r="J316" i="106"/>
  <c r="I316" i="106"/>
  <c r="H316" i="106"/>
  <c r="G316" i="106"/>
  <c r="F316" i="106"/>
  <c r="E316" i="106"/>
  <c r="D316" i="106"/>
  <c r="C316" i="106"/>
  <c r="B316" i="106"/>
  <c r="T315" i="106"/>
  <c r="S315" i="106"/>
  <c r="R315" i="106"/>
  <c r="Q315" i="106"/>
  <c r="P315" i="106"/>
  <c r="O315" i="106"/>
  <c r="N315" i="106"/>
  <c r="M315" i="106"/>
  <c r="L315" i="106"/>
  <c r="K315" i="106"/>
  <c r="J315" i="106"/>
  <c r="I315" i="106"/>
  <c r="H315" i="106"/>
  <c r="G315" i="106"/>
  <c r="F315" i="106"/>
  <c r="E315" i="106"/>
  <c r="D315" i="106"/>
  <c r="C315" i="106"/>
  <c r="B315" i="106"/>
  <c r="T314" i="106"/>
  <c r="S314" i="106"/>
  <c r="R314" i="106"/>
  <c r="Q314" i="106"/>
  <c r="P314" i="106"/>
  <c r="O314" i="106"/>
  <c r="N314" i="106"/>
  <c r="M314" i="106"/>
  <c r="L314" i="106"/>
  <c r="K314" i="106"/>
  <c r="J314" i="106"/>
  <c r="I314" i="106"/>
  <c r="H314" i="106"/>
  <c r="G314" i="106"/>
  <c r="F314" i="106"/>
  <c r="E314" i="106"/>
  <c r="D314" i="106"/>
  <c r="C314" i="106"/>
  <c r="B314" i="106"/>
  <c r="T313" i="106"/>
  <c r="S313" i="106"/>
  <c r="R313" i="106"/>
  <c r="Q313" i="106"/>
  <c r="P313" i="106"/>
  <c r="O313" i="106"/>
  <c r="N313" i="106"/>
  <c r="M313" i="106"/>
  <c r="L313" i="106"/>
  <c r="K313" i="106"/>
  <c r="J313" i="106"/>
  <c r="I313" i="106"/>
  <c r="H313" i="106"/>
  <c r="G313" i="106"/>
  <c r="F313" i="106"/>
  <c r="E313" i="106"/>
  <c r="D313" i="106"/>
  <c r="C313" i="106"/>
  <c r="B313" i="106"/>
  <c r="T312" i="106"/>
  <c r="S312" i="106"/>
  <c r="R312" i="106"/>
  <c r="Q312" i="106"/>
  <c r="P312" i="106"/>
  <c r="O312" i="106"/>
  <c r="N312" i="106"/>
  <c r="M312" i="106"/>
  <c r="L312" i="106"/>
  <c r="K312" i="106"/>
  <c r="J312" i="106"/>
  <c r="I312" i="106"/>
  <c r="H312" i="106"/>
  <c r="G312" i="106"/>
  <c r="F312" i="106"/>
  <c r="E312" i="106"/>
  <c r="D312" i="106"/>
  <c r="C312" i="106"/>
  <c r="B312" i="106"/>
  <c r="T311" i="106"/>
  <c r="S311" i="106"/>
  <c r="R311" i="106"/>
  <c r="Q311" i="106"/>
  <c r="P311" i="106"/>
  <c r="O311" i="106"/>
  <c r="N311" i="106"/>
  <c r="M311" i="106"/>
  <c r="L311" i="106"/>
  <c r="K311" i="106"/>
  <c r="J311" i="106"/>
  <c r="I311" i="106"/>
  <c r="H311" i="106"/>
  <c r="G311" i="106"/>
  <c r="F311" i="106"/>
  <c r="E311" i="106"/>
  <c r="D311" i="106"/>
  <c r="C311" i="106"/>
  <c r="B311" i="106"/>
  <c r="T310" i="106"/>
  <c r="S310" i="106"/>
  <c r="R310" i="106"/>
  <c r="Q310" i="106"/>
  <c r="P310" i="106"/>
  <c r="O310" i="106"/>
  <c r="N310" i="106"/>
  <c r="M310" i="106"/>
  <c r="L310" i="106"/>
  <c r="K310" i="106"/>
  <c r="J310" i="106"/>
  <c r="I310" i="106"/>
  <c r="H310" i="106"/>
  <c r="G310" i="106"/>
  <c r="F310" i="106"/>
  <c r="E310" i="106"/>
  <c r="D310" i="106"/>
  <c r="C310" i="106"/>
  <c r="B310" i="106"/>
  <c r="T309" i="106"/>
  <c r="S309" i="106"/>
  <c r="R309" i="106"/>
  <c r="Q309" i="106"/>
  <c r="P309" i="106"/>
  <c r="O309" i="106"/>
  <c r="N309" i="106"/>
  <c r="M309" i="106"/>
  <c r="L309" i="106"/>
  <c r="K309" i="106"/>
  <c r="J309" i="106"/>
  <c r="I309" i="106"/>
  <c r="H309" i="106"/>
  <c r="G309" i="106"/>
  <c r="F309" i="106"/>
  <c r="E309" i="106"/>
  <c r="D309" i="106"/>
  <c r="C309" i="106"/>
  <c r="B309" i="106"/>
  <c r="T308" i="106"/>
  <c r="S308" i="106"/>
  <c r="R308" i="106"/>
  <c r="Q308" i="106"/>
  <c r="P308" i="106"/>
  <c r="O308" i="106"/>
  <c r="N308" i="106"/>
  <c r="M308" i="106"/>
  <c r="L308" i="106"/>
  <c r="K308" i="106"/>
  <c r="J308" i="106"/>
  <c r="I308" i="106"/>
  <c r="H308" i="106"/>
  <c r="G308" i="106"/>
  <c r="F308" i="106"/>
  <c r="E308" i="106"/>
  <c r="D308" i="106"/>
  <c r="C308" i="106"/>
  <c r="B308" i="106"/>
  <c r="T307" i="106"/>
  <c r="S307" i="106"/>
  <c r="R307" i="106"/>
  <c r="Q307" i="106"/>
  <c r="P307" i="106"/>
  <c r="O307" i="106"/>
  <c r="N307" i="106"/>
  <c r="M307" i="106"/>
  <c r="L307" i="106"/>
  <c r="K307" i="106"/>
  <c r="J307" i="106"/>
  <c r="I307" i="106"/>
  <c r="H307" i="106"/>
  <c r="G307" i="106"/>
  <c r="F307" i="106"/>
  <c r="E307" i="106"/>
  <c r="D307" i="106"/>
  <c r="C307" i="106"/>
  <c r="B307" i="106"/>
  <c r="T306" i="106"/>
  <c r="S306" i="106"/>
  <c r="R306" i="106"/>
  <c r="Q306" i="106"/>
  <c r="P306" i="106"/>
  <c r="O306" i="106"/>
  <c r="N306" i="106"/>
  <c r="M306" i="106"/>
  <c r="L306" i="106"/>
  <c r="K306" i="106"/>
  <c r="J306" i="106"/>
  <c r="I306" i="106"/>
  <c r="H306" i="106"/>
  <c r="G306" i="106"/>
  <c r="F306" i="106"/>
  <c r="E306" i="106"/>
  <c r="D306" i="106"/>
  <c r="C306" i="106"/>
  <c r="B306" i="106"/>
  <c r="T305" i="106"/>
  <c r="S305" i="106"/>
  <c r="R305" i="106"/>
  <c r="Q305" i="106"/>
  <c r="P305" i="106"/>
  <c r="O305" i="106"/>
  <c r="N305" i="106"/>
  <c r="M305" i="106"/>
  <c r="L305" i="106"/>
  <c r="K305" i="106"/>
  <c r="J305" i="106"/>
  <c r="I305" i="106"/>
  <c r="H305" i="106"/>
  <c r="G305" i="106"/>
  <c r="F305" i="106"/>
  <c r="E305" i="106"/>
  <c r="D305" i="106"/>
  <c r="C305" i="106"/>
  <c r="B305" i="106"/>
  <c r="T304" i="106"/>
  <c r="S304" i="106"/>
  <c r="R304" i="106"/>
  <c r="Q304" i="106"/>
  <c r="P304" i="106"/>
  <c r="O304" i="106"/>
  <c r="N304" i="106"/>
  <c r="M304" i="106"/>
  <c r="L304" i="106"/>
  <c r="K304" i="106"/>
  <c r="J304" i="106"/>
  <c r="I304" i="106"/>
  <c r="H304" i="106"/>
  <c r="G304" i="106"/>
  <c r="F304" i="106"/>
  <c r="E304" i="106"/>
  <c r="D304" i="106"/>
  <c r="C304" i="106"/>
  <c r="B304" i="106"/>
  <c r="T303" i="106"/>
  <c r="S303" i="106"/>
  <c r="R303" i="106"/>
  <c r="Q303" i="106"/>
  <c r="P303" i="106"/>
  <c r="O303" i="106"/>
  <c r="N303" i="106"/>
  <c r="M303" i="106"/>
  <c r="L303" i="106"/>
  <c r="K303" i="106"/>
  <c r="J303" i="106"/>
  <c r="I303" i="106"/>
  <c r="H303" i="106"/>
  <c r="G303" i="106"/>
  <c r="F303" i="106"/>
  <c r="E303" i="106"/>
  <c r="D303" i="106"/>
  <c r="C303" i="106"/>
  <c r="B303" i="106"/>
  <c r="T302" i="106"/>
  <c r="S302" i="106"/>
  <c r="R302" i="106"/>
  <c r="Q302" i="106"/>
  <c r="P302" i="106"/>
  <c r="O302" i="106"/>
  <c r="N302" i="106"/>
  <c r="M302" i="106"/>
  <c r="L302" i="106"/>
  <c r="K302" i="106"/>
  <c r="J302" i="106"/>
  <c r="I302" i="106"/>
  <c r="H302" i="106"/>
  <c r="G302" i="106"/>
  <c r="F302" i="106"/>
  <c r="E302" i="106"/>
  <c r="D302" i="106"/>
  <c r="C302" i="106"/>
  <c r="B302" i="106"/>
  <c r="T301" i="106"/>
  <c r="S301" i="106"/>
  <c r="R301" i="106"/>
  <c r="Q301" i="106"/>
  <c r="P301" i="106"/>
  <c r="O301" i="106"/>
  <c r="N301" i="106"/>
  <c r="M301" i="106"/>
  <c r="L301" i="106"/>
  <c r="K301" i="106"/>
  <c r="J301" i="106"/>
  <c r="I301" i="106"/>
  <c r="H301" i="106"/>
  <c r="G301" i="106"/>
  <c r="F301" i="106"/>
  <c r="E301" i="106"/>
  <c r="D301" i="106"/>
  <c r="C301" i="106"/>
  <c r="B301" i="106"/>
  <c r="T300" i="106"/>
  <c r="S300" i="106"/>
  <c r="R300" i="106"/>
  <c r="Q300" i="106"/>
  <c r="P300" i="106"/>
  <c r="O300" i="106"/>
  <c r="N300" i="106"/>
  <c r="M300" i="106"/>
  <c r="L300" i="106"/>
  <c r="K300" i="106"/>
  <c r="J300" i="106"/>
  <c r="I300" i="106"/>
  <c r="H300" i="106"/>
  <c r="G300" i="106"/>
  <c r="F300" i="106"/>
  <c r="E300" i="106"/>
  <c r="D300" i="106"/>
  <c r="C300" i="106"/>
  <c r="B300" i="106"/>
  <c r="T299" i="106"/>
  <c r="S299" i="106"/>
  <c r="R299" i="106"/>
  <c r="Q299" i="106"/>
  <c r="P299" i="106"/>
  <c r="O299" i="106"/>
  <c r="N299" i="106"/>
  <c r="M299" i="106"/>
  <c r="L299" i="106"/>
  <c r="K299" i="106"/>
  <c r="J299" i="106"/>
  <c r="I299" i="106"/>
  <c r="H299" i="106"/>
  <c r="G299" i="106"/>
  <c r="F299" i="106"/>
  <c r="E299" i="106"/>
  <c r="D299" i="106"/>
  <c r="C299" i="106"/>
  <c r="B299" i="106"/>
  <c r="T298" i="106"/>
  <c r="S298" i="106"/>
  <c r="R298" i="106"/>
  <c r="Q298" i="106"/>
  <c r="P298" i="106"/>
  <c r="O298" i="106"/>
  <c r="N298" i="106"/>
  <c r="M298" i="106"/>
  <c r="L298" i="106"/>
  <c r="K298" i="106"/>
  <c r="J298" i="106"/>
  <c r="I298" i="106"/>
  <c r="H298" i="106"/>
  <c r="G298" i="106"/>
  <c r="F298" i="106"/>
  <c r="E298" i="106"/>
  <c r="D298" i="106"/>
  <c r="C298" i="106"/>
  <c r="B298" i="106"/>
  <c r="T297" i="106"/>
  <c r="S297" i="106"/>
  <c r="R297" i="106"/>
  <c r="Q297" i="106"/>
  <c r="P297" i="106"/>
  <c r="O297" i="106"/>
  <c r="N297" i="106"/>
  <c r="M297" i="106"/>
  <c r="L297" i="106"/>
  <c r="K297" i="106"/>
  <c r="J297" i="106"/>
  <c r="I297" i="106"/>
  <c r="H297" i="106"/>
  <c r="G297" i="106"/>
  <c r="F297" i="106"/>
  <c r="E297" i="106"/>
  <c r="D297" i="106"/>
  <c r="C297" i="106"/>
  <c r="B297" i="106"/>
  <c r="T296" i="106"/>
  <c r="S296" i="106"/>
  <c r="R296" i="106"/>
  <c r="Q296" i="106"/>
  <c r="P296" i="106"/>
  <c r="O296" i="106"/>
  <c r="N296" i="106"/>
  <c r="M296" i="106"/>
  <c r="L296" i="106"/>
  <c r="K296" i="106"/>
  <c r="J296" i="106"/>
  <c r="I296" i="106"/>
  <c r="H296" i="106"/>
  <c r="G296" i="106"/>
  <c r="F296" i="106"/>
  <c r="E296" i="106"/>
  <c r="D296" i="106"/>
  <c r="C296" i="106"/>
  <c r="B296" i="106"/>
  <c r="T295" i="106"/>
  <c r="S295" i="106"/>
  <c r="R295" i="106"/>
  <c r="Q295" i="106"/>
  <c r="P295" i="106"/>
  <c r="O295" i="106"/>
  <c r="N295" i="106"/>
  <c r="M295" i="106"/>
  <c r="L295" i="106"/>
  <c r="K295" i="106"/>
  <c r="J295" i="106"/>
  <c r="I295" i="106"/>
  <c r="H295" i="106"/>
  <c r="G295" i="106"/>
  <c r="F295" i="106"/>
  <c r="E295" i="106"/>
  <c r="D295" i="106"/>
  <c r="C295" i="106"/>
  <c r="B295" i="106"/>
  <c r="T294" i="106"/>
  <c r="S294" i="106"/>
  <c r="R294" i="106"/>
  <c r="Q294" i="106"/>
  <c r="P294" i="106"/>
  <c r="O294" i="106"/>
  <c r="N294" i="106"/>
  <c r="M294" i="106"/>
  <c r="L294" i="106"/>
  <c r="K294" i="106"/>
  <c r="J294" i="106"/>
  <c r="I294" i="106"/>
  <c r="H294" i="106"/>
  <c r="G294" i="106"/>
  <c r="F294" i="106"/>
  <c r="E294" i="106"/>
  <c r="D294" i="106"/>
  <c r="C294" i="106"/>
  <c r="B294" i="106"/>
  <c r="T293" i="106"/>
  <c r="S293" i="106"/>
  <c r="R293" i="106"/>
  <c r="Q293" i="106"/>
  <c r="P293" i="106"/>
  <c r="O293" i="106"/>
  <c r="N293" i="106"/>
  <c r="M293" i="106"/>
  <c r="L293" i="106"/>
  <c r="K293" i="106"/>
  <c r="J293" i="106"/>
  <c r="I293" i="106"/>
  <c r="H293" i="106"/>
  <c r="G293" i="106"/>
  <c r="F293" i="106"/>
  <c r="E293" i="106"/>
  <c r="D293" i="106"/>
  <c r="C293" i="106"/>
  <c r="B293" i="106"/>
  <c r="T292" i="106"/>
  <c r="S292" i="106"/>
  <c r="R292" i="106"/>
  <c r="Q292" i="106"/>
  <c r="P292" i="106"/>
  <c r="O292" i="106"/>
  <c r="N292" i="106"/>
  <c r="M292" i="106"/>
  <c r="L292" i="106"/>
  <c r="K292" i="106"/>
  <c r="J292" i="106"/>
  <c r="I292" i="106"/>
  <c r="H292" i="106"/>
  <c r="G292" i="106"/>
  <c r="F292" i="106"/>
  <c r="E292" i="106"/>
  <c r="D292" i="106"/>
  <c r="C292" i="106"/>
  <c r="B292" i="106"/>
  <c r="T291" i="106"/>
  <c r="S291" i="106"/>
  <c r="R291" i="106"/>
  <c r="Q291" i="106"/>
  <c r="P291" i="106"/>
  <c r="O291" i="106"/>
  <c r="N291" i="106"/>
  <c r="M291" i="106"/>
  <c r="L291" i="106"/>
  <c r="K291" i="106"/>
  <c r="J291" i="106"/>
  <c r="I291" i="106"/>
  <c r="H291" i="106"/>
  <c r="G291" i="106"/>
  <c r="F291" i="106"/>
  <c r="E291" i="106"/>
  <c r="D291" i="106"/>
  <c r="C291" i="106"/>
  <c r="B291" i="106"/>
  <c r="T290" i="106"/>
  <c r="S290" i="106"/>
  <c r="R290" i="106"/>
  <c r="Q290" i="106"/>
  <c r="P290" i="106"/>
  <c r="O290" i="106"/>
  <c r="N290" i="106"/>
  <c r="M290" i="106"/>
  <c r="L290" i="106"/>
  <c r="K290" i="106"/>
  <c r="J290" i="106"/>
  <c r="I290" i="106"/>
  <c r="H290" i="106"/>
  <c r="G290" i="106"/>
  <c r="F290" i="106"/>
  <c r="E290" i="106"/>
  <c r="D290" i="106"/>
  <c r="C290" i="106"/>
  <c r="B290" i="106"/>
  <c r="T289" i="106"/>
  <c r="S289" i="106"/>
  <c r="R289" i="106"/>
  <c r="Q289" i="106"/>
  <c r="P289" i="106"/>
  <c r="O289" i="106"/>
  <c r="N289" i="106"/>
  <c r="M289" i="106"/>
  <c r="L289" i="106"/>
  <c r="K289" i="106"/>
  <c r="J289" i="106"/>
  <c r="I289" i="106"/>
  <c r="H289" i="106"/>
  <c r="G289" i="106"/>
  <c r="F289" i="106"/>
  <c r="E289" i="106"/>
  <c r="D289" i="106"/>
  <c r="C289" i="106"/>
  <c r="B289" i="106"/>
  <c r="T288" i="106"/>
  <c r="S288" i="106"/>
  <c r="R288" i="106"/>
  <c r="Q288" i="106"/>
  <c r="P288" i="106"/>
  <c r="O288" i="106"/>
  <c r="N288" i="106"/>
  <c r="M288" i="106"/>
  <c r="L288" i="106"/>
  <c r="K288" i="106"/>
  <c r="J288" i="106"/>
  <c r="I288" i="106"/>
  <c r="H288" i="106"/>
  <c r="G288" i="106"/>
  <c r="F288" i="106"/>
  <c r="E288" i="106"/>
  <c r="D288" i="106"/>
  <c r="C288" i="106"/>
  <c r="B288" i="106"/>
  <c r="T287" i="106"/>
  <c r="S287" i="106"/>
  <c r="R287" i="106"/>
  <c r="Q287" i="106"/>
  <c r="P287" i="106"/>
  <c r="O287" i="106"/>
  <c r="N287" i="106"/>
  <c r="M287" i="106"/>
  <c r="L287" i="106"/>
  <c r="K287" i="106"/>
  <c r="J287" i="106"/>
  <c r="I287" i="106"/>
  <c r="H287" i="106"/>
  <c r="G287" i="106"/>
  <c r="F287" i="106"/>
  <c r="E287" i="106"/>
  <c r="D287" i="106"/>
  <c r="C287" i="106"/>
  <c r="B287" i="106"/>
  <c r="T286" i="106"/>
  <c r="S286" i="106"/>
  <c r="R286" i="106"/>
  <c r="Q286" i="106"/>
  <c r="P286" i="106"/>
  <c r="O286" i="106"/>
  <c r="N286" i="106"/>
  <c r="M286" i="106"/>
  <c r="L286" i="106"/>
  <c r="K286" i="106"/>
  <c r="J286" i="106"/>
  <c r="I286" i="106"/>
  <c r="H286" i="106"/>
  <c r="G286" i="106"/>
  <c r="F286" i="106"/>
  <c r="E286" i="106"/>
  <c r="D286" i="106"/>
  <c r="C286" i="106"/>
  <c r="B286" i="106"/>
  <c r="T285" i="106"/>
  <c r="S285" i="106"/>
  <c r="R285" i="106"/>
  <c r="Q285" i="106"/>
  <c r="P285" i="106"/>
  <c r="O285" i="106"/>
  <c r="N285" i="106"/>
  <c r="M285" i="106"/>
  <c r="L285" i="106"/>
  <c r="K285" i="106"/>
  <c r="J285" i="106"/>
  <c r="I285" i="106"/>
  <c r="H285" i="106"/>
  <c r="G285" i="106"/>
  <c r="F285" i="106"/>
  <c r="E285" i="106"/>
  <c r="D285" i="106"/>
  <c r="C285" i="106"/>
  <c r="B285" i="106"/>
  <c r="T284" i="106"/>
  <c r="S284" i="106"/>
  <c r="R284" i="106"/>
  <c r="Q284" i="106"/>
  <c r="P284" i="106"/>
  <c r="O284" i="106"/>
  <c r="N284" i="106"/>
  <c r="M284" i="106"/>
  <c r="L284" i="106"/>
  <c r="K284" i="106"/>
  <c r="J284" i="106"/>
  <c r="I284" i="106"/>
  <c r="H284" i="106"/>
  <c r="G284" i="106"/>
  <c r="F284" i="106"/>
  <c r="E284" i="106"/>
  <c r="D284" i="106"/>
  <c r="C284" i="106"/>
  <c r="B284" i="106"/>
  <c r="T283" i="106"/>
  <c r="S283" i="106"/>
  <c r="R283" i="106"/>
  <c r="Q283" i="106"/>
  <c r="P283" i="106"/>
  <c r="O283" i="106"/>
  <c r="N283" i="106"/>
  <c r="M283" i="106"/>
  <c r="L283" i="106"/>
  <c r="K283" i="106"/>
  <c r="J283" i="106"/>
  <c r="I283" i="106"/>
  <c r="H283" i="106"/>
  <c r="G283" i="106"/>
  <c r="F283" i="106"/>
  <c r="E283" i="106"/>
  <c r="D283" i="106"/>
  <c r="C283" i="106"/>
  <c r="B283" i="106"/>
  <c r="T282" i="106"/>
  <c r="S282" i="106"/>
  <c r="R282" i="106"/>
  <c r="Q282" i="106"/>
  <c r="P282" i="106"/>
  <c r="O282" i="106"/>
  <c r="N282" i="106"/>
  <c r="M282" i="106"/>
  <c r="L282" i="106"/>
  <c r="K282" i="106"/>
  <c r="J282" i="106"/>
  <c r="I282" i="106"/>
  <c r="H282" i="106"/>
  <c r="G282" i="106"/>
  <c r="F282" i="106"/>
  <c r="E282" i="106"/>
  <c r="D282" i="106"/>
  <c r="C282" i="106"/>
  <c r="B282" i="106"/>
  <c r="T281" i="106"/>
  <c r="S281" i="106"/>
  <c r="R281" i="106"/>
  <c r="Q281" i="106"/>
  <c r="P281" i="106"/>
  <c r="O281" i="106"/>
  <c r="N281" i="106"/>
  <c r="M281" i="106"/>
  <c r="L281" i="106"/>
  <c r="K281" i="106"/>
  <c r="J281" i="106"/>
  <c r="I281" i="106"/>
  <c r="H281" i="106"/>
  <c r="G281" i="106"/>
  <c r="F281" i="106"/>
  <c r="E281" i="106"/>
  <c r="D281" i="106"/>
  <c r="C281" i="106"/>
  <c r="B281" i="106"/>
  <c r="M280" i="106"/>
  <c r="L280" i="106"/>
  <c r="K280" i="106"/>
  <c r="J280" i="106"/>
  <c r="I280" i="106"/>
  <c r="H280" i="106"/>
  <c r="G280" i="106"/>
  <c r="F280" i="106"/>
  <c r="E280" i="106"/>
  <c r="D280" i="106"/>
  <c r="C280" i="106"/>
  <c r="B280" i="106"/>
  <c r="M279" i="106"/>
  <c r="L279" i="106"/>
  <c r="K279" i="106"/>
  <c r="J279" i="106"/>
  <c r="I279" i="106"/>
  <c r="H279" i="106"/>
  <c r="G279" i="106"/>
  <c r="F279" i="106"/>
  <c r="E279" i="106"/>
  <c r="D279" i="106"/>
  <c r="C279" i="106"/>
  <c r="B279" i="106"/>
  <c r="M278" i="106"/>
  <c r="L278" i="106"/>
  <c r="K278" i="106"/>
  <c r="J278" i="106"/>
  <c r="I278" i="106"/>
  <c r="H278" i="106"/>
  <c r="G278" i="106"/>
  <c r="F278" i="106"/>
  <c r="E278" i="106"/>
  <c r="D278" i="106"/>
  <c r="C278" i="106"/>
  <c r="B278" i="106"/>
  <c r="M277" i="106"/>
  <c r="L277" i="106"/>
  <c r="K277" i="106"/>
  <c r="J277" i="106"/>
  <c r="I277" i="106"/>
  <c r="H277" i="106"/>
  <c r="G277" i="106"/>
  <c r="F277" i="106"/>
  <c r="E277" i="106"/>
  <c r="D277" i="106"/>
  <c r="C277" i="106"/>
  <c r="B277" i="106"/>
  <c r="M276" i="106"/>
  <c r="L276" i="106"/>
  <c r="K276" i="106"/>
  <c r="J276" i="106"/>
  <c r="I276" i="106"/>
  <c r="H276" i="106"/>
  <c r="G276" i="106"/>
  <c r="F276" i="106"/>
  <c r="E276" i="106"/>
  <c r="D276" i="106"/>
  <c r="C276" i="106"/>
  <c r="B276" i="106"/>
  <c r="M275" i="106"/>
  <c r="L275" i="106"/>
  <c r="K275" i="106"/>
  <c r="J275" i="106"/>
  <c r="I275" i="106"/>
  <c r="H275" i="106"/>
  <c r="G275" i="106"/>
  <c r="F275" i="106"/>
  <c r="E275" i="106"/>
  <c r="D275" i="106"/>
  <c r="C275" i="106"/>
  <c r="B275" i="106"/>
  <c r="M274" i="106"/>
  <c r="L274" i="106"/>
  <c r="K274" i="106"/>
  <c r="J274" i="106"/>
  <c r="I274" i="106"/>
  <c r="H274" i="106"/>
  <c r="G274" i="106"/>
  <c r="F274" i="106"/>
  <c r="E274" i="106"/>
  <c r="D274" i="106"/>
  <c r="C274" i="106"/>
  <c r="B274" i="106"/>
  <c r="M273" i="106"/>
  <c r="L273" i="106"/>
  <c r="K273" i="106"/>
  <c r="J273" i="106"/>
  <c r="I273" i="106"/>
  <c r="H273" i="106"/>
  <c r="G273" i="106"/>
  <c r="F273" i="106"/>
  <c r="E273" i="106"/>
  <c r="D273" i="106"/>
  <c r="C273" i="106"/>
  <c r="B273" i="106"/>
  <c r="B272" i="106"/>
  <c r="B271" i="106"/>
  <c r="B270" i="106"/>
  <c r="B269" i="106"/>
  <c r="B268" i="106"/>
  <c r="B267" i="106"/>
  <c r="B266" i="106"/>
  <c r="B265" i="106"/>
  <c r="B264" i="106"/>
  <c r="B263" i="106"/>
  <c r="B262" i="106"/>
  <c r="B261" i="106"/>
  <c r="B260" i="106"/>
  <c r="B259" i="106"/>
  <c r="B258" i="106"/>
  <c r="B257" i="106"/>
  <c r="B256" i="106"/>
  <c r="B255" i="106"/>
  <c r="B254" i="106"/>
  <c r="B253" i="106"/>
  <c r="B252" i="106"/>
  <c r="B251" i="106"/>
  <c r="B250" i="106"/>
  <c r="B249" i="106"/>
  <c r="B248" i="106"/>
  <c r="B247" i="106"/>
  <c r="B246" i="106"/>
  <c r="B245" i="106"/>
  <c r="B244" i="106"/>
  <c r="B243" i="106"/>
  <c r="B242" i="106"/>
  <c r="B241" i="106"/>
  <c r="B240" i="106"/>
  <c r="M239" i="106"/>
  <c r="L239" i="106"/>
  <c r="K239" i="106"/>
  <c r="J239" i="106"/>
  <c r="I239" i="106"/>
  <c r="H239" i="106"/>
  <c r="G239" i="106"/>
  <c r="F239" i="106"/>
  <c r="E239" i="106"/>
  <c r="D239" i="106"/>
  <c r="C239" i="106"/>
  <c r="B239" i="106"/>
  <c r="M238" i="106"/>
  <c r="L238" i="106"/>
  <c r="K238" i="106"/>
  <c r="J238" i="106"/>
  <c r="I238" i="106"/>
  <c r="H238" i="106"/>
  <c r="G238" i="106"/>
  <c r="F238" i="106"/>
  <c r="E238" i="106"/>
  <c r="D238" i="106"/>
  <c r="C238" i="106"/>
  <c r="B238" i="106"/>
  <c r="M237" i="106"/>
  <c r="L237" i="106"/>
  <c r="K237" i="106"/>
  <c r="J237" i="106"/>
  <c r="I237" i="106"/>
  <c r="H237" i="106"/>
  <c r="G237" i="106"/>
  <c r="F237" i="106"/>
  <c r="E237" i="106"/>
  <c r="D237" i="106"/>
  <c r="C237" i="106"/>
  <c r="B237" i="106"/>
  <c r="M236" i="106"/>
  <c r="L236" i="106"/>
  <c r="K236" i="106"/>
  <c r="J236" i="106"/>
  <c r="I236" i="106"/>
  <c r="H236" i="106"/>
  <c r="G236" i="106"/>
  <c r="F236" i="106"/>
  <c r="E236" i="106"/>
  <c r="D236" i="106"/>
  <c r="C236" i="106"/>
  <c r="B236" i="106"/>
  <c r="M235" i="106"/>
  <c r="L235" i="106"/>
  <c r="K235" i="106"/>
  <c r="J235" i="106"/>
  <c r="I235" i="106"/>
  <c r="H235" i="106"/>
  <c r="G235" i="106"/>
  <c r="F235" i="106"/>
  <c r="E235" i="106"/>
  <c r="D235" i="106"/>
  <c r="C235" i="106"/>
  <c r="B235" i="106"/>
  <c r="N234" i="106"/>
  <c r="M234" i="106"/>
  <c r="L234" i="106"/>
  <c r="K234" i="106"/>
  <c r="J234" i="106"/>
  <c r="I234" i="106"/>
  <c r="H234" i="106"/>
  <c r="G234" i="106"/>
  <c r="F234" i="106"/>
  <c r="E234" i="106"/>
  <c r="D234" i="106"/>
  <c r="C234" i="106"/>
  <c r="B234" i="106"/>
  <c r="N233" i="106"/>
  <c r="M233" i="106"/>
  <c r="L233" i="106"/>
  <c r="K233" i="106"/>
  <c r="J233" i="106"/>
  <c r="I233" i="106"/>
  <c r="H233" i="106"/>
  <c r="G233" i="106"/>
  <c r="F233" i="106"/>
  <c r="E233" i="106"/>
  <c r="D233" i="106"/>
  <c r="C233" i="106"/>
  <c r="B233" i="106"/>
  <c r="N232" i="106"/>
  <c r="M232" i="106"/>
  <c r="L232" i="106"/>
  <c r="K232" i="106"/>
  <c r="J232" i="106"/>
  <c r="I232" i="106"/>
  <c r="H232" i="106"/>
  <c r="G232" i="106"/>
  <c r="F232" i="106"/>
  <c r="E232" i="106"/>
  <c r="D232" i="106"/>
  <c r="C232" i="106"/>
  <c r="B232" i="106"/>
  <c r="N231" i="106"/>
  <c r="M231" i="106"/>
  <c r="L231" i="106"/>
  <c r="K231" i="106"/>
  <c r="J231" i="106"/>
  <c r="I231" i="106"/>
  <c r="H231" i="106"/>
  <c r="G231" i="106"/>
  <c r="F231" i="106"/>
  <c r="E231" i="106"/>
  <c r="D231" i="106"/>
  <c r="C231" i="106"/>
  <c r="B231" i="106"/>
  <c r="N230" i="106"/>
  <c r="M230" i="106"/>
  <c r="L230" i="106"/>
  <c r="K230" i="106"/>
  <c r="J230" i="106"/>
  <c r="I230" i="106"/>
  <c r="H230" i="106"/>
  <c r="G230" i="106"/>
  <c r="F230" i="106"/>
  <c r="E230" i="106"/>
  <c r="D230" i="106"/>
  <c r="C230" i="106"/>
  <c r="B230" i="106"/>
  <c r="N229" i="106"/>
  <c r="M229" i="106"/>
  <c r="L229" i="106"/>
  <c r="K229" i="106"/>
  <c r="J229" i="106"/>
  <c r="I229" i="106"/>
  <c r="H229" i="106"/>
  <c r="G229" i="106"/>
  <c r="F229" i="106"/>
  <c r="E229" i="106"/>
  <c r="D229" i="106"/>
  <c r="C229" i="106"/>
  <c r="B229" i="106"/>
  <c r="N228" i="106"/>
  <c r="M228" i="106"/>
  <c r="L228" i="106"/>
  <c r="K228" i="106"/>
  <c r="J228" i="106"/>
  <c r="I228" i="106"/>
  <c r="H228" i="106"/>
  <c r="G228" i="106"/>
  <c r="F228" i="106"/>
  <c r="E228" i="106"/>
  <c r="D228" i="106"/>
  <c r="C228" i="106"/>
  <c r="B228" i="106"/>
  <c r="N227" i="106"/>
  <c r="M227" i="106"/>
  <c r="L227" i="106"/>
  <c r="K227" i="106"/>
  <c r="J227" i="106"/>
  <c r="I227" i="106"/>
  <c r="H227" i="106"/>
  <c r="G227" i="106"/>
  <c r="F227" i="106"/>
  <c r="E227" i="106"/>
  <c r="D227" i="106"/>
  <c r="C227" i="106"/>
  <c r="B227" i="106"/>
  <c r="N226" i="106"/>
  <c r="M226" i="106"/>
  <c r="L226" i="106"/>
  <c r="K226" i="106"/>
  <c r="J226" i="106"/>
  <c r="I226" i="106"/>
  <c r="H226" i="106"/>
  <c r="G226" i="106"/>
  <c r="F226" i="106"/>
  <c r="E226" i="106"/>
  <c r="D226" i="106"/>
  <c r="C226" i="106"/>
  <c r="B226" i="106"/>
  <c r="N225" i="106"/>
  <c r="M225" i="106"/>
  <c r="L225" i="106"/>
  <c r="K225" i="106"/>
  <c r="J225" i="106"/>
  <c r="I225" i="106"/>
  <c r="H225" i="106"/>
  <c r="G225" i="106"/>
  <c r="F225" i="106"/>
  <c r="E225" i="106"/>
  <c r="D225" i="106"/>
  <c r="C225" i="106"/>
  <c r="B225" i="106"/>
  <c r="N224" i="106"/>
  <c r="M224" i="106"/>
  <c r="L224" i="106"/>
  <c r="K224" i="106"/>
  <c r="J224" i="106"/>
  <c r="I224" i="106"/>
  <c r="H224" i="106"/>
  <c r="G224" i="106"/>
  <c r="F224" i="106"/>
  <c r="E224" i="106"/>
  <c r="D224" i="106"/>
  <c r="C224" i="106"/>
  <c r="B224" i="106"/>
  <c r="N223" i="106"/>
  <c r="M223" i="106"/>
  <c r="L223" i="106"/>
  <c r="K223" i="106"/>
  <c r="J223" i="106"/>
  <c r="I223" i="106"/>
  <c r="H223" i="106"/>
  <c r="G223" i="106"/>
  <c r="F223" i="106"/>
  <c r="E223" i="106"/>
  <c r="D223" i="106"/>
  <c r="C223" i="106"/>
  <c r="B223" i="106"/>
  <c r="N222" i="106"/>
  <c r="M222" i="106"/>
  <c r="L222" i="106"/>
  <c r="K222" i="106"/>
  <c r="J222" i="106"/>
  <c r="I222" i="106"/>
  <c r="H222" i="106"/>
  <c r="G222" i="106"/>
  <c r="F222" i="106"/>
  <c r="E222" i="106"/>
  <c r="D222" i="106"/>
  <c r="C222" i="106"/>
  <c r="B222" i="106"/>
  <c r="N221" i="106"/>
  <c r="M221" i="106"/>
  <c r="L221" i="106"/>
  <c r="K221" i="106"/>
  <c r="J221" i="106"/>
  <c r="I221" i="106"/>
  <c r="H221" i="106"/>
  <c r="G221" i="106"/>
  <c r="F221" i="106"/>
  <c r="E221" i="106"/>
  <c r="D221" i="106"/>
  <c r="C221" i="106"/>
  <c r="B221" i="106"/>
  <c r="N220" i="106"/>
  <c r="M220" i="106"/>
  <c r="L220" i="106"/>
  <c r="K220" i="106"/>
  <c r="J220" i="106"/>
  <c r="I220" i="106"/>
  <c r="H220" i="106"/>
  <c r="G220" i="106"/>
  <c r="F220" i="106"/>
  <c r="E220" i="106"/>
  <c r="D220" i="106"/>
  <c r="C220" i="106"/>
  <c r="B220" i="106"/>
  <c r="N219" i="106"/>
  <c r="M219" i="106"/>
  <c r="L219" i="106"/>
  <c r="K219" i="106"/>
  <c r="J219" i="106"/>
  <c r="I219" i="106"/>
  <c r="H219" i="106"/>
  <c r="G219" i="106"/>
  <c r="F219" i="106"/>
  <c r="E219" i="106"/>
  <c r="D219" i="106"/>
  <c r="C219" i="106"/>
  <c r="B219" i="106"/>
  <c r="N218" i="106"/>
  <c r="M218" i="106"/>
  <c r="L218" i="106"/>
  <c r="K218" i="106"/>
  <c r="J218" i="106"/>
  <c r="I218" i="106"/>
  <c r="H218" i="106"/>
  <c r="G218" i="106"/>
  <c r="F218" i="106"/>
  <c r="E218" i="106"/>
  <c r="D218" i="106"/>
  <c r="C218" i="106"/>
  <c r="B218" i="106"/>
  <c r="N217" i="106"/>
  <c r="M217" i="106"/>
  <c r="L217" i="106"/>
  <c r="K217" i="106"/>
  <c r="J217" i="106"/>
  <c r="I217" i="106"/>
  <c r="H217" i="106"/>
  <c r="G217" i="106"/>
  <c r="F217" i="106"/>
  <c r="E217" i="106"/>
  <c r="D217" i="106"/>
  <c r="C217" i="106"/>
  <c r="B217" i="106"/>
  <c r="N216" i="106"/>
  <c r="M216" i="106"/>
  <c r="L216" i="106"/>
  <c r="K216" i="106"/>
  <c r="J216" i="106"/>
  <c r="I216" i="106"/>
  <c r="H216" i="106"/>
  <c r="G216" i="106"/>
  <c r="F216" i="106"/>
  <c r="E216" i="106"/>
  <c r="D216" i="106"/>
  <c r="C216" i="106"/>
  <c r="B216" i="106"/>
  <c r="N215" i="106"/>
  <c r="M215" i="106"/>
  <c r="L215" i="106"/>
  <c r="K215" i="106"/>
  <c r="J215" i="106"/>
  <c r="I215" i="106"/>
  <c r="H215" i="106"/>
  <c r="G215" i="106"/>
  <c r="F215" i="106"/>
  <c r="E215" i="106"/>
  <c r="D215" i="106"/>
  <c r="C215" i="106"/>
  <c r="B215" i="106"/>
  <c r="N214" i="106"/>
  <c r="M214" i="106"/>
  <c r="L214" i="106"/>
  <c r="K214" i="106"/>
  <c r="J214" i="106"/>
  <c r="I214" i="106"/>
  <c r="H214" i="106"/>
  <c r="G214" i="106"/>
  <c r="F214" i="106"/>
  <c r="E214" i="106"/>
  <c r="D214" i="106"/>
  <c r="C214" i="106"/>
  <c r="B214" i="106"/>
  <c r="N213" i="106"/>
  <c r="M213" i="106"/>
  <c r="L213" i="106"/>
  <c r="K213" i="106"/>
  <c r="J213" i="106"/>
  <c r="I213" i="106"/>
  <c r="H213" i="106"/>
  <c r="G213" i="106"/>
  <c r="F213" i="106"/>
  <c r="E213" i="106"/>
  <c r="D213" i="106"/>
  <c r="C213" i="106"/>
  <c r="B213" i="106"/>
  <c r="N212" i="106"/>
  <c r="M212" i="106"/>
  <c r="L212" i="106"/>
  <c r="K212" i="106"/>
  <c r="J212" i="106"/>
  <c r="I212" i="106"/>
  <c r="H212" i="106"/>
  <c r="G212" i="106"/>
  <c r="F212" i="106"/>
  <c r="E212" i="106"/>
  <c r="D212" i="106"/>
  <c r="C212" i="106"/>
  <c r="B212" i="106"/>
  <c r="N211" i="106"/>
  <c r="M211" i="106"/>
  <c r="L211" i="106"/>
  <c r="K211" i="106"/>
  <c r="J211" i="106"/>
  <c r="I211" i="106"/>
  <c r="H211" i="106"/>
  <c r="G211" i="106"/>
  <c r="F211" i="106"/>
  <c r="E211" i="106"/>
  <c r="D211" i="106"/>
  <c r="C211" i="106"/>
  <c r="B211" i="106"/>
  <c r="N210" i="106"/>
  <c r="M210" i="106"/>
  <c r="L210" i="106"/>
  <c r="K210" i="106"/>
  <c r="J210" i="106"/>
  <c r="I210" i="106"/>
  <c r="H210" i="106"/>
  <c r="G210" i="106"/>
  <c r="F210" i="106"/>
  <c r="E210" i="106"/>
  <c r="D210" i="106"/>
  <c r="C210" i="106"/>
  <c r="B210" i="106"/>
  <c r="N209" i="106"/>
  <c r="M209" i="106"/>
  <c r="L209" i="106"/>
  <c r="K209" i="106"/>
  <c r="J209" i="106"/>
  <c r="I209" i="106"/>
  <c r="H209" i="106"/>
  <c r="G209" i="106"/>
  <c r="F209" i="106"/>
  <c r="E209" i="106"/>
  <c r="D209" i="106"/>
  <c r="C209" i="106"/>
  <c r="B209" i="106"/>
  <c r="N208" i="106"/>
  <c r="M208" i="106"/>
  <c r="L208" i="106"/>
  <c r="K208" i="106"/>
  <c r="J208" i="106"/>
  <c r="I208" i="106"/>
  <c r="H208" i="106"/>
  <c r="G208" i="106"/>
  <c r="F208" i="106"/>
  <c r="E208" i="106"/>
  <c r="D208" i="106"/>
  <c r="C208" i="106"/>
  <c r="B208" i="106"/>
  <c r="N207" i="106"/>
  <c r="M207" i="106"/>
  <c r="L207" i="106"/>
  <c r="K207" i="106"/>
  <c r="J207" i="106"/>
  <c r="I207" i="106"/>
  <c r="H207" i="106"/>
  <c r="G207" i="106"/>
  <c r="F207" i="106"/>
  <c r="E207" i="106"/>
  <c r="D207" i="106"/>
  <c r="C207" i="106"/>
  <c r="B207" i="106"/>
  <c r="N206" i="106"/>
  <c r="M206" i="106"/>
  <c r="L206" i="106"/>
  <c r="K206" i="106"/>
  <c r="J206" i="106"/>
  <c r="I206" i="106"/>
  <c r="H206" i="106"/>
  <c r="G206" i="106"/>
  <c r="F206" i="106"/>
  <c r="E206" i="106"/>
  <c r="D206" i="106"/>
  <c r="C206" i="106"/>
  <c r="B206" i="106"/>
  <c r="N205" i="106"/>
  <c r="M205" i="106"/>
  <c r="L205" i="106"/>
  <c r="K205" i="106"/>
  <c r="J205" i="106"/>
  <c r="I205" i="106"/>
  <c r="H205" i="106"/>
  <c r="G205" i="106"/>
  <c r="F205" i="106"/>
  <c r="E205" i="106"/>
  <c r="D205" i="106"/>
  <c r="C205" i="106"/>
  <c r="B205" i="106"/>
  <c r="N204" i="106"/>
  <c r="M204" i="106"/>
  <c r="L204" i="106"/>
  <c r="K204" i="106"/>
  <c r="J204" i="106"/>
  <c r="I204" i="106"/>
  <c r="H204" i="106"/>
  <c r="G204" i="106"/>
  <c r="F204" i="106"/>
  <c r="E204" i="106"/>
  <c r="D204" i="106"/>
  <c r="C204" i="106"/>
  <c r="B204" i="106"/>
  <c r="N203" i="106"/>
  <c r="M203" i="106"/>
  <c r="L203" i="106"/>
  <c r="K203" i="106"/>
  <c r="J203" i="106"/>
  <c r="I203" i="106"/>
  <c r="H203" i="106"/>
  <c r="G203" i="106"/>
  <c r="F203" i="106"/>
  <c r="E203" i="106"/>
  <c r="D203" i="106"/>
  <c r="C203" i="106"/>
  <c r="B203" i="106"/>
  <c r="N202" i="106"/>
  <c r="M202" i="106"/>
  <c r="L202" i="106"/>
  <c r="K202" i="106"/>
  <c r="J202" i="106"/>
  <c r="I202" i="106"/>
  <c r="H202" i="106"/>
  <c r="G202" i="106"/>
  <c r="F202" i="106"/>
  <c r="E202" i="106"/>
  <c r="D202" i="106"/>
  <c r="C202" i="106"/>
  <c r="B202" i="106"/>
  <c r="N201" i="106"/>
  <c r="M201" i="106"/>
  <c r="L201" i="106"/>
  <c r="K201" i="106"/>
  <c r="J201" i="106"/>
  <c r="I201" i="106"/>
  <c r="H201" i="106"/>
  <c r="G201" i="106"/>
  <c r="F201" i="106"/>
  <c r="E201" i="106"/>
  <c r="D201" i="106"/>
  <c r="C201" i="106"/>
  <c r="B201" i="106"/>
  <c r="N200" i="106"/>
  <c r="M200" i="106"/>
  <c r="L200" i="106"/>
  <c r="K200" i="106"/>
  <c r="J200" i="106"/>
  <c r="I200" i="106"/>
  <c r="H200" i="106"/>
  <c r="G200" i="106"/>
  <c r="F200" i="106"/>
  <c r="E200" i="106"/>
  <c r="D200" i="106"/>
  <c r="C200" i="106"/>
  <c r="B200" i="106"/>
  <c r="N199" i="106"/>
  <c r="M199" i="106"/>
  <c r="L199" i="106"/>
  <c r="K199" i="106"/>
  <c r="J199" i="106"/>
  <c r="I199" i="106"/>
  <c r="H199" i="106"/>
  <c r="G199" i="106"/>
  <c r="F199" i="106"/>
  <c r="E199" i="106"/>
  <c r="D199" i="106"/>
  <c r="C199" i="106"/>
  <c r="B199" i="106"/>
  <c r="N198" i="106"/>
  <c r="M198" i="106"/>
  <c r="L198" i="106"/>
  <c r="K198" i="106"/>
  <c r="J198" i="106"/>
  <c r="I198" i="106"/>
  <c r="H198" i="106"/>
  <c r="G198" i="106"/>
  <c r="F198" i="106"/>
  <c r="E198" i="106"/>
  <c r="D198" i="106"/>
  <c r="C198" i="106"/>
  <c r="B198" i="106"/>
  <c r="N197" i="106"/>
  <c r="M197" i="106"/>
  <c r="L197" i="106"/>
  <c r="K197" i="106"/>
  <c r="J197" i="106"/>
  <c r="I197" i="106"/>
  <c r="H197" i="106"/>
  <c r="G197" i="106"/>
  <c r="F197" i="106"/>
  <c r="E197" i="106"/>
  <c r="D197" i="106"/>
  <c r="C197" i="106"/>
  <c r="B197" i="106"/>
  <c r="N196" i="106"/>
  <c r="M196" i="106"/>
  <c r="L196" i="106"/>
  <c r="K196" i="106"/>
  <c r="J196" i="106"/>
  <c r="I196" i="106"/>
  <c r="H196" i="106"/>
  <c r="G196" i="106"/>
  <c r="F196" i="106"/>
  <c r="E196" i="106"/>
  <c r="D196" i="106"/>
  <c r="C196" i="106"/>
  <c r="B196" i="106"/>
  <c r="N195" i="106"/>
  <c r="M195" i="106"/>
  <c r="L195" i="106"/>
  <c r="K195" i="106"/>
  <c r="J195" i="106"/>
  <c r="I195" i="106"/>
  <c r="H195" i="106"/>
  <c r="G195" i="106"/>
  <c r="F195" i="106"/>
  <c r="E195" i="106"/>
  <c r="D195" i="106"/>
  <c r="C195" i="106"/>
  <c r="B195" i="106"/>
  <c r="N194" i="106"/>
  <c r="M194" i="106"/>
  <c r="L194" i="106"/>
  <c r="K194" i="106"/>
  <c r="J194" i="106"/>
  <c r="I194" i="106"/>
  <c r="H194" i="106"/>
  <c r="G194" i="106"/>
  <c r="F194" i="106"/>
  <c r="E194" i="106"/>
  <c r="D194" i="106"/>
  <c r="C194" i="106"/>
  <c r="B194" i="106"/>
  <c r="N193" i="106"/>
  <c r="M193" i="106"/>
  <c r="L193" i="106"/>
  <c r="K193" i="106"/>
  <c r="J193" i="106"/>
  <c r="I193" i="106"/>
  <c r="H193" i="106"/>
  <c r="G193" i="106"/>
  <c r="F193" i="106"/>
  <c r="E193" i="106"/>
  <c r="D193" i="106"/>
  <c r="C193" i="106"/>
  <c r="B193" i="106"/>
  <c r="N192" i="106"/>
  <c r="M192" i="106"/>
  <c r="L192" i="106"/>
  <c r="K192" i="106"/>
  <c r="J192" i="106"/>
  <c r="I192" i="106"/>
  <c r="H192" i="106"/>
  <c r="G192" i="106"/>
  <c r="F192" i="106"/>
  <c r="E192" i="106"/>
  <c r="D192" i="106"/>
  <c r="C192" i="106"/>
  <c r="B192" i="106"/>
  <c r="N191" i="106"/>
  <c r="M191" i="106"/>
  <c r="L191" i="106"/>
  <c r="K191" i="106"/>
  <c r="J191" i="106"/>
  <c r="I191" i="106"/>
  <c r="H191" i="106"/>
  <c r="G191" i="106"/>
  <c r="F191" i="106"/>
  <c r="E191" i="106"/>
  <c r="D191" i="106"/>
  <c r="C191" i="106"/>
  <c r="B191" i="106"/>
  <c r="N190" i="106"/>
  <c r="M190" i="106"/>
  <c r="L190" i="106"/>
  <c r="K190" i="106"/>
  <c r="J190" i="106"/>
  <c r="I190" i="106"/>
  <c r="H190" i="106"/>
  <c r="G190" i="106"/>
  <c r="F190" i="106"/>
  <c r="E190" i="106"/>
  <c r="D190" i="106"/>
  <c r="C190" i="106"/>
  <c r="B190" i="106"/>
  <c r="N189" i="106"/>
  <c r="M189" i="106"/>
  <c r="L189" i="106"/>
  <c r="K189" i="106"/>
  <c r="J189" i="106"/>
  <c r="I189" i="106"/>
  <c r="H189" i="106"/>
  <c r="G189" i="106"/>
  <c r="F189" i="106"/>
  <c r="E189" i="106"/>
  <c r="D189" i="106"/>
  <c r="C189" i="106"/>
  <c r="B189" i="106"/>
  <c r="N188" i="106"/>
  <c r="M188" i="106"/>
  <c r="L188" i="106"/>
  <c r="K188" i="106"/>
  <c r="J188" i="106"/>
  <c r="I188" i="106"/>
  <c r="H188" i="106"/>
  <c r="G188" i="106"/>
  <c r="F188" i="106"/>
  <c r="E188" i="106"/>
  <c r="D188" i="106"/>
  <c r="C188" i="106"/>
  <c r="B188" i="106"/>
  <c r="N187" i="106"/>
  <c r="M187" i="106"/>
  <c r="L187" i="106"/>
  <c r="K187" i="106"/>
  <c r="J187" i="106"/>
  <c r="I187" i="106"/>
  <c r="H187" i="106"/>
  <c r="G187" i="106"/>
  <c r="F187" i="106"/>
  <c r="E187" i="106"/>
  <c r="D187" i="106"/>
  <c r="C187" i="106"/>
  <c r="B187" i="106"/>
  <c r="N186" i="106"/>
  <c r="M186" i="106"/>
  <c r="L186" i="106"/>
  <c r="K186" i="106"/>
  <c r="J186" i="106"/>
  <c r="I186" i="106"/>
  <c r="H186" i="106"/>
  <c r="G186" i="106"/>
  <c r="F186" i="106"/>
  <c r="E186" i="106"/>
  <c r="D186" i="106"/>
  <c r="C186" i="106"/>
  <c r="B186" i="106"/>
  <c r="N185" i="106"/>
  <c r="M185" i="106"/>
  <c r="L185" i="106"/>
  <c r="K185" i="106"/>
  <c r="J185" i="106"/>
  <c r="I185" i="106"/>
  <c r="H185" i="106"/>
  <c r="G185" i="106"/>
  <c r="F185" i="106"/>
  <c r="E185" i="106"/>
  <c r="D185" i="106"/>
  <c r="C185" i="106"/>
  <c r="B185" i="106"/>
  <c r="N184" i="106"/>
  <c r="M184" i="106"/>
  <c r="L184" i="106"/>
  <c r="K184" i="106"/>
  <c r="J184" i="106"/>
  <c r="I184" i="106"/>
  <c r="H184" i="106"/>
  <c r="G184" i="106"/>
  <c r="F184" i="106"/>
  <c r="E184" i="106"/>
  <c r="D184" i="106"/>
  <c r="C184" i="106"/>
  <c r="B184" i="106"/>
  <c r="N183" i="106"/>
  <c r="M183" i="106"/>
  <c r="L183" i="106"/>
  <c r="K183" i="106"/>
  <c r="J183" i="106"/>
  <c r="I183" i="106"/>
  <c r="H183" i="106"/>
  <c r="G183" i="106"/>
  <c r="F183" i="106"/>
  <c r="E183" i="106"/>
  <c r="D183" i="106"/>
  <c r="C183" i="106"/>
  <c r="B183" i="106"/>
  <c r="N182" i="106"/>
  <c r="M182" i="106"/>
  <c r="L182" i="106"/>
  <c r="K182" i="106"/>
  <c r="J182" i="106"/>
  <c r="I182" i="106"/>
  <c r="H182" i="106"/>
  <c r="G182" i="106"/>
  <c r="F182" i="106"/>
  <c r="E182" i="106"/>
  <c r="D182" i="106"/>
  <c r="C182" i="106"/>
  <c r="B182" i="106"/>
  <c r="N181" i="106"/>
  <c r="M181" i="106"/>
  <c r="L181" i="106"/>
  <c r="K181" i="106"/>
  <c r="J181" i="106"/>
  <c r="I181" i="106"/>
  <c r="H181" i="106"/>
  <c r="G181" i="106"/>
  <c r="F181" i="106"/>
  <c r="E181" i="106"/>
  <c r="D181" i="106"/>
  <c r="C181" i="106"/>
  <c r="B181" i="106"/>
  <c r="N180" i="106"/>
  <c r="M180" i="106"/>
  <c r="L180" i="106"/>
  <c r="K180" i="106"/>
  <c r="J180" i="106"/>
  <c r="I180" i="106"/>
  <c r="H180" i="106"/>
  <c r="G180" i="106"/>
  <c r="F180" i="106"/>
  <c r="E180" i="106"/>
  <c r="D180" i="106"/>
  <c r="C180" i="106"/>
  <c r="B180" i="106"/>
  <c r="N179" i="106"/>
  <c r="M179" i="106"/>
  <c r="L179" i="106"/>
  <c r="K179" i="106"/>
  <c r="J179" i="106"/>
  <c r="I179" i="106"/>
  <c r="H179" i="106"/>
  <c r="G179" i="106"/>
  <c r="F179" i="106"/>
  <c r="E179" i="106"/>
  <c r="D179" i="106"/>
  <c r="C179" i="106"/>
  <c r="B179" i="106"/>
  <c r="N178" i="106"/>
  <c r="M178" i="106"/>
  <c r="L178" i="106"/>
  <c r="K178" i="106"/>
  <c r="J178" i="106"/>
  <c r="I178" i="106"/>
  <c r="H178" i="106"/>
  <c r="G178" i="106"/>
  <c r="F178" i="106"/>
  <c r="E178" i="106"/>
  <c r="D178" i="106"/>
  <c r="C178" i="106"/>
  <c r="B178" i="106"/>
  <c r="N177" i="106"/>
  <c r="M177" i="106"/>
  <c r="L177" i="106"/>
  <c r="K177" i="106"/>
  <c r="J177" i="106"/>
  <c r="I177" i="106"/>
  <c r="H177" i="106"/>
  <c r="G177" i="106"/>
  <c r="F177" i="106"/>
  <c r="E177" i="106"/>
  <c r="D177" i="106"/>
  <c r="C177" i="106"/>
  <c r="B177" i="106"/>
  <c r="N176" i="106"/>
  <c r="M176" i="106"/>
  <c r="L176" i="106"/>
  <c r="K176" i="106"/>
  <c r="J176" i="106"/>
  <c r="I176" i="106"/>
  <c r="H176" i="106"/>
  <c r="G176" i="106"/>
  <c r="F176" i="106"/>
  <c r="E176" i="106"/>
  <c r="D176" i="106"/>
  <c r="C176" i="106"/>
  <c r="B176" i="106"/>
  <c r="N175" i="106"/>
  <c r="M175" i="106"/>
  <c r="L175" i="106"/>
  <c r="K175" i="106"/>
  <c r="J175" i="106"/>
  <c r="I175" i="106"/>
  <c r="H175" i="106"/>
  <c r="G175" i="106"/>
  <c r="F175" i="106"/>
  <c r="E175" i="106"/>
  <c r="D175" i="106"/>
  <c r="C175" i="106"/>
  <c r="B175" i="106"/>
  <c r="N174" i="106"/>
  <c r="M174" i="106"/>
  <c r="L174" i="106"/>
  <c r="K174" i="106"/>
  <c r="J174" i="106"/>
  <c r="I174" i="106"/>
  <c r="H174" i="106"/>
  <c r="G174" i="106"/>
  <c r="F174" i="106"/>
  <c r="E174" i="106"/>
  <c r="D174" i="106"/>
  <c r="C174" i="106"/>
  <c r="B174" i="106"/>
  <c r="N173" i="106"/>
  <c r="M173" i="106"/>
  <c r="L173" i="106"/>
  <c r="K173" i="106"/>
  <c r="J173" i="106"/>
  <c r="I173" i="106"/>
  <c r="H173" i="106"/>
  <c r="G173" i="106"/>
  <c r="F173" i="106"/>
  <c r="E173" i="106"/>
  <c r="D173" i="106"/>
  <c r="C173" i="106"/>
  <c r="B173" i="106"/>
  <c r="N172" i="106"/>
  <c r="M172" i="106"/>
  <c r="L172" i="106"/>
  <c r="K172" i="106"/>
  <c r="J172" i="106"/>
  <c r="I172" i="106"/>
  <c r="H172" i="106"/>
  <c r="G172" i="106"/>
  <c r="F172" i="106"/>
  <c r="E172" i="106"/>
  <c r="D172" i="106"/>
  <c r="C172" i="106"/>
  <c r="B172" i="106"/>
  <c r="N171" i="106"/>
  <c r="M171" i="106"/>
  <c r="L171" i="106"/>
  <c r="K171" i="106"/>
  <c r="J171" i="106"/>
  <c r="I171" i="106"/>
  <c r="H171" i="106"/>
  <c r="G171" i="106"/>
  <c r="F171" i="106"/>
  <c r="E171" i="106"/>
  <c r="D171" i="106"/>
  <c r="C171" i="106"/>
  <c r="B171" i="106"/>
  <c r="N170" i="106"/>
  <c r="M170" i="106"/>
  <c r="L170" i="106"/>
  <c r="K170" i="106"/>
  <c r="J170" i="106"/>
  <c r="I170" i="106"/>
  <c r="H170" i="106"/>
  <c r="G170" i="106"/>
  <c r="F170" i="106"/>
  <c r="E170" i="106"/>
  <c r="D170" i="106"/>
  <c r="C170" i="106"/>
  <c r="B170" i="106"/>
  <c r="N169" i="106"/>
  <c r="M169" i="106"/>
  <c r="L169" i="106"/>
  <c r="K169" i="106"/>
  <c r="J169" i="106"/>
  <c r="I169" i="106"/>
  <c r="H169" i="106"/>
  <c r="G169" i="106"/>
  <c r="F169" i="106"/>
  <c r="E169" i="106"/>
  <c r="D169" i="106"/>
  <c r="C169" i="106"/>
  <c r="B169" i="106"/>
  <c r="N168" i="106"/>
  <c r="M168" i="106"/>
  <c r="L168" i="106"/>
  <c r="K168" i="106"/>
  <c r="J168" i="106"/>
  <c r="I168" i="106"/>
  <c r="H168" i="106"/>
  <c r="G168" i="106"/>
  <c r="F168" i="106"/>
  <c r="E168" i="106"/>
  <c r="D168" i="106"/>
  <c r="C168" i="106"/>
  <c r="B168" i="106"/>
  <c r="N167" i="106"/>
  <c r="M167" i="106"/>
  <c r="L167" i="106"/>
  <c r="K167" i="106"/>
  <c r="J167" i="106"/>
  <c r="I167" i="106"/>
  <c r="H167" i="106"/>
  <c r="G167" i="106"/>
  <c r="F167" i="106"/>
  <c r="E167" i="106"/>
  <c r="D167" i="106"/>
  <c r="C167" i="106"/>
  <c r="B167" i="106"/>
  <c r="N166" i="106"/>
  <c r="M166" i="106"/>
  <c r="L166" i="106"/>
  <c r="K166" i="106"/>
  <c r="J166" i="106"/>
  <c r="I166" i="106"/>
  <c r="H166" i="106"/>
  <c r="G166" i="106"/>
  <c r="F166" i="106"/>
  <c r="E166" i="106"/>
  <c r="D166" i="106"/>
  <c r="C166" i="106"/>
  <c r="B166" i="106"/>
  <c r="N165" i="106"/>
  <c r="M165" i="106"/>
  <c r="L165" i="106"/>
  <c r="K165" i="106"/>
  <c r="J165" i="106"/>
  <c r="I165" i="106"/>
  <c r="H165" i="106"/>
  <c r="G165" i="106"/>
  <c r="F165" i="106"/>
  <c r="E165" i="106"/>
  <c r="D165" i="106"/>
  <c r="C165" i="106"/>
  <c r="B165" i="106"/>
  <c r="N164" i="106"/>
  <c r="M164" i="106"/>
  <c r="L164" i="106"/>
  <c r="K164" i="106"/>
  <c r="J164" i="106"/>
  <c r="I164" i="106"/>
  <c r="H164" i="106"/>
  <c r="G164" i="106"/>
  <c r="F164" i="106"/>
  <c r="E164" i="106"/>
  <c r="D164" i="106"/>
  <c r="C164" i="106"/>
  <c r="B164" i="106"/>
  <c r="N163" i="106"/>
  <c r="M163" i="106"/>
  <c r="L163" i="106"/>
  <c r="K163" i="106"/>
  <c r="J163" i="106"/>
  <c r="I163" i="106"/>
  <c r="H163" i="106"/>
  <c r="G163" i="106"/>
  <c r="F163" i="106"/>
  <c r="E163" i="106"/>
  <c r="D163" i="106"/>
  <c r="C163" i="106"/>
  <c r="B163" i="106"/>
  <c r="N162" i="106"/>
  <c r="M162" i="106"/>
  <c r="L162" i="106"/>
  <c r="K162" i="106"/>
  <c r="J162" i="106"/>
  <c r="I162" i="106"/>
  <c r="H162" i="106"/>
  <c r="G162" i="106"/>
  <c r="F162" i="106"/>
  <c r="E162" i="106"/>
  <c r="D162" i="106"/>
  <c r="C162" i="106"/>
  <c r="B162" i="106"/>
  <c r="N161" i="106"/>
  <c r="M161" i="106"/>
  <c r="L161" i="106"/>
  <c r="K161" i="106"/>
  <c r="J161" i="106"/>
  <c r="I161" i="106"/>
  <c r="H161" i="106"/>
  <c r="G161" i="106"/>
  <c r="F161" i="106"/>
  <c r="E161" i="106"/>
  <c r="D161" i="106"/>
  <c r="C161" i="106"/>
  <c r="B161" i="106"/>
  <c r="N160" i="106"/>
  <c r="M160" i="106"/>
  <c r="L160" i="106"/>
  <c r="K160" i="106"/>
  <c r="J160" i="106"/>
  <c r="I160" i="106"/>
  <c r="H160" i="106"/>
  <c r="G160" i="106"/>
  <c r="F160" i="106"/>
  <c r="E160" i="106"/>
  <c r="D160" i="106"/>
  <c r="C160" i="106"/>
  <c r="B160" i="106"/>
  <c r="N159" i="106"/>
  <c r="M159" i="106"/>
  <c r="L159" i="106"/>
  <c r="K159" i="106"/>
  <c r="J159" i="106"/>
  <c r="I159" i="106"/>
  <c r="H159" i="106"/>
  <c r="G159" i="106"/>
  <c r="F159" i="106"/>
  <c r="E159" i="106"/>
  <c r="D159" i="106"/>
  <c r="C159" i="106"/>
  <c r="B159" i="106"/>
  <c r="N158" i="106"/>
  <c r="M158" i="106"/>
  <c r="L158" i="106"/>
  <c r="K158" i="106"/>
  <c r="J158" i="106"/>
  <c r="I158" i="106"/>
  <c r="H158" i="106"/>
  <c r="G158" i="106"/>
  <c r="F158" i="106"/>
  <c r="E158" i="106"/>
  <c r="D158" i="106"/>
  <c r="C158" i="106"/>
  <c r="B158" i="106"/>
  <c r="N157" i="106"/>
  <c r="M157" i="106"/>
  <c r="L157" i="106"/>
  <c r="K157" i="106"/>
  <c r="J157" i="106"/>
  <c r="I157" i="106"/>
  <c r="H157" i="106"/>
  <c r="G157" i="106"/>
  <c r="F157" i="106"/>
  <c r="E157" i="106"/>
  <c r="D157" i="106"/>
  <c r="C157" i="106"/>
  <c r="B157" i="106"/>
  <c r="N156" i="106"/>
  <c r="M156" i="106"/>
  <c r="L156" i="106"/>
  <c r="K156" i="106"/>
  <c r="J156" i="106"/>
  <c r="I156" i="106"/>
  <c r="H156" i="106"/>
  <c r="G156" i="106"/>
  <c r="F156" i="106"/>
  <c r="E156" i="106"/>
  <c r="D156" i="106"/>
  <c r="C156" i="106"/>
  <c r="B156" i="106"/>
  <c r="N155" i="106"/>
  <c r="M155" i="106"/>
  <c r="L155" i="106"/>
  <c r="K155" i="106"/>
  <c r="J155" i="106"/>
  <c r="I155" i="106"/>
  <c r="H155" i="106"/>
  <c r="G155" i="106"/>
  <c r="F155" i="106"/>
  <c r="E155" i="106"/>
  <c r="D155" i="106"/>
  <c r="C155" i="106"/>
  <c r="B155" i="106"/>
  <c r="N154" i="106"/>
  <c r="M154" i="106"/>
  <c r="L154" i="106"/>
  <c r="K154" i="106"/>
  <c r="J154" i="106"/>
  <c r="I154" i="106"/>
  <c r="H154" i="106"/>
  <c r="G154" i="106"/>
  <c r="F154" i="106"/>
  <c r="E154" i="106"/>
  <c r="D154" i="106"/>
  <c r="C154" i="106"/>
  <c r="B154" i="106"/>
  <c r="N153" i="106"/>
  <c r="M153" i="106"/>
  <c r="L153" i="106"/>
  <c r="K153" i="106"/>
  <c r="J153" i="106"/>
  <c r="I153" i="106"/>
  <c r="H153" i="106"/>
  <c r="G153" i="106"/>
  <c r="F153" i="106"/>
  <c r="E153" i="106"/>
  <c r="D153" i="106"/>
  <c r="C153" i="106"/>
  <c r="B153" i="106"/>
  <c r="N152" i="106"/>
  <c r="M152" i="106"/>
  <c r="L152" i="106"/>
  <c r="K152" i="106"/>
  <c r="J152" i="106"/>
  <c r="I152" i="106"/>
  <c r="H152" i="106"/>
  <c r="G152" i="106"/>
  <c r="F152" i="106"/>
  <c r="E152" i="106"/>
  <c r="D152" i="106"/>
  <c r="C152" i="106"/>
  <c r="B152" i="106"/>
  <c r="N151" i="106"/>
  <c r="M151" i="106"/>
  <c r="L151" i="106"/>
  <c r="K151" i="106"/>
  <c r="J151" i="106"/>
  <c r="I151" i="106"/>
  <c r="H151" i="106"/>
  <c r="G151" i="106"/>
  <c r="F151" i="106"/>
  <c r="E151" i="106"/>
  <c r="D151" i="106"/>
  <c r="C151" i="106"/>
  <c r="B151" i="106"/>
  <c r="N150" i="106"/>
  <c r="M150" i="106"/>
  <c r="L150" i="106"/>
  <c r="K150" i="106"/>
  <c r="J150" i="106"/>
  <c r="I150" i="106"/>
  <c r="H150" i="106"/>
  <c r="G150" i="106"/>
  <c r="F150" i="106"/>
  <c r="E150" i="106"/>
  <c r="D150" i="106"/>
  <c r="C150" i="106"/>
  <c r="B150" i="106"/>
  <c r="N149" i="106"/>
  <c r="M149" i="106"/>
  <c r="L149" i="106"/>
  <c r="K149" i="106"/>
  <c r="J149" i="106"/>
  <c r="I149" i="106"/>
  <c r="H149" i="106"/>
  <c r="G149" i="106"/>
  <c r="F149" i="106"/>
  <c r="E149" i="106"/>
  <c r="D149" i="106"/>
  <c r="C149" i="106"/>
  <c r="B149" i="106"/>
  <c r="N148" i="106"/>
  <c r="M148" i="106"/>
  <c r="L148" i="106"/>
  <c r="K148" i="106"/>
  <c r="J148" i="106"/>
  <c r="I148" i="106"/>
  <c r="H148" i="106"/>
  <c r="G148" i="106"/>
  <c r="F148" i="106"/>
  <c r="E148" i="106"/>
  <c r="D148" i="106"/>
  <c r="C148" i="106"/>
  <c r="B148" i="106"/>
  <c r="N147" i="106"/>
  <c r="M147" i="106"/>
  <c r="L147" i="106"/>
  <c r="K147" i="106"/>
  <c r="J147" i="106"/>
  <c r="I147" i="106"/>
  <c r="H147" i="106"/>
  <c r="G147" i="106"/>
  <c r="F147" i="106"/>
  <c r="E147" i="106"/>
  <c r="D147" i="106"/>
  <c r="C147" i="106"/>
  <c r="B147" i="106"/>
  <c r="N146" i="106"/>
  <c r="M146" i="106"/>
  <c r="L146" i="106"/>
  <c r="K146" i="106"/>
  <c r="J146" i="106"/>
  <c r="I146" i="106"/>
  <c r="H146" i="106"/>
  <c r="G146" i="106"/>
  <c r="F146" i="106"/>
  <c r="E146" i="106"/>
  <c r="D146" i="106"/>
  <c r="C146" i="106"/>
  <c r="B146" i="106"/>
  <c r="N145" i="106"/>
  <c r="M145" i="106"/>
  <c r="L145" i="106"/>
  <c r="K145" i="106"/>
  <c r="J145" i="106"/>
  <c r="I145" i="106"/>
  <c r="H145" i="106"/>
  <c r="G145" i="106"/>
  <c r="F145" i="106"/>
  <c r="E145" i="106"/>
  <c r="D145" i="106"/>
  <c r="C145" i="106"/>
  <c r="B145" i="106"/>
  <c r="N144" i="106"/>
  <c r="M144" i="106"/>
  <c r="L144" i="106"/>
  <c r="K144" i="106"/>
  <c r="J144" i="106"/>
  <c r="I144" i="106"/>
  <c r="H144" i="106"/>
  <c r="G144" i="106"/>
  <c r="F144" i="106"/>
  <c r="E144" i="106"/>
  <c r="D144" i="106"/>
  <c r="C144" i="106"/>
  <c r="B144" i="106"/>
  <c r="N143" i="106"/>
  <c r="M143" i="106"/>
  <c r="L143" i="106"/>
  <c r="K143" i="106"/>
  <c r="J143" i="106"/>
  <c r="I143" i="106"/>
  <c r="H143" i="106"/>
  <c r="G143" i="106"/>
  <c r="F143" i="106"/>
  <c r="E143" i="106"/>
  <c r="D143" i="106"/>
  <c r="C143" i="106"/>
  <c r="B143" i="106"/>
  <c r="N142" i="106"/>
  <c r="M142" i="106"/>
  <c r="L142" i="106"/>
  <c r="K142" i="106"/>
  <c r="J142" i="106"/>
  <c r="I142" i="106"/>
  <c r="H142" i="106"/>
  <c r="G142" i="106"/>
  <c r="F142" i="106"/>
  <c r="E142" i="106"/>
  <c r="D142" i="106"/>
  <c r="C142" i="106"/>
  <c r="B142" i="106"/>
  <c r="N141" i="106"/>
  <c r="M141" i="106"/>
  <c r="L141" i="106"/>
  <c r="K141" i="106"/>
  <c r="J141" i="106"/>
  <c r="I141" i="106"/>
  <c r="H141" i="106"/>
  <c r="G141" i="106"/>
  <c r="F141" i="106"/>
  <c r="E141" i="106"/>
  <c r="D141" i="106"/>
  <c r="C141" i="106"/>
  <c r="B141" i="106"/>
  <c r="N140" i="106"/>
  <c r="M140" i="106"/>
  <c r="L140" i="106"/>
  <c r="K140" i="106"/>
  <c r="J140" i="106"/>
  <c r="I140" i="106"/>
  <c r="H140" i="106"/>
  <c r="G140" i="106"/>
  <c r="F140" i="106"/>
  <c r="E140" i="106"/>
  <c r="D140" i="106"/>
  <c r="C140" i="106"/>
  <c r="B140" i="106"/>
  <c r="N139" i="106"/>
  <c r="M139" i="106"/>
  <c r="L139" i="106"/>
  <c r="K139" i="106"/>
  <c r="J139" i="106"/>
  <c r="I139" i="106"/>
  <c r="H139" i="106"/>
  <c r="G139" i="106"/>
  <c r="F139" i="106"/>
  <c r="E139" i="106"/>
  <c r="D139" i="106"/>
  <c r="C139" i="106"/>
  <c r="B139" i="106"/>
  <c r="N138" i="106"/>
  <c r="M138" i="106"/>
  <c r="L138" i="106"/>
  <c r="K138" i="106"/>
  <c r="J138" i="106"/>
  <c r="I138" i="106"/>
  <c r="H138" i="106"/>
  <c r="G138" i="106"/>
  <c r="F138" i="106"/>
  <c r="E138" i="106"/>
  <c r="D138" i="106"/>
  <c r="C138" i="106"/>
  <c r="B138" i="106"/>
  <c r="N137" i="106"/>
  <c r="M137" i="106"/>
  <c r="L137" i="106"/>
  <c r="K137" i="106"/>
  <c r="J137" i="106"/>
  <c r="I137" i="106"/>
  <c r="H137" i="106"/>
  <c r="G137" i="106"/>
  <c r="F137" i="106"/>
  <c r="E137" i="106"/>
  <c r="D137" i="106"/>
  <c r="C137" i="106"/>
  <c r="B137" i="106"/>
  <c r="N136" i="106"/>
  <c r="M136" i="106"/>
  <c r="L136" i="106"/>
  <c r="K136" i="106"/>
  <c r="J136" i="106"/>
  <c r="I136" i="106"/>
  <c r="H136" i="106"/>
  <c r="G136" i="106"/>
  <c r="F136" i="106"/>
  <c r="E136" i="106"/>
  <c r="D136" i="106"/>
  <c r="C136" i="106"/>
  <c r="B136" i="106"/>
  <c r="N135" i="106"/>
  <c r="M135" i="106"/>
  <c r="L135" i="106"/>
  <c r="K135" i="106"/>
  <c r="J135" i="106"/>
  <c r="I135" i="106"/>
  <c r="H135" i="106"/>
  <c r="G135" i="106"/>
  <c r="F135" i="106"/>
  <c r="E135" i="106"/>
  <c r="D135" i="106"/>
  <c r="C135" i="106"/>
  <c r="B135" i="106"/>
  <c r="N134" i="106"/>
  <c r="M134" i="106"/>
  <c r="L134" i="106"/>
  <c r="K134" i="106"/>
  <c r="J134" i="106"/>
  <c r="I134" i="106"/>
  <c r="H134" i="106"/>
  <c r="G134" i="106"/>
  <c r="F134" i="106"/>
  <c r="E134" i="106"/>
  <c r="D134" i="106"/>
  <c r="C134" i="106"/>
  <c r="B134" i="106"/>
  <c r="N133" i="106"/>
  <c r="M133" i="106"/>
  <c r="L133" i="106"/>
  <c r="K133" i="106"/>
  <c r="J133" i="106"/>
  <c r="I133" i="106"/>
  <c r="H133" i="106"/>
  <c r="G133" i="106"/>
  <c r="F133" i="106"/>
  <c r="E133" i="106"/>
  <c r="D133" i="106"/>
  <c r="C133" i="106"/>
  <c r="B133" i="106"/>
  <c r="N132" i="106"/>
  <c r="M132" i="106"/>
  <c r="L132" i="106"/>
  <c r="K132" i="106"/>
  <c r="J132" i="106"/>
  <c r="I132" i="106"/>
  <c r="H132" i="106"/>
  <c r="G132" i="106"/>
  <c r="F132" i="106"/>
  <c r="E132" i="106"/>
  <c r="D132" i="106"/>
  <c r="C132" i="106"/>
  <c r="B132" i="106"/>
  <c r="N131" i="106"/>
  <c r="M131" i="106"/>
  <c r="L131" i="106"/>
  <c r="K131" i="106"/>
  <c r="J131" i="106"/>
  <c r="I131" i="106"/>
  <c r="H131" i="106"/>
  <c r="G131" i="106"/>
  <c r="F131" i="106"/>
  <c r="E131" i="106"/>
  <c r="D131" i="106"/>
  <c r="C131" i="106"/>
  <c r="B131" i="106"/>
  <c r="N130" i="106"/>
  <c r="M130" i="106"/>
  <c r="L130" i="106"/>
  <c r="K130" i="106"/>
  <c r="J130" i="106"/>
  <c r="I130" i="106"/>
  <c r="H130" i="106"/>
  <c r="G130" i="106"/>
  <c r="F130" i="106"/>
  <c r="E130" i="106"/>
  <c r="D130" i="106"/>
  <c r="C130" i="106"/>
  <c r="B130" i="106"/>
  <c r="N129" i="106"/>
  <c r="M129" i="106"/>
  <c r="L129" i="106"/>
  <c r="K129" i="106"/>
  <c r="J129" i="106"/>
  <c r="I129" i="106"/>
  <c r="H129" i="106"/>
  <c r="G129" i="106"/>
  <c r="F129" i="106"/>
  <c r="E129" i="106"/>
  <c r="D129" i="106"/>
  <c r="C129" i="106"/>
  <c r="B129" i="106"/>
  <c r="N128" i="106"/>
  <c r="M128" i="106"/>
  <c r="L128" i="106"/>
  <c r="K128" i="106"/>
  <c r="J128" i="106"/>
  <c r="I128" i="106"/>
  <c r="H128" i="106"/>
  <c r="G128" i="106"/>
  <c r="F128" i="106"/>
  <c r="E128" i="106"/>
  <c r="D128" i="106"/>
  <c r="C128" i="106"/>
  <c r="B128" i="106"/>
  <c r="N127" i="106"/>
  <c r="M127" i="106"/>
  <c r="L127" i="106"/>
  <c r="K127" i="106"/>
  <c r="J127" i="106"/>
  <c r="I127" i="106"/>
  <c r="H127" i="106"/>
  <c r="G127" i="106"/>
  <c r="F127" i="106"/>
  <c r="E127" i="106"/>
  <c r="D127" i="106"/>
  <c r="C127" i="106"/>
  <c r="B127" i="106"/>
  <c r="N126" i="106"/>
  <c r="M126" i="106"/>
  <c r="L126" i="106"/>
  <c r="K126" i="106"/>
  <c r="J126" i="106"/>
  <c r="I126" i="106"/>
  <c r="H126" i="106"/>
  <c r="G126" i="106"/>
  <c r="F126" i="106"/>
  <c r="E126" i="106"/>
  <c r="D126" i="106"/>
  <c r="C126" i="106"/>
  <c r="B126" i="106"/>
  <c r="N125" i="106"/>
  <c r="M125" i="106"/>
  <c r="L125" i="106"/>
  <c r="K125" i="106"/>
  <c r="J125" i="106"/>
  <c r="I125" i="106"/>
  <c r="H125" i="106"/>
  <c r="G125" i="106"/>
  <c r="F125" i="106"/>
  <c r="E125" i="106"/>
  <c r="D125" i="106"/>
  <c r="C125" i="106"/>
  <c r="B125" i="106"/>
  <c r="N124" i="106"/>
  <c r="M124" i="106"/>
  <c r="L124" i="106"/>
  <c r="K124" i="106"/>
  <c r="J124" i="106"/>
  <c r="I124" i="106"/>
  <c r="H124" i="106"/>
  <c r="G124" i="106"/>
  <c r="F124" i="106"/>
  <c r="E124" i="106"/>
  <c r="D124" i="106"/>
  <c r="C124" i="106"/>
  <c r="B124" i="106"/>
  <c r="N123" i="106"/>
  <c r="M123" i="106"/>
  <c r="L123" i="106"/>
  <c r="K123" i="106"/>
  <c r="J123" i="106"/>
  <c r="I123" i="106"/>
  <c r="H123" i="106"/>
  <c r="G123" i="106"/>
  <c r="F123" i="106"/>
  <c r="E123" i="106"/>
  <c r="D123" i="106"/>
  <c r="C123" i="106"/>
  <c r="B123" i="106"/>
  <c r="N122" i="106"/>
  <c r="M122" i="106"/>
  <c r="L122" i="106"/>
  <c r="K122" i="106"/>
  <c r="J122" i="106"/>
  <c r="I122" i="106"/>
  <c r="H122" i="106"/>
  <c r="G122" i="106"/>
  <c r="F122" i="106"/>
  <c r="E122" i="106"/>
  <c r="D122" i="106"/>
  <c r="C122" i="106"/>
  <c r="B122" i="106"/>
  <c r="N121" i="106"/>
  <c r="M121" i="106"/>
  <c r="L121" i="106"/>
  <c r="K121" i="106"/>
  <c r="J121" i="106"/>
  <c r="I121" i="106"/>
  <c r="H121" i="106"/>
  <c r="G121" i="106"/>
  <c r="F121" i="106"/>
  <c r="E121" i="106"/>
  <c r="D121" i="106"/>
  <c r="C121" i="106"/>
  <c r="B121" i="106"/>
  <c r="N120" i="106"/>
  <c r="M120" i="106"/>
  <c r="L120" i="106"/>
  <c r="K120" i="106"/>
  <c r="J120" i="106"/>
  <c r="I120" i="106"/>
  <c r="H120" i="106"/>
  <c r="G120" i="106"/>
  <c r="F120" i="106"/>
  <c r="E120" i="106"/>
  <c r="D120" i="106"/>
  <c r="C120" i="106"/>
  <c r="B120" i="106"/>
  <c r="N119" i="106"/>
  <c r="M119" i="106"/>
  <c r="L119" i="106"/>
  <c r="K119" i="106"/>
  <c r="J119" i="106"/>
  <c r="I119" i="106"/>
  <c r="H119" i="106"/>
  <c r="G119" i="106"/>
  <c r="F119" i="106"/>
  <c r="E119" i="106"/>
  <c r="D119" i="106"/>
  <c r="C119" i="106"/>
  <c r="B119" i="106"/>
  <c r="N118" i="106"/>
  <c r="M118" i="106"/>
  <c r="L118" i="106"/>
  <c r="K118" i="106"/>
  <c r="J118" i="106"/>
  <c r="I118" i="106"/>
  <c r="H118" i="106"/>
  <c r="G118" i="106"/>
  <c r="F118" i="106"/>
  <c r="E118" i="106"/>
  <c r="D118" i="106"/>
  <c r="C118" i="106"/>
  <c r="B118" i="106"/>
  <c r="N117" i="106"/>
  <c r="M117" i="106"/>
  <c r="L117" i="106"/>
  <c r="K117" i="106"/>
  <c r="J117" i="106"/>
  <c r="I117" i="106"/>
  <c r="H117" i="106"/>
  <c r="G117" i="106"/>
  <c r="F117" i="106"/>
  <c r="E117" i="106"/>
  <c r="D117" i="106"/>
  <c r="C117" i="106"/>
  <c r="B117" i="106"/>
  <c r="N116" i="106"/>
  <c r="M116" i="106"/>
  <c r="L116" i="106"/>
  <c r="K116" i="106"/>
  <c r="J116" i="106"/>
  <c r="I116" i="106"/>
  <c r="H116" i="106"/>
  <c r="G116" i="106"/>
  <c r="F116" i="106"/>
  <c r="E116" i="106"/>
  <c r="D116" i="106"/>
  <c r="C116" i="106"/>
  <c r="B116" i="106"/>
  <c r="N115" i="106"/>
  <c r="M115" i="106"/>
  <c r="L115" i="106"/>
  <c r="K115" i="106"/>
  <c r="J115" i="106"/>
  <c r="I115" i="106"/>
  <c r="H115" i="106"/>
  <c r="G115" i="106"/>
  <c r="F115" i="106"/>
  <c r="E115" i="106"/>
  <c r="D115" i="106"/>
  <c r="C115" i="106"/>
  <c r="B115" i="106"/>
  <c r="N114" i="106"/>
  <c r="M114" i="106"/>
  <c r="L114" i="106"/>
  <c r="K114" i="106"/>
  <c r="J114" i="106"/>
  <c r="I114" i="106"/>
  <c r="H114" i="106"/>
  <c r="G114" i="106"/>
  <c r="F114" i="106"/>
  <c r="E114" i="106"/>
  <c r="D114" i="106"/>
  <c r="C114" i="106"/>
  <c r="B114" i="106"/>
  <c r="N113" i="106"/>
  <c r="M113" i="106"/>
  <c r="L113" i="106"/>
  <c r="K113" i="106"/>
  <c r="J113" i="106"/>
  <c r="I113" i="106"/>
  <c r="H113" i="106"/>
  <c r="G113" i="106"/>
  <c r="F113" i="106"/>
  <c r="E113" i="106"/>
  <c r="D113" i="106"/>
  <c r="C113" i="106"/>
  <c r="B113" i="106"/>
  <c r="N112" i="106"/>
  <c r="M112" i="106"/>
  <c r="L112" i="106"/>
  <c r="K112" i="106"/>
  <c r="J112" i="106"/>
  <c r="I112" i="106"/>
  <c r="H112" i="106"/>
  <c r="G112" i="106"/>
  <c r="F112" i="106"/>
  <c r="E112" i="106"/>
  <c r="D112" i="106"/>
  <c r="C112" i="106"/>
  <c r="B112" i="106"/>
  <c r="N111" i="106"/>
  <c r="M111" i="106"/>
  <c r="L111" i="106"/>
  <c r="K111" i="106"/>
  <c r="J111" i="106"/>
  <c r="I111" i="106"/>
  <c r="H111" i="106"/>
  <c r="G111" i="106"/>
  <c r="F111" i="106"/>
  <c r="E111" i="106"/>
  <c r="D111" i="106"/>
  <c r="C111" i="106"/>
  <c r="B111" i="106"/>
  <c r="N110" i="106"/>
  <c r="M110" i="106"/>
  <c r="L110" i="106"/>
  <c r="K110" i="106"/>
  <c r="J110" i="106"/>
  <c r="I110" i="106"/>
  <c r="H110" i="106"/>
  <c r="G110" i="106"/>
  <c r="F110" i="106"/>
  <c r="E110" i="106"/>
  <c r="D110" i="106"/>
  <c r="C110" i="106"/>
  <c r="B110" i="106"/>
  <c r="N109" i="106"/>
  <c r="M109" i="106"/>
  <c r="L109" i="106"/>
  <c r="K109" i="106"/>
  <c r="J109" i="106"/>
  <c r="I109" i="106"/>
  <c r="H109" i="106"/>
  <c r="G109" i="106"/>
  <c r="F109" i="106"/>
  <c r="E109" i="106"/>
  <c r="D109" i="106"/>
  <c r="C109" i="106"/>
  <c r="B109" i="106"/>
  <c r="N108" i="106"/>
  <c r="M108" i="106"/>
  <c r="L108" i="106"/>
  <c r="K108" i="106"/>
  <c r="J108" i="106"/>
  <c r="I108" i="106"/>
  <c r="H108" i="106"/>
  <c r="G108" i="106"/>
  <c r="F108" i="106"/>
  <c r="E108" i="106"/>
  <c r="D108" i="106"/>
  <c r="C108" i="106"/>
  <c r="B108" i="106"/>
  <c r="N107" i="106"/>
  <c r="M107" i="106"/>
  <c r="L107" i="106"/>
  <c r="K107" i="106"/>
  <c r="J107" i="106"/>
  <c r="I107" i="106"/>
  <c r="H107" i="106"/>
  <c r="G107" i="106"/>
  <c r="F107" i="106"/>
  <c r="E107" i="106"/>
  <c r="D107" i="106"/>
  <c r="C107" i="106"/>
  <c r="B107" i="106"/>
  <c r="N106" i="106"/>
  <c r="M106" i="106"/>
  <c r="L106" i="106"/>
  <c r="K106" i="106"/>
  <c r="J106" i="106"/>
  <c r="I106" i="106"/>
  <c r="H106" i="106"/>
  <c r="G106" i="106"/>
  <c r="F106" i="106"/>
  <c r="E106" i="106"/>
  <c r="D106" i="106"/>
  <c r="C106" i="106"/>
  <c r="B106" i="106"/>
  <c r="N105" i="106"/>
  <c r="M105" i="106"/>
  <c r="L105" i="106"/>
  <c r="K105" i="106"/>
  <c r="J105" i="106"/>
  <c r="I105" i="106"/>
  <c r="H105" i="106"/>
  <c r="G105" i="106"/>
  <c r="F105" i="106"/>
  <c r="E105" i="106"/>
  <c r="D105" i="106"/>
  <c r="C105" i="106"/>
  <c r="B105" i="106"/>
  <c r="N104" i="106"/>
  <c r="M104" i="106"/>
  <c r="L104" i="106"/>
  <c r="K104" i="106"/>
  <c r="J104" i="106"/>
  <c r="I104" i="106"/>
  <c r="H104" i="106"/>
  <c r="G104" i="106"/>
  <c r="F104" i="106"/>
  <c r="E104" i="106"/>
  <c r="D104" i="106"/>
  <c r="C104" i="106"/>
  <c r="B104" i="106"/>
  <c r="N103" i="106"/>
  <c r="M103" i="106"/>
  <c r="L103" i="106"/>
  <c r="K103" i="106"/>
  <c r="J103" i="106"/>
  <c r="I103" i="106"/>
  <c r="H103" i="106"/>
  <c r="G103" i="106"/>
  <c r="F103" i="106"/>
  <c r="E103" i="106"/>
  <c r="D103" i="106"/>
  <c r="C103" i="106"/>
  <c r="B103" i="106"/>
  <c r="N102" i="106"/>
  <c r="M102" i="106"/>
  <c r="L102" i="106"/>
  <c r="K102" i="106"/>
  <c r="J102" i="106"/>
  <c r="I102" i="106"/>
  <c r="H102" i="106"/>
  <c r="G102" i="106"/>
  <c r="F102" i="106"/>
  <c r="E102" i="106"/>
  <c r="D102" i="106"/>
  <c r="C102" i="106"/>
  <c r="B102" i="106"/>
  <c r="N101" i="106"/>
  <c r="M101" i="106"/>
  <c r="L101" i="106"/>
  <c r="K101" i="106"/>
  <c r="J101" i="106"/>
  <c r="I101" i="106"/>
  <c r="H101" i="106"/>
  <c r="G101" i="106"/>
  <c r="F101" i="106"/>
  <c r="E101" i="106"/>
  <c r="D101" i="106"/>
  <c r="C101" i="106"/>
  <c r="B101" i="106"/>
  <c r="N100" i="106"/>
  <c r="M100" i="106"/>
  <c r="L100" i="106"/>
  <c r="K100" i="106"/>
  <c r="J100" i="106"/>
  <c r="I100" i="106"/>
  <c r="H100" i="106"/>
  <c r="G100" i="106"/>
  <c r="F100" i="106"/>
  <c r="E100" i="106"/>
  <c r="D100" i="106"/>
  <c r="C100" i="106"/>
  <c r="B100" i="106"/>
  <c r="N99" i="106"/>
  <c r="M99" i="106"/>
  <c r="L99" i="106"/>
  <c r="K99" i="106"/>
  <c r="J99" i="106"/>
  <c r="I99" i="106"/>
  <c r="H99" i="106"/>
  <c r="G99" i="106"/>
  <c r="F99" i="106"/>
  <c r="E99" i="106"/>
  <c r="D99" i="106"/>
  <c r="C99" i="106"/>
  <c r="B99" i="106"/>
  <c r="N98" i="106"/>
  <c r="M98" i="106"/>
  <c r="L98" i="106"/>
  <c r="K98" i="106"/>
  <c r="J98" i="106"/>
  <c r="I98" i="106"/>
  <c r="H98" i="106"/>
  <c r="G98" i="106"/>
  <c r="F98" i="106"/>
  <c r="E98" i="106"/>
  <c r="D98" i="106"/>
  <c r="C98" i="106"/>
  <c r="B98" i="106"/>
  <c r="N97" i="106"/>
  <c r="M97" i="106"/>
  <c r="L97" i="106"/>
  <c r="K97" i="106"/>
  <c r="J97" i="106"/>
  <c r="I97" i="106"/>
  <c r="H97" i="106"/>
  <c r="G97" i="106"/>
  <c r="F97" i="106"/>
  <c r="E97" i="106"/>
  <c r="D97" i="106"/>
  <c r="C97" i="106"/>
  <c r="B97" i="106"/>
  <c r="N96" i="106"/>
  <c r="M96" i="106"/>
  <c r="L96" i="106"/>
  <c r="K96" i="106"/>
  <c r="J96" i="106"/>
  <c r="I96" i="106"/>
  <c r="H96" i="106"/>
  <c r="G96" i="106"/>
  <c r="F96" i="106"/>
  <c r="E96" i="106"/>
  <c r="D96" i="106"/>
  <c r="C96" i="106"/>
  <c r="B96" i="106"/>
  <c r="N95" i="106"/>
  <c r="M95" i="106"/>
  <c r="L95" i="106"/>
  <c r="K95" i="106"/>
  <c r="J95" i="106"/>
  <c r="I95" i="106"/>
  <c r="H95" i="106"/>
  <c r="G95" i="106"/>
  <c r="F95" i="106"/>
  <c r="E95" i="106"/>
  <c r="D95" i="106"/>
  <c r="C95" i="106"/>
  <c r="B95" i="106"/>
  <c r="N94" i="106"/>
  <c r="M94" i="106"/>
  <c r="L94" i="106"/>
  <c r="K94" i="106"/>
  <c r="J94" i="106"/>
  <c r="I94" i="106"/>
  <c r="H94" i="106"/>
  <c r="G94" i="106"/>
  <c r="F94" i="106"/>
  <c r="E94" i="106"/>
  <c r="D94" i="106"/>
  <c r="C94" i="106"/>
  <c r="B94" i="106"/>
  <c r="N93" i="106"/>
  <c r="M93" i="106"/>
  <c r="L93" i="106"/>
  <c r="K93" i="106"/>
  <c r="J93" i="106"/>
  <c r="I93" i="106"/>
  <c r="H93" i="106"/>
  <c r="G93" i="106"/>
  <c r="F93" i="106"/>
  <c r="E93" i="106"/>
  <c r="D93" i="106"/>
  <c r="C93" i="106"/>
  <c r="B93" i="106"/>
  <c r="N92" i="106"/>
  <c r="M92" i="106"/>
  <c r="L92" i="106"/>
  <c r="K92" i="106"/>
  <c r="J92" i="106"/>
  <c r="I92" i="106"/>
  <c r="H92" i="106"/>
  <c r="G92" i="106"/>
  <c r="F92" i="106"/>
  <c r="E92" i="106"/>
  <c r="D92" i="106"/>
  <c r="C92" i="106"/>
  <c r="B92" i="106"/>
  <c r="N91" i="106"/>
  <c r="M91" i="106"/>
  <c r="L91" i="106"/>
  <c r="K91" i="106"/>
  <c r="J91" i="106"/>
  <c r="I91" i="106"/>
  <c r="H91" i="106"/>
  <c r="G91" i="106"/>
  <c r="F91" i="106"/>
  <c r="E91" i="106"/>
  <c r="D91" i="106"/>
  <c r="C91" i="106"/>
  <c r="B91" i="106"/>
  <c r="N90" i="106"/>
  <c r="M90" i="106"/>
  <c r="L90" i="106"/>
  <c r="K90" i="106"/>
  <c r="J90" i="106"/>
  <c r="I90" i="106"/>
  <c r="H90" i="106"/>
  <c r="G90" i="106"/>
  <c r="F90" i="106"/>
  <c r="E90" i="106"/>
  <c r="D90" i="106"/>
  <c r="C90" i="106"/>
  <c r="B90" i="106"/>
  <c r="N89" i="106"/>
  <c r="M89" i="106"/>
  <c r="L89" i="106"/>
  <c r="K89" i="106"/>
  <c r="J89" i="106"/>
  <c r="I89" i="106"/>
  <c r="H89" i="106"/>
  <c r="G89" i="106"/>
  <c r="F89" i="106"/>
  <c r="E89" i="106"/>
  <c r="D89" i="106"/>
  <c r="C89" i="106"/>
  <c r="B89" i="106"/>
  <c r="N88" i="106"/>
  <c r="M88" i="106"/>
  <c r="L88" i="106"/>
  <c r="K88" i="106"/>
  <c r="J88" i="106"/>
  <c r="I88" i="106"/>
  <c r="H88" i="106"/>
  <c r="G88" i="106"/>
  <c r="F88" i="106"/>
  <c r="E88" i="106"/>
  <c r="D88" i="106"/>
  <c r="C88" i="106"/>
  <c r="B88" i="106"/>
  <c r="N87" i="106"/>
  <c r="M87" i="106"/>
  <c r="L87" i="106"/>
  <c r="K87" i="106"/>
  <c r="J87" i="106"/>
  <c r="I87" i="106"/>
  <c r="H87" i="106"/>
  <c r="G87" i="106"/>
  <c r="F87" i="106"/>
  <c r="E87" i="106"/>
  <c r="D87" i="106"/>
  <c r="C87" i="106"/>
  <c r="B87" i="106"/>
  <c r="N86" i="106"/>
  <c r="M86" i="106"/>
  <c r="L86" i="106"/>
  <c r="K86" i="106"/>
  <c r="J86" i="106"/>
  <c r="I86" i="106"/>
  <c r="H86" i="106"/>
  <c r="G86" i="106"/>
  <c r="F86" i="106"/>
  <c r="E86" i="106"/>
  <c r="D86" i="106"/>
  <c r="C86" i="106"/>
  <c r="B86" i="106"/>
  <c r="N85" i="106"/>
  <c r="M85" i="106"/>
  <c r="L85" i="106"/>
  <c r="K85" i="106"/>
  <c r="J85" i="106"/>
  <c r="I85" i="106"/>
  <c r="H85" i="106"/>
  <c r="G85" i="106"/>
  <c r="F85" i="106"/>
  <c r="E85" i="106"/>
  <c r="D85" i="106"/>
  <c r="C85" i="106"/>
  <c r="B85" i="106"/>
  <c r="N84" i="106"/>
  <c r="M84" i="106"/>
  <c r="L84" i="106"/>
  <c r="K84" i="106"/>
  <c r="J84" i="106"/>
  <c r="I84" i="106"/>
  <c r="H84" i="106"/>
  <c r="G84" i="106"/>
  <c r="F84" i="106"/>
  <c r="E84" i="106"/>
  <c r="D84" i="106"/>
  <c r="C84" i="106"/>
  <c r="B84" i="106"/>
  <c r="N83" i="106"/>
  <c r="M83" i="106"/>
  <c r="L83" i="106"/>
  <c r="K83" i="106"/>
  <c r="J83" i="106"/>
  <c r="I83" i="106"/>
  <c r="H83" i="106"/>
  <c r="G83" i="106"/>
  <c r="F83" i="106"/>
  <c r="E83" i="106"/>
  <c r="D83" i="106"/>
  <c r="C83" i="106"/>
  <c r="B83" i="106"/>
  <c r="N82" i="106"/>
  <c r="M82" i="106"/>
  <c r="L82" i="106"/>
  <c r="K82" i="106"/>
  <c r="J82" i="106"/>
  <c r="I82" i="106"/>
  <c r="H82" i="106"/>
  <c r="G82" i="106"/>
  <c r="F82" i="106"/>
  <c r="E82" i="106"/>
  <c r="D82" i="106"/>
  <c r="C82" i="106"/>
  <c r="B82" i="106"/>
  <c r="N81" i="106"/>
  <c r="M81" i="106"/>
  <c r="L81" i="106"/>
  <c r="K81" i="106"/>
  <c r="J81" i="106"/>
  <c r="I81" i="106"/>
  <c r="H81" i="106"/>
  <c r="G81" i="106"/>
  <c r="F81" i="106"/>
  <c r="E81" i="106"/>
  <c r="D81" i="106"/>
  <c r="C81" i="106"/>
  <c r="B81" i="106"/>
  <c r="N80" i="106"/>
  <c r="M80" i="106"/>
  <c r="L80" i="106"/>
  <c r="K80" i="106"/>
  <c r="J80" i="106"/>
  <c r="I80" i="106"/>
  <c r="H80" i="106"/>
  <c r="G80" i="106"/>
  <c r="F80" i="106"/>
  <c r="E80" i="106"/>
  <c r="D80" i="106"/>
  <c r="C80" i="106"/>
  <c r="B80" i="106"/>
  <c r="N79" i="106"/>
  <c r="M79" i="106"/>
  <c r="L79" i="106"/>
  <c r="K79" i="106"/>
  <c r="J79" i="106"/>
  <c r="I79" i="106"/>
  <c r="H79" i="106"/>
  <c r="G79" i="106"/>
  <c r="F79" i="106"/>
  <c r="E79" i="106"/>
  <c r="D79" i="106"/>
  <c r="C79" i="106"/>
  <c r="B79" i="106"/>
  <c r="N78" i="106"/>
  <c r="M78" i="106"/>
  <c r="L78" i="106"/>
  <c r="K78" i="106"/>
  <c r="J78" i="106"/>
  <c r="I78" i="106"/>
  <c r="H78" i="106"/>
  <c r="G78" i="106"/>
  <c r="F78" i="106"/>
  <c r="E78" i="106"/>
  <c r="D78" i="106"/>
  <c r="C78" i="106"/>
  <c r="B78" i="106"/>
  <c r="N77" i="106"/>
  <c r="M77" i="106"/>
  <c r="L77" i="106"/>
  <c r="K77" i="106"/>
  <c r="J77" i="106"/>
  <c r="I77" i="106"/>
  <c r="H77" i="106"/>
  <c r="G77" i="106"/>
  <c r="F77" i="106"/>
  <c r="E77" i="106"/>
  <c r="D77" i="106"/>
  <c r="C77" i="106"/>
  <c r="B77" i="106"/>
  <c r="N76" i="106"/>
  <c r="M76" i="106"/>
  <c r="L76" i="106"/>
  <c r="K76" i="106"/>
  <c r="J76" i="106"/>
  <c r="I76" i="106"/>
  <c r="H76" i="106"/>
  <c r="G76" i="106"/>
  <c r="F76" i="106"/>
  <c r="E76" i="106"/>
  <c r="D76" i="106"/>
  <c r="C76" i="106"/>
  <c r="B76" i="106"/>
  <c r="N75" i="106"/>
  <c r="M75" i="106"/>
  <c r="L75" i="106"/>
  <c r="K75" i="106"/>
  <c r="J75" i="106"/>
  <c r="I75" i="106"/>
  <c r="H75" i="106"/>
  <c r="G75" i="106"/>
  <c r="F75" i="106"/>
  <c r="E75" i="106"/>
  <c r="D75" i="106"/>
  <c r="C75" i="106"/>
  <c r="B75" i="106"/>
  <c r="N74" i="106"/>
  <c r="M74" i="106"/>
  <c r="L74" i="106"/>
  <c r="K74" i="106"/>
  <c r="J74" i="106"/>
  <c r="I74" i="106"/>
  <c r="H74" i="106"/>
  <c r="G74" i="106"/>
  <c r="F74" i="106"/>
  <c r="E74" i="106"/>
  <c r="D74" i="106"/>
  <c r="C74" i="106"/>
  <c r="B74" i="106"/>
  <c r="N73" i="106"/>
  <c r="M73" i="106"/>
  <c r="L73" i="106"/>
  <c r="K73" i="106"/>
  <c r="J73" i="106"/>
  <c r="I73" i="106"/>
  <c r="H73" i="106"/>
  <c r="G73" i="106"/>
  <c r="F73" i="106"/>
  <c r="E73" i="106"/>
  <c r="D73" i="106"/>
  <c r="C73" i="106"/>
  <c r="B73" i="106"/>
  <c r="N72" i="106"/>
  <c r="M72" i="106"/>
  <c r="L72" i="106"/>
  <c r="K72" i="106"/>
  <c r="J72" i="106"/>
  <c r="I72" i="106"/>
  <c r="H72" i="106"/>
  <c r="G72" i="106"/>
  <c r="F72" i="106"/>
  <c r="E72" i="106"/>
  <c r="D72" i="106"/>
  <c r="C72" i="106"/>
  <c r="B72" i="106"/>
  <c r="N71" i="106"/>
  <c r="M71" i="106"/>
  <c r="L71" i="106"/>
  <c r="K71" i="106"/>
  <c r="J71" i="106"/>
  <c r="I71" i="106"/>
  <c r="H71" i="106"/>
  <c r="G71" i="106"/>
  <c r="F71" i="106"/>
  <c r="E71" i="106"/>
  <c r="D71" i="106"/>
  <c r="C71" i="106"/>
  <c r="B71" i="106"/>
  <c r="N70" i="106"/>
  <c r="M70" i="106"/>
  <c r="L70" i="106"/>
  <c r="K70" i="106"/>
  <c r="J70" i="106"/>
  <c r="I70" i="106"/>
  <c r="H70" i="106"/>
  <c r="G70" i="106"/>
  <c r="F70" i="106"/>
  <c r="E70" i="106"/>
  <c r="D70" i="106"/>
  <c r="C70" i="106"/>
  <c r="B70" i="106"/>
  <c r="N69" i="106"/>
  <c r="M69" i="106"/>
  <c r="L69" i="106"/>
  <c r="K69" i="106"/>
  <c r="J69" i="106"/>
  <c r="I69" i="106"/>
  <c r="H69" i="106"/>
  <c r="G69" i="106"/>
  <c r="F69" i="106"/>
  <c r="E69" i="106"/>
  <c r="D69" i="106"/>
  <c r="C69" i="106"/>
  <c r="B69" i="106"/>
  <c r="N68" i="106"/>
  <c r="M68" i="106"/>
  <c r="L68" i="106"/>
  <c r="K68" i="106"/>
  <c r="J68" i="106"/>
  <c r="I68" i="106"/>
  <c r="H68" i="106"/>
  <c r="G68" i="106"/>
  <c r="F68" i="106"/>
  <c r="E68" i="106"/>
  <c r="D68" i="106"/>
  <c r="C68" i="106"/>
  <c r="B68" i="106"/>
  <c r="B67" i="106"/>
  <c r="B66" i="106"/>
  <c r="B65" i="106"/>
  <c r="B64" i="106"/>
  <c r="B63" i="106"/>
  <c r="B62" i="106"/>
  <c r="B61" i="106"/>
  <c r="B60" i="106"/>
  <c r="B59" i="106"/>
  <c r="B58" i="106"/>
  <c r="N57" i="106"/>
  <c r="M57" i="106"/>
  <c r="L57" i="106"/>
  <c r="K57" i="106"/>
  <c r="J57" i="106"/>
  <c r="I57" i="106"/>
  <c r="H57" i="106"/>
  <c r="G57" i="106"/>
  <c r="F57" i="106"/>
  <c r="E57" i="106"/>
  <c r="D57" i="106"/>
  <c r="C57" i="106"/>
  <c r="B57" i="106"/>
  <c r="N56" i="106"/>
  <c r="M56" i="106"/>
  <c r="L56" i="106"/>
  <c r="K56" i="106"/>
  <c r="J56" i="106"/>
  <c r="I56" i="106"/>
  <c r="H56" i="106"/>
  <c r="G56" i="106"/>
  <c r="F56" i="106"/>
  <c r="E56" i="106"/>
  <c r="D56" i="106"/>
  <c r="C56" i="106"/>
  <c r="B56" i="106"/>
  <c r="N55" i="106"/>
  <c r="M55" i="106"/>
  <c r="L55" i="106"/>
  <c r="K55" i="106"/>
  <c r="J55" i="106"/>
  <c r="I55" i="106"/>
  <c r="H55" i="106"/>
  <c r="G55" i="106"/>
  <c r="F55" i="106"/>
  <c r="E55" i="106"/>
  <c r="D55" i="106"/>
  <c r="C55" i="106"/>
  <c r="B55" i="106"/>
  <c r="N54" i="106"/>
  <c r="M54" i="106"/>
  <c r="L54" i="106"/>
  <c r="K54" i="106"/>
  <c r="J54" i="106"/>
  <c r="I54" i="106"/>
  <c r="H54" i="106"/>
  <c r="G54" i="106"/>
  <c r="F54" i="106"/>
  <c r="E54" i="106"/>
  <c r="D54" i="106"/>
  <c r="C54" i="106"/>
  <c r="B54" i="106"/>
  <c r="N53" i="106"/>
  <c r="M53" i="106"/>
  <c r="L53" i="106"/>
  <c r="K53" i="106"/>
  <c r="J53" i="106"/>
  <c r="I53" i="106"/>
  <c r="H53" i="106"/>
  <c r="G53" i="106"/>
  <c r="F53" i="106"/>
  <c r="E53" i="106"/>
  <c r="D53" i="106"/>
  <c r="C53" i="106"/>
  <c r="B53" i="106"/>
  <c r="N52" i="106"/>
  <c r="M52" i="106"/>
  <c r="L52" i="106"/>
  <c r="K52" i="106"/>
  <c r="J52" i="106"/>
  <c r="I52" i="106"/>
  <c r="H52" i="106"/>
  <c r="G52" i="106"/>
  <c r="F52" i="106"/>
  <c r="E52" i="106"/>
  <c r="D52" i="106"/>
  <c r="C52" i="106"/>
  <c r="B52" i="106"/>
  <c r="N51" i="106"/>
  <c r="M51" i="106"/>
  <c r="L51" i="106"/>
  <c r="K51" i="106"/>
  <c r="J51" i="106"/>
  <c r="I51" i="106"/>
  <c r="H51" i="106"/>
  <c r="G51" i="106"/>
  <c r="F51" i="106"/>
  <c r="E51" i="106"/>
  <c r="D51" i="106"/>
  <c r="C51" i="106"/>
  <c r="B51" i="106"/>
  <c r="N50" i="106"/>
  <c r="M50" i="106"/>
  <c r="L50" i="106"/>
  <c r="K50" i="106"/>
  <c r="J50" i="106"/>
  <c r="I50" i="106"/>
  <c r="H50" i="106"/>
  <c r="G50" i="106"/>
  <c r="F50" i="106"/>
  <c r="E50" i="106"/>
  <c r="D50" i="106"/>
  <c r="C50" i="106"/>
  <c r="B50" i="106"/>
  <c r="N49" i="106"/>
  <c r="M49" i="106"/>
  <c r="L49" i="106"/>
  <c r="K49" i="106"/>
  <c r="J49" i="106"/>
  <c r="I49" i="106"/>
  <c r="H49" i="106"/>
  <c r="G49" i="106"/>
  <c r="F49" i="106"/>
  <c r="E49" i="106"/>
  <c r="D49" i="106"/>
  <c r="C49" i="106"/>
  <c r="B49" i="106"/>
  <c r="B48" i="106"/>
  <c r="B47" i="106"/>
  <c r="B46" i="106"/>
  <c r="B45" i="106"/>
  <c r="B44" i="106"/>
  <c r="B43" i="106"/>
  <c r="B42" i="106"/>
  <c r="B41" i="106"/>
  <c r="B40" i="106"/>
  <c r="B39" i="106"/>
  <c r="B38" i="106"/>
  <c r="B37" i="106"/>
  <c r="B36" i="106"/>
  <c r="B35" i="106"/>
  <c r="B34" i="106"/>
  <c r="B33" i="106"/>
  <c r="B32" i="106"/>
  <c r="B31" i="106"/>
  <c r="B30" i="106"/>
  <c r="B29" i="106"/>
  <c r="B28" i="106"/>
  <c r="B27" i="106"/>
  <c r="B26" i="106"/>
  <c r="B25" i="106"/>
  <c r="B24" i="106"/>
  <c r="B23" i="106"/>
  <c r="B22" i="106"/>
  <c r="B21" i="106"/>
  <c r="B20" i="106"/>
  <c r="B19" i="106"/>
  <c r="B18" i="106"/>
  <c r="B17" i="106"/>
  <c r="B16" i="106"/>
  <c r="B15" i="106"/>
  <c r="B14" i="106"/>
  <c r="B13" i="106"/>
  <c r="B12" i="106"/>
  <c r="B11" i="106"/>
  <c r="B10" i="106"/>
  <c r="B9" i="106"/>
  <c r="B8" i="106"/>
  <c r="B7" i="106"/>
  <c r="M6" i="106"/>
  <c r="L6" i="106"/>
  <c r="K6" i="106"/>
  <c r="J6" i="106"/>
  <c r="I6" i="106"/>
  <c r="H6" i="106"/>
  <c r="G6" i="106"/>
  <c r="F6" i="106"/>
  <c r="E6" i="106"/>
  <c r="D6" i="106"/>
  <c r="C6" i="106"/>
  <c r="B6" i="106"/>
  <c r="M5" i="106"/>
  <c r="L5" i="106"/>
  <c r="K5" i="106"/>
  <c r="J5" i="106"/>
  <c r="I5" i="106"/>
  <c r="H5" i="106"/>
  <c r="G5" i="106"/>
  <c r="F5" i="106"/>
  <c r="E5" i="106"/>
  <c r="D5" i="106"/>
  <c r="C5" i="106"/>
  <c r="B5" i="106"/>
  <c r="M4" i="106"/>
  <c r="L4" i="106"/>
  <c r="K4" i="106"/>
  <c r="J4" i="106"/>
  <c r="I4" i="106"/>
  <c r="H4" i="106"/>
  <c r="G4" i="106"/>
  <c r="F4" i="106"/>
  <c r="E4" i="106"/>
  <c r="D4" i="106"/>
  <c r="C4" i="106"/>
  <c r="B4" i="106"/>
  <c r="M3" i="106"/>
  <c r="L3" i="106"/>
  <c r="K3" i="106"/>
  <c r="J3" i="106"/>
  <c r="I3" i="106"/>
  <c r="H3" i="106"/>
  <c r="G3" i="106"/>
  <c r="F3" i="106"/>
  <c r="E3" i="106"/>
  <c r="D3" i="106"/>
  <c r="C3" i="106"/>
  <c r="B3" i="106"/>
  <c r="M2" i="106"/>
  <c r="L2" i="106"/>
  <c r="K2" i="106"/>
  <c r="J2" i="106"/>
  <c r="I2" i="106"/>
  <c r="H2" i="106"/>
  <c r="G2" i="106"/>
  <c r="F2" i="106"/>
  <c r="E2" i="106"/>
  <c r="D2" i="106"/>
  <c r="C2" i="106"/>
  <c r="B2" i="106"/>
  <c r="G17" i="13"/>
  <c r="B17" i="13"/>
  <c r="D17" i="13" s="1"/>
  <c r="G16" i="13"/>
  <c r="B16" i="13"/>
  <c r="D16" i="13" s="1"/>
  <c r="G15" i="13"/>
  <c r="B15" i="13"/>
  <c r="D15" i="13" s="1"/>
  <c r="G12" i="13"/>
  <c r="B12" i="13"/>
  <c r="D12" i="13" s="1"/>
  <c r="G13" i="13"/>
  <c r="B13" i="13"/>
  <c r="C13" i="13" s="1"/>
  <c r="E13" i="13" s="1"/>
  <c r="G14" i="13"/>
  <c r="B14" i="13"/>
  <c r="D14" i="13" s="1"/>
  <c r="I44" i="18"/>
  <c r="B44" i="18"/>
  <c r="D44" i="18" s="1"/>
  <c r="I43" i="18"/>
  <c r="B43" i="18"/>
  <c r="D43" i="18" s="1"/>
  <c r="J8" i="102"/>
  <c r="D8" i="102"/>
  <c r="B8" i="102"/>
  <c r="C8" i="102" s="1"/>
  <c r="G8" i="102" s="1"/>
  <c r="I7" i="12"/>
  <c r="B7" i="12"/>
  <c r="C7" i="12" s="1"/>
  <c r="G7" i="12" s="1"/>
  <c r="C17" i="13" l="1"/>
  <c r="E17" i="13" s="1"/>
  <c r="C16" i="13"/>
  <c r="E16" i="13" s="1"/>
  <c r="C15" i="13"/>
  <c r="E15" i="13" s="1"/>
  <c r="C12" i="13"/>
  <c r="E12" i="13" s="1"/>
  <c r="D13" i="13"/>
  <c r="F13" i="13" s="1"/>
  <c r="C14" i="13"/>
  <c r="E14" i="13" s="1"/>
  <c r="C44" i="18"/>
  <c r="G44" i="18" s="1"/>
  <c r="C43" i="18"/>
  <c r="G43" i="18" s="1"/>
  <c r="H8" i="102"/>
  <c r="M8" i="102" s="1"/>
  <c r="D7" i="12"/>
  <c r="H7" i="12" s="1"/>
  <c r="F17" i="13" l="1"/>
  <c r="M17" i="13" s="1"/>
  <c r="F16" i="13"/>
  <c r="M16" i="13" s="1"/>
  <c r="F15" i="13"/>
  <c r="M15" i="13" s="1"/>
  <c r="F12" i="13"/>
  <c r="M12" i="13" s="1"/>
  <c r="L13" i="13"/>
  <c r="M13" i="13"/>
  <c r="F14" i="13"/>
  <c r="M14" i="13" s="1"/>
  <c r="L14" i="13"/>
  <c r="H44" i="18"/>
  <c r="M44" i="18" s="1"/>
  <c r="D48" i="106" s="1"/>
  <c r="H43" i="18"/>
  <c r="M43" i="18" s="1"/>
  <c r="D47" i="106" s="1"/>
  <c r="W8" i="102"/>
  <c r="V8" i="102"/>
  <c r="U8" i="102"/>
  <c r="T8" i="102"/>
  <c r="S8" i="102"/>
  <c r="R8" i="102"/>
  <c r="Q8" i="102"/>
  <c r="P8" i="102"/>
  <c r="N8" i="102"/>
  <c r="O8" i="102" s="1"/>
  <c r="L8" i="102"/>
  <c r="M7" i="12"/>
  <c r="L7" i="12"/>
  <c r="T17" i="13" l="1"/>
  <c r="V17" i="13"/>
  <c r="S17" i="13"/>
  <c r="R17" i="13"/>
  <c r="N17" i="13"/>
  <c r="O17" i="13" s="1"/>
  <c r="U17" i="13"/>
  <c r="Q17" i="13"/>
  <c r="P17" i="13"/>
  <c r="L17" i="13"/>
  <c r="V16" i="13"/>
  <c r="N16" i="13"/>
  <c r="O16" i="13" s="1"/>
  <c r="U16" i="13"/>
  <c r="S16" i="13"/>
  <c r="R16" i="13"/>
  <c r="Q16" i="13"/>
  <c r="P16" i="13"/>
  <c r="T16" i="13"/>
  <c r="L16" i="13"/>
  <c r="V15" i="13"/>
  <c r="N15" i="13"/>
  <c r="O15" i="13" s="1"/>
  <c r="U15" i="13"/>
  <c r="R15" i="13"/>
  <c r="Q15" i="13"/>
  <c r="P15" i="13"/>
  <c r="T15" i="13"/>
  <c r="S15" i="13"/>
  <c r="L15" i="13"/>
  <c r="V12" i="13"/>
  <c r="N12" i="13"/>
  <c r="O12" i="13" s="1"/>
  <c r="U12" i="13"/>
  <c r="T12" i="13"/>
  <c r="S12" i="13"/>
  <c r="P12" i="13"/>
  <c r="R12" i="13"/>
  <c r="Q12" i="13"/>
  <c r="L12" i="13"/>
  <c r="T13" i="13"/>
  <c r="Q13" i="13"/>
  <c r="P13" i="13"/>
  <c r="N13" i="13"/>
  <c r="O13" i="13" s="1"/>
  <c r="U13" i="13"/>
  <c r="S13" i="13"/>
  <c r="R13" i="13"/>
  <c r="V13" i="13"/>
  <c r="V14" i="13"/>
  <c r="N14" i="13"/>
  <c r="O14" i="13" s="1"/>
  <c r="R14" i="13"/>
  <c r="Q14" i="13"/>
  <c r="P14" i="13"/>
  <c r="U14" i="13"/>
  <c r="T14" i="13"/>
  <c r="S14" i="13"/>
  <c r="P44" i="18"/>
  <c r="G48" i="106" s="1"/>
  <c r="V44" i="18"/>
  <c r="M48" i="106" s="1"/>
  <c r="N44" i="18"/>
  <c r="U44" i="18"/>
  <c r="L48" i="106" s="1"/>
  <c r="T44" i="18"/>
  <c r="K48" i="106" s="1"/>
  <c r="S44" i="18"/>
  <c r="J48" i="106" s="1"/>
  <c r="R44" i="18"/>
  <c r="I48" i="106" s="1"/>
  <c r="Q44" i="18"/>
  <c r="H48" i="106" s="1"/>
  <c r="L44" i="18"/>
  <c r="C48" i="106" s="1"/>
  <c r="V43" i="18"/>
  <c r="M47" i="106" s="1"/>
  <c r="N43" i="18"/>
  <c r="U43" i="18"/>
  <c r="L47" i="106" s="1"/>
  <c r="T43" i="18"/>
  <c r="K47" i="106" s="1"/>
  <c r="S43" i="18"/>
  <c r="J47" i="106" s="1"/>
  <c r="R43" i="18"/>
  <c r="I47" i="106" s="1"/>
  <c r="Q43" i="18"/>
  <c r="H47" i="106" s="1"/>
  <c r="P43" i="18"/>
  <c r="G47" i="106" s="1"/>
  <c r="L43" i="18"/>
  <c r="C47" i="106" s="1"/>
  <c r="T7" i="12"/>
  <c r="R7" i="12"/>
  <c r="Q7" i="12"/>
  <c r="P7" i="12"/>
  <c r="W7" i="12"/>
  <c r="N7" i="12"/>
  <c r="O7" i="12" s="1"/>
  <c r="S7" i="12"/>
  <c r="V7" i="12"/>
  <c r="O44" i="18" l="1"/>
  <c r="F48" i="106" s="1"/>
  <c r="E48" i="106"/>
  <c r="O43" i="18"/>
  <c r="F47" i="106" s="1"/>
  <c r="E47" i="106"/>
  <c r="H7" i="10" l="1"/>
  <c r="B7" i="10"/>
  <c r="D7" i="10" s="1"/>
  <c r="I22" i="24"/>
  <c r="B22" i="24"/>
  <c r="D22" i="24" s="1"/>
  <c r="I21" i="24"/>
  <c r="B21" i="24"/>
  <c r="D21" i="24" s="1"/>
  <c r="I20" i="24"/>
  <c r="B20" i="24"/>
  <c r="D20" i="24" s="1"/>
  <c r="I42" i="18"/>
  <c r="B42" i="18"/>
  <c r="D42" i="18" s="1"/>
  <c r="C7" i="10" l="1"/>
  <c r="E7" i="10" s="1"/>
  <c r="C22" i="24"/>
  <c r="G22" i="24" s="1"/>
  <c r="C21" i="24"/>
  <c r="G21" i="24" s="1"/>
  <c r="C20" i="24"/>
  <c r="G20" i="24" s="1"/>
  <c r="C42" i="18"/>
  <c r="G42" i="18" s="1"/>
  <c r="I21" i="18"/>
  <c r="B21" i="18"/>
  <c r="C21" i="18" s="1"/>
  <c r="G21" i="18" s="1"/>
  <c r="I35" i="11"/>
  <c r="B35" i="11"/>
  <c r="D35" i="11" s="1"/>
  <c r="D21" i="18" l="1"/>
  <c r="H21" i="18" s="1"/>
  <c r="M21" i="18" s="1"/>
  <c r="D25" i="106" s="1"/>
  <c r="F7" i="10"/>
  <c r="M7" i="10" s="1"/>
  <c r="H22" i="24"/>
  <c r="M22" i="24"/>
  <c r="L22" i="24"/>
  <c r="H21" i="24"/>
  <c r="L21" i="24" s="1"/>
  <c r="H20" i="24"/>
  <c r="M20" i="24" s="1"/>
  <c r="H42" i="18"/>
  <c r="L42" i="18" s="1"/>
  <c r="C46" i="106" s="1"/>
  <c r="C35" i="11"/>
  <c r="G35" i="11" s="1"/>
  <c r="V7" i="10" l="1"/>
  <c r="U7" i="10"/>
  <c r="S7" i="10"/>
  <c r="R7" i="10"/>
  <c r="Q7" i="10"/>
  <c r="P7" i="10"/>
  <c r="T7" i="10"/>
  <c r="N7" i="10"/>
  <c r="O7" i="10" s="1"/>
  <c r="L7" i="10"/>
  <c r="V22" i="24"/>
  <c r="N22" i="24"/>
  <c r="O22" i="24" s="1"/>
  <c r="R22" i="24"/>
  <c r="Q22" i="24"/>
  <c r="P22" i="24"/>
  <c r="U22" i="24"/>
  <c r="T22" i="24"/>
  <c r="S22" i="24"/>
  <c r="M21" i="24"/>
  <c r="V20" i="24"/>
  <c r="N20" i="24"/>
  <c r="O20" i="24" s="1"/>
  <c r="U20" i="24"/>
  <c r="T20" i="24"/>
  <c r="S20" i="24"/>
  <c r="R20" i="24"/>
  <c r="Q20" i="24"/>
  <c r="P20" i="24"/>
  <c r="L20" i="24"/>
  <c r="M42" i="18"/>
  <c r="D46" i="106" s="1"/>
  <c r="V21" i="18"/>
  <c r="M25" i="106" s="1"/>
  <c r="N21" i="18"/>
  <c r="P21" i="18"/>
  <c r="G25" i="106" s="1"/>
  <c r="U21" i="18"/>
  <c r="L25" i="106" s="1"/>
  <c r="T21" i="18"/>
  <c r="K25" i="106" s="1"/>
  <c r="S21" i="18"/>
  <c r="J25" i="106" s="1"/>
  <c r="R21" i="18"/>
  <c r="I25" i="106" s="1"/>
  <c r="Q21" i="18"/>
  <c r="H25" i="106" s="1"/>
  <c r="L21" i="18"/>
  <c r="C25" i="106" s="1"/>
  <c r="H35" i="11"/>
  <c r="L35" i="11" s="1"/>
  <c r="C272" i="106" s="1"/>
  <c r="O21" i="18" l="1"/>
  <c r="F25" i="106" s="1"/>
  <c r="E25" i="106"/>
  <c r="V21" i="24"/>
  <c r="N21" i="24"/>
  <c r="O21" i="24" s="1"/>
  <c r="T21" i="24"/>
  <c r="S21" i="24"/>
  <c r="P21" i="24"/>
  <c r="U21" i="24"/>
  <c r="R21" i="24"/>
  <c r="Q21" i="24"/>
  <c r="U42" i="18"/>
  <c r="L46" i="106" s="1"/>
  <c r="T42" i="18"/>
  <c r="K46" i="106" s="1"/>
  <c r="S42" i="18"/>
  <c r="J46" i="106" s="1"/>
  <c r="Q42" i="18"/>
  <c r="H46" i="106" s="1"/>
  <c r="P42" i="18"/>
  <c r="G46" i="106" s="1"/>
  <c r="V42" i="18"/>
  <c r="M46" i="106" s="1"/>
  <c r="N42" i="18"/>
  <c r="R42" i="18"/>
  <c r="I46" i="106" s="1"/>
  <c r="M35" i="11"/>
  <c r="D272" i="106" s="1"/>
  <c r="I3" i="18"/>
  <c r="B3" i="18"/>
  <c r="D3" i="18" s="1"/>
  <c r="O42" i="18" l="1"/>
  <c r="F46" i="106" s="1"/>
  <c r="E46" i="106"/>
  <c r="T35" i="11"/>
  <c r="K272" i="106" s="1"/>
  <c r="Q35" i="11"/>
  <c r="H272" i="106" s="1"/>
  <c r="N35" i="11"/>
  <c r="S35" i="11"/>
  <c r="J272" i="106" s="1"/>
  <c r="R35" i="11"/>
  <c r="I272" i="106" s="1"/>
  <c r="P35" i="11"/>
  <c r="G272" i="106" s="1"/>
  <c r="V35" i="11"/>
  <c r="M272" i="106" s="1"/>
  <c r="U35" i="11"/>
  <c r="L272" i="106" s="1"/>
  <c r="C3" i="18"/>
  <c r="G3" i="18" s="1"/>
  <c r="O35" i="11" l="1"/>
  <c r="F272" i="106" s="1"/>
  <c r="E272" i="106"/>
  <c r="H3" i="18"/>
  <c r="M3" i="18" s="1"/>
  <c r="D7" i="106" s="1"/>
  <c r="J44" i="102"/>
  <c r="B44" i="102"/>
  <c r="D44" i="102" s="1"/>
  <c r="J41" i="102"/>
  <c r="B41" i="102"/>
  <c r="D41" i="102" s="1"/>
  <c r="P3" i="18" l="1"/>
  <c r="G7" i="106" s="1"/>
  <c r="V3" i="18"/>
  <c r="M7" i="106" s="1"/>
  <c r="N3" i="18"/>
  <c r="U3" i="18"/>
  <c r="L7" i="106" s="1"/>
  <c r="T3" i="18"/>
  <c r="K7" i="106" s="1"/>
  <c r="S3" i="18"/>
  <c r="J7" i="106" s="1"/>
  <c r="R3" i="18"/>
  <c r="I7" i="106" s="1"/>
  <c r="Q3" i="18"/>
  <c r="H7" i="106" s="1"/>
  <c r="L3" i="18"/>
  <c r="C7" i="106" s="1"/>
  <c r="C44" i="102"/>
  <c r="G44" i="102" s="1"/>
  <c r="C41" i="102"/>
  <c r="G41" i="102" s="1"/>
  <c r="O3" i="18" l="1"/>
  <c r="F7" i="106" s="1"/>
  <c r="E7" i="106"/>
  <c r="H44" i="102"/>
  <c r="L44" i="102" s="1"/>
  <c r="H41" i="102"/>
  <c r="L41" i="102" s="1"/>
  <c r="H8" i="25"/>
  <c r="B8" i="25"/>
  <c r="D8" i="25" s="1"/>
  <c r="J35" i="8"/>
  <c r="E35" i="8"/>
  <c r="B35" i="8"/>
  <c r="C35" i="8" s="1"/>
  <c r="G35" i="8" s="1"/>
  <c r="J10" i="67"/>
  <c r="E10" i="67"/>
  <c r="B10" i="67"/>
  <c r="C10" i="67" s="1"/>
  <c r="G10" i="67" s="1"/>
  <c r="J9" i="67"/>
  <c r="E9" i="67"/>
  <c r="B9" i="67"/>
  <c r="D9" i="67" s="1"/>
  <c r="M44" i="102" l="1"/>
  <c r="T44" i="102" s="1"/>
  <c r="S44" i="102"/>
  <c r="R44" i="102"/>
  <c r="Q44" i="102"/>
  <c r="P44" i="102"/>
  <c r="W44" i="102"/>
  <c r="V44" i="102"/>
  <c r="N44" i="102"/>
  <c r="O44" i="102" s="1"/>
  <c r="U44" i="102"/>
  <c r="M41" i="102"/>
  <c r="C8" i="25"/>
  <c r="E8" i="25" s="1"/>
  <c r="D35" i="8"/>
  <c r="H35" i="8" s="1"/>
  <c r="D10" i="67"/>
  <c r="H10" i="67" s="1"/>
  <c r="C9" i="67"/>
  <c r="G9" i="67" s="1"/>
  <c r="R41" i="102" l="1"/>
  <c r="N41" i="102"/>
  <c r="O41" i="102" s="1"/>
  <c r="U41" i="102"/>
  <c r="T41" i="102"/>
  <c r="S41" i="102"/>
  <c r="Q41" i="102"/>
  <c r="P41" i="102"/>
  <c r="W41" i="102"/>
  <c r="V41" i="102"/>
  <c r="F8" i="25"/>
  <c r="M8" i="25" s="1"/>
  <c r="M35" i="8"/>
  <c r="L35" i="8"/>
  <c r="L10" i="67"/>
  <c r="M10" i="67"/>
  <c r="H9" i="67"/>
  <c r="M9" i="67" s="1"/>
  <c r="V8" i="25" l="1"/>
  <c r="N8" i="25"/>
  <c r="O8" i="25" s="1"/>
  <c r="U8" i="25"/>
  <c r="T8" i="25"/>
  <c r="R8" i="25"/>
  <c r="Q8" i="25"/>
  <c r="P8" i="25"/>
  <c r="S8" i="25"/>
  <c r="L8" i="25"/>
  <c r="V35" i="8"/>
  <c r="N35" i="8"/>
  <c r="O35" i="8" s="1"/>
  <c r="U35" i="8"/>
  <c r="T35" i="8"/>
  <c r="S35" i="8"/>
  <c r="R35" i="8"/>
  <c r="Q35" i="8"/>
  <c r="P35" i="8"/>
  <c r="U10" i="67"/>
  <c r="S10" i="67"/>
  <c r="R10" i="67"/>
  <c r="N10" i="67"/>
  <c r="O10" i="67" s="1"/>
  <c r="Q10" i="67"/>
  <c r="V10" i="67"/>
  <c r="T10" i="67"/>
  <c r="P10" i="67"/>
  <c r="S9" i="67"/>
  <c r="R9" i="67"/>
  <c r="P9" i="67"/>
  <c r="Q9" i="67"/>
  <c r="V9" i="67"/>
  <c r="N9" i="67"/>
  <c r="O9" i="67" s="1"/>
  <c r="U9" i="67"/>
  <c r="T9" i="67"/>
  <c r="L9" i="67"/>
  <c r="I37" i="18" l="1"/>
  <c r="B37" i="18"/>
  <c r="D37" i="18" s="1"/>
  <c r="C37" i="18" l="1"/>
  <c r="G37" i="18" s="1"/>
  <c r="H37" i="18" l="1"/>
  <c r="M37" i="18" s="1"/>
  <c r="D41" i="106" s="1"/>
  <c r="U37" i="18" l="1"/>
  <c r="L41" i="106" s="1"/>
  <c r="T37" i="18"/>
  <c r="K41" i="106" s="1"/>
  <c r="S37" i="18"/>
  <c r="J41" i="106" s="1"/>
  <c r="R37" i="18"/>
  <c r="I41" i="106" s="1"/>
  <c r="Q37" i="18"/>
  <c r="H41" i="106" s="1"/>
  <c r="P37" i="18"/>
  <c r="G41" i="106" s="1"/>
  <c r="V37" i="18"/>
  <c r="M41" i="106" s="1"/>
  <c r="N37" i="18"/>
  <c r="L37" i="18"/>
  <c r="C41" i="106" s="1"/>
  <c r="O37" i="18" l="1"/>
  <c r="F41" i="106" s="1"/>
  <c r="E41" i="106"/>
  <c r="G9" i="13"/>
  <c r="B9" i="13"/>
  <c r="D9" i="13" s="1"/>
  <c r="G7" i="13"/>
  <c r="B7" i="13"/>
  <c r="D7" i="13" s="1"/>
  <c r="G6" i="13"/>
  <c r="B6" i="13"/>
  <c r="D6" i="13" s="1"/>
  <c r="C7" i="13" l="1"/>
  <c r="E7" i="13" s="1"/>
  <c r="F7" i="13" s="1"/>
  <c r="M7" i="13" s="1"/>
  <c r="C9" i="13"/>
  <c r="E9" i="13" s="1"/>
  <c r="C6" i="13"/>
  <c r="E6" i="13" s="1"/>
  <c r="H92" i="49"/>
  <c r="B92" i="49"/>
  <c r="D92" i="49" s="1"/>
  <c r="F9" i="13" l="1"/>
  <c r="M9" i="13" s="1"/>
  <c r="V7" i="13"/>
  <c r="N7" i="13"/>
  <c r="O7" i="13" s="1"/>
  <c r="T7" i="13"/>
  <c r="Q7" i="13"/>
  <c r="P7" i="13"/>
  <c r="U7" i="13"/>
  <c r="S7" i="13"/>
  <c r="R7" i="13"/>
  <c r="L7" i="13"/>
  <c r="F6" i="13"/>
  <c r="M6" i="13" s="1"/>
  <c r="C92" i="49"/>
  <c r="E92" i="49" s="1"/>
  <c r="V9" i="13" l="1"/>
  <c r="N9" i="13"/>
  <c r="O9" i="13" s="1"/>
  <c r="U9" i="13"/>
  <c r="T9" i="13"/>
  <c r="S9" i="13"/>
  <c r="R9" i="13"/>
  <c r="Q9" i="13"/>
  <c r="P9" i="13"/>
  <c r="L9" i="13"/>
  <c r="U6" i="13"/>
  <c r="T6" i="13"/>
  <c r="S6" i="13"/>
  <c r="R6" i="13"/>
  <c r="Q6" i="13"/>
  <c r="P6" i="13"/>
  <c r="V6" i="13"/>
  <c r="N6" i="13"/>
  <c r="O6" i="13" s="1"/>
  <c r="L6" i="13"/>
  <c r="F92" i="49"/>
  <c r="M92" i="49" s="1"/>
  <c r="AC92" i="49" l="1"/>
  <c r="AB92" i="49"/>
  <c r="AA92" i="49"/>
  <c r="Z92" i="49"/>
  <c r="Y92" i="49"/>
  <c r="P92" i="49"/>
  <c r="V92" i="49"/>
  <c r="N92" i="49"/>
  <c r="O92" i="49" s="1"/>
  <c r="R92" i="49"/>
  <c r="Q92" i="49"/>
  <c r="U92" i="49"/>
  <c r="T92" i="49"/>
  <c r="W92" i="49" s="1"/>
  <c r="S92" i="49"/>
  <c r="L92" i="49"/>
  <c r="D446" i="106" l="1"/>
  <c r="C446" i="106"/>
  <c r="J6" i="9"/>
  <c r="B6" i="9"/>
  <c r="D6" i="9" s="1"/>
  <c r="M446" i="106" l="1"/>
  <c r="L446" i="106"/>
  <c r="K446" i="106"/>
  <c r="J446" i="106"/>
  <c r="I446" i="106"/>
  <c r="H446" i="106"/>
  <c r="G446" i="106"/>
  <c r="C6" i="9"/>
  <c r="G6" i="9" s="1"/>
  <c r="J40" i="8"/>
  <c r="E40" i="8"/>
  <c r="B40" i="8"/>
  <c r="C40" i="8" s="1"/>
  <c r="G40" i="8" s="1"/>
  <c r="J36" i="8"/>
  <c r="E36" i="8"/>
  <c r="B36" i="8"/>
  <c r="C36" i="8" s="1"/>
  <c r="G36" i="8" s="1"/>
  <c r="J22" i="8"/>
  <c r="E22" i="8"/>
  <c r="B22" i="8"/>
  <c r="C22" i="8" s="1"/>
  <c r="G22" i="8" s="1"/>
  <c r="F446" i="106" l="1"/>
  <c r="E446" i="106"/>
  <c r="D36" i="8"/>
  <c r="H36" i="8" s="1"/>
  <c r="M36" i="8" s="1"/>
  <c r="D22" i="8"/>
  <c r="H22" i="8" s="1"/>
  <c r="L22" i="8" s="1"/>
  <c r="D40" i="8"/>
  <c r="H40" i="8" s="1"/>
  <c r="H6" i="9"/>
  <c r="M6" i="9" s="1"/>
  <c r="M40" i="8" l="1"/>
  <c r="V40" i="8" s="1"/>
  <c r="L40" i="8"/>
  <c r="Q6" i="9"/>
  <c r="R6" i="9"/>
  <c r="P6" i="9"/>
  <c r="S6" i="9"/>
  <c r="T6" i="9"/>
  <c r="U6" i="9"/>
  <c r="N6" i="9"/>
  <c r="O6" i="9" s="1"/>
  <c r="V6" i="9"/>
  <c r="L6" i="9"/>
  <c r="N40" i="8"/>
  <c r="O40" i="8" s="1"/>
  <c r="U40" i="8"/>
  <c r="R40" i="8"/>
  <c r="T40" i="8"/>
  <c r="S40" i="8"/>
  <c r="Q40" i="8"/>
  <c r="P40" i="8"/>
  <c r="V36" i="8"/>
  <c r="N36" i="8"/>
  <c r="O36" i="8" s="1"/>
  <c r="U36" i="8"/>
  <c r="Q36" i="8"/>
  <c r="R36" i="8"/>
  <c r="T36" i="8"/>
  <c r="S36" i="8"/>
  <c r="P36" i="8"/>
  <c r="L36" i="8"/>
  <c r="M22" i="8"/>
  <c r="V22" i="8" l="1"/>
  <c r="N22" i="8"/>
  <c r="O22" i="8" s="1"/>
  <c r="T22" i="8"/>
  <c r="S22" i="8"/>
  <c r="U22" i="8"/>
  <c r="R22" i="8"/>
  <c r="Q22" i="8"/>
  <c r="P22" i="8"/>
  <c r="J2" i="105" l="1"/>
  <c r="E2" i="105"/>
  <c r="B2" i="105"/>
  <c r="D2" i="105" s="1"/>
  <c r="I16" i="104"/>
  <c r="B16" i="104"/>
  <c r="D16" i="104" s="1"/>
  <c r="I18" i="104"/>
  <c r="B18" i="104"/>
  <c r="D18" i="104" s="1"/>
  <c r="I13" i="104"/>
  <c r="B13" i="104"/>
  <c r="D13" i="104" s="1"/>
  <c r="I11" i="104"/>
  <c r="B11" i="104"/>
  <c r="D11" i="104" s="1"/>
  <c r="I10" i="104"/>
  <c r="B10" i="104"/>
  <c r="D10" i="104" s="1"/>
  <c r="I9" i="104"/>
  <c r="B9" i="104"/>
  <c r="D9" i="104" s="1"/>
  <c r="I7" i="104"/>
  <c r="B7" i="104"/>
  <c r="D7" i="104" s="1"/>
  <c r="D453" i="106" l="1"/>
  <c r="D447" i="106"/>
  <c r="C448" i="106"/>
  <c r="D452" i="106"/>
  <c r="D450" i="106"/>
  <c r="C449" i="106"/>
  <c r="C445" i="106"/>
  <c r="C2" i="105"/>
  <c r="G2" i="105" s="1"/>
  <c r="H2" i="105" s="1"/>
  <c r="C16" i="104"/>
  <c r="G16" i="104" s="1"/>
  <c r="C18" i="104"/>
  <c r="G18" i="104" s="1"/>
  <c r="C13" i="104"/>
  <c r="G13" i="104" s="1"/>
  <c r="H13" i="104" s="1"/>
  <c r="L13" i="104" s="1"/>
  <c r="C438" i="106" s="1"/>
  <c r="C11" i="104"/>
  <c r="G11" i="104" s="1"/>
  <c r="H11" i="104" s="1"/>
  <c r="M11" i="104" s="1"/>
  <c r="D436" i="106" s="1"/>
  <c r="C9" i="104"/>
  <c r="G9" i="104" s="1"/>
  <c r="C10" i="104"/>
  <c r="G10" i="104" s="1"/>
  <c r="C7" i="104"/>
  <c r="G7" i="104" s="1"/>
  <c r="M450" i="106" l="1"/>
  <c r="L450" i="106"/>
  <c r="I450" i="106"/>
  <c r="H450" i="106"/>
  <c r="G450" i="106"/>
  <c r="K450" i="106"/>
  <c r="J450" i="106"/>
  <c r="C450" i="106"/>
  <c r="M452" i="106"/>
  <c r="L452" i="106"/>
  <c r="K452" i="106"/>
  <c r="J452" i="106"/>
  <c r="G452" i="106"/>
  <c r="I452" i="106"/>
  <c r="H452" i="106"/>
  <c r="C452" i="106"/>
  <c r="D454" i="106"/>
  <c r="C454" i="106"/>
  <c r="D455" i="106"/>
  <c r="C455" i="106"/>
  <c r="M453" i="106"/>
  <c r="L453" i="106"/>
  <c r="I453" i="106"/>
  <c r="H453" i="106"/>
  <c r="G453" i="106"/>
  <c r="K453" i="106"/>
  <c r="J453" i="106"/>
  <c r="C453" i="106"/>
  <c r="C451" i="106"/>
  <c r="D451" i="106"/>
  <c r="D449" i="106"/>
  <c r="D448" i="106"/>
  <c r="M447" i="106"/>
  <c r="L447" i="106"/>
  <c r="K447" i="106"/>
  <c r="J447" i="106"/>
  <c r="G447" i="106"/>
  <c r="I447" i="106"/>
  <c r="H447" i="106"/>
  <c r="C447" i="106"/>
  <c r="D445" i="106"/>
  <c r="M2" i="105"/>
  <c r="H16" i="104"/>
  <c r="L16" i="104" s="1"/>
  <c r="C441" i="106" s="1"/>
  <c r="H18" i="104"/>
  <c r="M18" i="104" s="1"/>
  <c r="D443" i="106" s="1"/>
  <c r="H9" i="104"/>
  <c r="L9" i="104" s="1"/>
  <c r="C434" i="106" s="1"/>
  <c r="M13" i="104"/>
  <c r="D438" i="106" s="1"/>
  <c r="V11" i="104"/>
  <c r="N436" i="106" s="1"/>
  <c r="N11" i="104"/>
  <c r="R11" i="104"/>
  <c r="I436" i="106" s="1"/>
  <c r="Q11" i="104"/>
  <c r="H436" i="106" s="1"/>
  <c r="P11" i="104"/>
  <c r="G436" i="106" s="1"/>
  <c r="U11" i="104"/>
  <c r="M436" i="106" s="1"/>
  <c r="T11" i="104"/>
  <c r="K436" i="106" s="1"/>
  <c r="S11" i="104"/>
  <c r="J436" i="106" s="1"/>
  <c r="L11" i="104"/>
  <c r="C436" i="106" s="1"/>
  <c r="H10" i="104"/>
  <c r="M10" i="104" s="1"/>
  <c r="D435" i="106" s="1"/>
  <c r="H7" i="104"/>
  <c r="L7" i="104" s="1"/>
  <c r="C432" i="106" s="1"/>
  <c r="I31" i="18"/>
  <c r="B31" i="18"/>
  <c r="D31" i="18" s="1"/>
  <c r="F453" i="106" l="1"/>
  <c r="E453" i="106"/>
  <c r="F447" i="106"/>
  <c r="E447" i="106"/>
  <c r="F450" i="106"/>
  <c r="E450" i="106"/>
  <c r="F452" i="106"/>
  <c r="E452" i="106"/>
  <c r="O11" i="104"/>
  <c r="F436" i="106" s="1"/>
  <c r="E436" i="106"/>
  <c r="M16" i="104"/>
  <c r="M454" i="106"/>
  <c r="L454" i="106"/>
  <c r="K454" i="106"/>
  <c r="J454" i="106"/>
  <c r="I454" i="106"/>
  <c r="H454" i="106"/>
  <c r="G454" i="106"/>
  <c r="M455" i="106"/>
  <c r="L455" i="106"/>
  <c r="G455" i="106"/>
  <c r="K455" i="106"/>
  <c r="I455" i="106"/>
  <c r="H455" i="106"/>
  <c r="J455" i="106"/>
  <c r="M451" i="106"/>
  <c r="L451" i="106"/>
  <c r="I451" i="106"/>
  <c r="H451" i="106"/>
  <c r="G451" i="106"/>
  <c r="K451" i="106"/>
  <c r="J451" i="106"/>
  <c r="M449" i="106"/>
  <c r="L449" i="106"/>
  <c r="I449" i="106"/>
  <c r="H449" i="106"/>
  <c r="G449" i="106"/>
  <c r="K449" i="106"/>
  <c r="J449" i="106"/>
  <c r="M448" i="106"/>
  <c r="K448" i="106"/>
  <c r="J448" i="106"/>
  <c r="L448" i="106"/>
  <c r="I448" i="106"/>
  <c r="H448" i="106"/>
  <c r="G448" i="106"/>
  <c r="M445" i="106"/>
  <c r="L445" i="106"/>
  <c r="I445" i="106"/>
  <c r="H445" i="106"/>
  <c r="G445" i="106"/>
  <c r="K445" i="106"/>
  <c r="J445" i="106"/>
  <c r="L2" i="105"/>
  <c r="T2" i="105"/>
  <c r="S2" i="105"/>
  <c r="R2" i="105"/>
  <c r="V2" i="105"/>
  <c r="Q2" i="105"/>
  <c r="P2" i="105"/>
  <c r="N2" i="105"/>
  <c r="O2" i="105" s="1"/>
  <c r="U2" i="105"/>
  <c r="V18" i="104"/>
  <c r="N443" i="106" s="1"/>
  <c r="N18" i="104"/>
  <c r="R18" i="104"/>
  <c r="I443" i="106" s="1"/>
  <c r="Q18" i="104"/>
  <c r="H443" i="106" s="1"/>
  <c r="P18" i="104"/>
  <c r="G443" i="106" s="1"/>
  <c r="U18" i="104"/>
  <c r="M443" i="106" s="1"/>
  <c r="T18" i="104"/>
  <c r="K443" i="106" s="1"/>
  <c r="S18" i="104"/>
  <c r="J443" i="106" s="1"/>
  <c r="L18" i="104"/>
  <c r="C443" i="106" s="1"/>
  <c r="M9" i="104"/>
  <c r="D434" i="106" s="1"/>
  <c r="V13" i="104"/>
  <c r="N438" i="106" s="1"/>
  <c r="N13" i="104"/>
  <c r="U13" i="104"/>
  <c r="M438" i="106" s="1"/>
  <c r="R13" i="104"/>
  <c r="I438" i="106" s="1"/>
  <c r="Q13" i="104"/>
  <c r="H438" i="106" s="1"/>
  <c r="P13" i="104"/>
  <c r="G438" i="106" s="1"/>
  <c r="T13" i="104"/>
  <c r="K438" i="106" s="1"/>
  <c r="S13" i="104"/>
  <c r="J438" i="106" s="1"/>
  <c r="V10" i="104"/>
  <c r="N435" i="106" s="1"/>
  <c r="N10" i="104"/>
  <c r="R10" i="104"/>
  <c r="I435" i="106" s="1"/>
  <c r="Q10" i="104"/>
  <c r="H435" i="106" s="1"/>
  <c r="P10" i="104"/>
  <c r="G435" i="106" s="1"/>
  <c r="U10" i="104"/>
  <c r="M435" i="106" s="1"/>
  <c r="T10" i="104"/>
  <c r="K435" i="106" s="1"/>
  <c r="S10" i="104"/>
  <c r="J435" i="106" s="1"/>
  <c r="L10" i="104"/>
  <c r="C435" i="106" s="1"/>
  <c r="M7" i="104"/>
  <c r="D432" i="106" s="1"/>
  <c r="C31" i="18"/>
  <c r="G31" i="18" s="1"/>
  <c r="I19" i="104"/>
  <c r="B19" i="104"/>
  <c r="D19" i="104" s="1"/>
  <c r="I20" i="104"/>
  <c r="B20" i="104"/>
  <c r="D20" i="104" s="1"/>
  <c r="I17" i="104"/>
  <c r="B17" i="104"/>
  <c r="D17" i="104" s="1"/>
  <c r="I5" i="104"/>
  <c r="B5" i="104"/>
  <c r="D5" i="104" s="1"/>
  <c r="I4" i="104"/>
  <c r="B4" i="104"/>
  <c r="D4" i="104" s="1"/>
  <c r="I6" i="104"/>
  <c r="B6" i="104"/>
  <c r="D6" i="104" s="1"/>
  <c r="I8" i="104"/>
  <c r="B8" i="104"/>
  <c r="D8" i="104" s="1"/>
  <c r="I12" i="104"/>
  <c r="B12" i="104"/>
  <c r="C12" i="104" s="1"/>
  <c r="G12" i="104" s="1"/>
  <c r="I15" i="104"/>
  <c r="B15" i="104"/>
  <c r="D15" i="104" s="1"/>
  <c r="I14" i="104"/>
  <c r="B14" i="104"/>
  <c r="C14" i="104" s="1"/>
  <c r="G14" i="104" s="1"/>
  <c r="I2" i="104"/>
  <c r="B2" i="104"/>
  <c r="C2" i="104" s="1"/>
  <c r="G2" i="104" s="1"/>
  <c r="F445" i="106" l="1"/>
  <c r="E445" i="106"/>
  <c r="F448" i="106"/>
  <c r="E448" i="106"/>
  <c r="F449" i="106"/>
  <c r="E449" i="106"/>
  <c r="F451" i="106"/>
  <c r="E451" i="106"/>
  <c r="F455" i="106"/>
  <c r="E455" i="106"/>
  <c r="F454" i="106"/>
  <c r="E454" i="106"/>
  <c r="O13" i="104"/>
  <c r="F438" i="106" s="1"/>
  <c r="E438" i="106"/>
  <c r="O18" i="104"/>
  <c r="F443" i="106" s="1"/>
  <c r="E443" i="106"/>
  <c r="O10" i="104"/>
  <c r="F435" i="106" s="1"/>
  <c r="E435" i="106"/>
  <c r="S16" i="104"/>
  <c r="J441" i="106" s="1"/>
  <c r="D441" i="106"/>
  <c r="T16" i="104"/>
  <c r="K441" i="106" s="1"/>
  <c r="U16" i="104"/>
  <c r="M441" i="106" s="1"/>
  <c r="Q16" i="104"/>
  <c r="H441" i="106" s="1"/>
  <c r="P16" i="104"/>
  <c r="G441" i="106" s="1"/>
  <c r="R16" i="104"/>
  <c r="I441" i="106" s="1"/>
  <c r="N16" i="104"/>
  <c r="V16" i="104"/>
  <c r="N441" i="106" s="1"/>
  <c r="D424" i="106"/>
  <c r="V9" i="104"/>
  <c r="N434" i="106" s="1"/>
  <c r="N9" i="104"/>
  <c r="U9" i="104"/>
  <c r="M434" i="106" s="1"/>
  <c r="T9" i="104"/>
  <c r="K434" i="106" s="1"/>
  <c r="S9" i="104"/>
  <c r="J434" i="106" s="1"/>
  <c r="R9" i="104"/>
  <c r="I434" i="106" s="1"/>
  <c r="Q9" i="104"/>
  <c r="H434" i="106" s="1"/>
  <c r="P9" i="104"/>
  <c r="G434" i="106" s="1"/>
  <c r="D12" i="104"/>
  <c r="D14" i="104"/>
  <c r="H14" i="104" s="1"/>
  <c r="M14" i="104" s="1"/>
  <c r="D439" i="106" s="1"/>
  <c r="D423" i="106"/>
  <c r="C5" i="104"/>
  <c r="G5" i="104" s="1"/>
  <c r="H5" i="104" s="1"/>
  <c r="M5" i="104" s="1"/>
  <c r="D430" i="106" s="1"/>
  <c r="V7" i="104"/>
  <c r="N432" i="106" s="1"/>
  <c r="R7" i="104"/>
  <c r="I432" i="106" s="1"/>
  <c r="N7" i="104"/>
  <c r="U7" i="104"/>
  <c r="M432" i="106" s="1"/>
  <c r="T7" i="104"/>
  <c r="K432" i="106" s="1"/>
  <c r="S7" i="104"/>
  <c r="J432" i="106" s="1"/>
  <c r="Q7" i="104"/>
  <c r="H432" i="106" s="1"/>
  <c r="P7" i="104"/>
  <c r="G432" i="106" s="1"/>
  <c r="H31" i="18"/>
  <c r="M31" i="18" s="1"/>
  <c r="D35" i="106" s="1"/>
  <c r="C19" i="104"/>
  <c r="G19" i="104" s="1"/>
  <c r="C20" i="104"/>
  <c r="G20" i="104" s="1"/>
  <c r="C17" i="104"/>
  <c r="G17" i="104" s="1"/>
  <c r="C4" i="104"/>
  <c r="G4" i="104" s="1"/>
  <c r="C6" i="104"/>
  <c r="G6" i="104" s="1"/>
  <c r="C8" i="104"/>
  <c r="G8" i="104" s="1"/>
  <c r="H12" i="104"/>
  <c r="M12" i="104" s="1"/>
  <c r="D437" i="106" s="1"/>
  <c r="C15" i="104"/>
  <c r="G15" i="104" s="1"/>
  <c r="D2" i="104"/>
  <c r="H2" i="104" s="1"/>
  <c r="M2" i="104" s="1"/>
  <c r="H25" i="5"/>
  <c r="B25" i="5"/>
  <c r="D25" i="5" s="1"/>
  <c r="H24" i="5"/>
  <c r="B24" i="5"/>
  <c r="D24" i="5" s="1"/>
  <c r="H23" i="5"/>
  <c r="B23" i="5"/>
  <c r="C23" i="5" s="1"/>
  <c r="F23" i="5" s="1"/>
  <c r="H22" i="5"/>
  <c r="B22" i="5"/>
  <c r="D22" i="5" s="1"/>
  <c r="H21" i="5"/>
  <c r="B21" i="5"/>
  <c r="D21" i="5" s="1"/>
  <c r="H20" i="5"/>
  <c r="B20" i="5"/>
  <c r="D20" i="5" s="1"/>
  <c r="H19" i="5"/>
  <c r="B19" i="5"/>
  <c r="C19" i="5" s="1"/>
  <c r="F19" i="5" s="1"/>
  <c r="H18" i="5"/>
  <c r="B18" i="5"/>
  <c r="D18" i="5" s="1"/>
  <c r="H17" i="5"/>
  <c r="B17" i="5"/>
  <c r="D17" i="5" s="1"/>
  <c r="H16" i="5"/>
  <c r="B16" i="5"/>
  <c r="D16" i="5" s="1"/>
  <c r="H15" i="5"/>
  <c r="B15" i="5"/>
  <c r="D15" i="5" s="1"/>
  <c r="H14" i="5"/>
  <c r="B14" i="5"/>
  <c r="D14" i="5" s="1"/>
  <c r="H13" i="5"/>
  <c r="B13" i="5"/>
  <c r="D13" i="5" s="1"/>
  <c r="H12" i="5"/>
  <c r="B12" i="5"/>
  <c r="D12" i="5" s="1"/>
  <c r="H11" i="5"/>
  <c r="B11" i="5"/>
  <c r="C11" i="5" s="1"/>
  <c r="F11" i="5" s="1"/>
  <c r="H10" i="5"/>
  <c r="B10" i="5"/>
  <c r="D10" i="5" s="1"/>
  <c r="H9" i="5"/>
  <c r="B9" i="5"/>
  <c r="D9" i="5" s="1"/>
  <c r="H8" i="5"/>
  <c r="B8" i="5"/>
  <c r="D8" i="5" s="1"/>
  <c r="H7" i="5"/>
  <c r="B7" i="5"/>
  <c r="D7" i="5" s="1"/>
  <c r="H6" i="5"/>
  <c r="B6" i="5"/>
  <c r="C6" i="5" s="1"/>
  <c r="F6" i="5" s="1"/>
  <c r="H5" i="5"/>
  <c r="B5" i="5"/>
  <c r="C5" i="5" s="1"/>
  <c r="F5" i="5" s="1"/>
  <c r="O16" i="104" l="1"/>
  <c r="F441" i="106" s="1"/>
  <c r="E441" i="106"/>
  <c r="O9" i="104"/>
  <c r="F434" i="106" s="1"/>
  <c r="E434" i="106"/>
  <c r="O7" i="104"/>
  <c r="F432" i="106" s="1"/>
  <c r="E432" i="106"/>
  <c r="C12" i="5"/>
  <c r="F12" i="5" s="1"/>
  <c r="C24" i="5"/>
  <c r="F24" i="5" s="1"/>
  <c r="C7" i="5"/>
  <c r="F7" i="5" s="1"/>
  <c r="C413" i="106"/>
  <c r="L5" i="104"/>
  <c r="C430" i="106" s="1"/>
  <c r="L14" i="104"/>
  <c r="C439" i="106" s="1"/>
  <c r="V31" i="18"/>
  <c r="M35" i="106" s="1"/>
  <c r="U31" i="18"/>
  <c r="L35" i="106" s="1"/>
  <c r="T31" i="18"/>
  <c r="K35" i="106" s="1"/>
  <c r="S31" i="18"/>
  <c r="J35" i="106" s="1"/>
  <c r="R31" i="18"/>
  <c r="I35" i="106" s="1"/>
  <c r="Q31" i="18"/>
  <c r="H35" i="106" s="1"/>
  <c r="P31" i="18"/>
  <c r="G35" i="106" s="1"/>
  <c r="N31" i="18"/>
  <c r="L31" i="18"/>
  <c r="C35" i="106" s="1"/>
  <c r="H19" i="104"/>
  <c r="M19" i="104" s="1"/>
  <c r="D426" i="106" s="1"/>
  <c r="N424" i="106"/>
  <c r="G424" i="106"/>
  <c r="M424" i="106"/>
  <c r="I424" i="106"/>
  <c r="H424" i="106"/>
  <c r="K424" i="106"/>
  <c r="J424" i="106"/>
  <c r="C424" i="106"/>
  <c r="C422" i="106"/>
  <c r="N423" i="106"/>
  <c r="M423" i="106"/>
  <c r="I423" i="106"/>
  <c r="K423" i="106"/>
  <c r="J423" i="106"/>
  <c r="H423" i="106"/>
  <c r="G423" i="106"/>
  <c r="C423" i="106"/>
  <c r="D425" i="106"/>
  <c r="H20" i="104"/>
  <c r="M20" i="104" s="1"/>
  <c r="D427" i="106" s="1"/>
  <c r="H17" i="104"/>
  <c r="M17" i="104" s="1"/>
  <c r="D442" i="106" s="1"/>
  <c r="V5" i="104"/>
  <c r="N430" i="106" s="1"/>
  <c r="N5" i="104"/>
  <c r="U5" i="104"/>
  <c r="M430" i="106" s="1"/>
  <c r="R5" i="104"/>
  <c r="I430" i="106" s="1"/>
  <c r="Q5" i="104"/>
  <c r="H430" i="106" s="1"/>
  <c r="P5" i="104"/>
  <c r="G430" i="106" s="1"/>
  <c r="T5" i="104"/>
  <c r="K430" i="106" s="1"/>
  <c r="S5" i="104"/>
  <c r="J430" i="106" s="1"/>
  <c r="H4" i="104"/>
  <c r="L4" i="104" s="1"/>
  <c r="C429" i="106" s="1"/>
  <c r="H6" i="104"/>
  <c r="L6" i="104" s="1"/>
  <c r="C431" i="106" s="1"/>
  <c r="H8" i="104"/>
  <c r="M8" i="104" s="1"/>
  <c r="D433" i="106" s="1"/>
  <c r="V12" i="104"/>
  <c r="N437" i="106" s="1"/>
  <c r="N12" i="104"/>
  <c r="U12" i="104"/>
  <c r="M437" i="106" s="1"/>
  <c r="T12" i="104"/>
  <c r="K437" i="106" s="1"/>
  <c r="S12" i="104"/>
  <c r="J437" i="106" s="1"/>
  <c r="R12" i="104"/>
  <c r="I437" i="106" s="1"/>
  <c r="Q12" i="104"/>
  <c r="H437" i="106" s="1"/>
  <c r="P12" i="104"/>
  <c r="G437" i="106" s="1"/>
  <c r="L12" i="104"/>
  <c r="C437" i="106" s="1"/>
  <c r="H15" i="104"/>
  <c r="L15" i="104" s="1"/>
  <c r="C440" i="106" s="1"/>
  <c r="V14" i="104"/>
  <c r="N439" i="106" s="1"/>
  <c r="N14" i="104"/>
  <c r="U14" i="104"/>
  <c r="M439" i="106" s="1"/>
  <c r="T14" i="104"/>
  <c r="K439" i="106" s="1"/>
  <c r="S14" i="104"/>
  <c r="J439" i="106" s="1"/>
  <c r="R14" i="104"/>
  <c r="I439" i="106" s="1"/>
  <c r="Q14" i="104"/>
  <c r="H439" i="106" s="1"/>
  <c r="P14" i="104"/>
  <c r="G439" i="106" s="1"/>
  <c r="C420" i="106"/>
  <c r="D418" i="106"/>
  <c r="V2" i="104"/>
  <c r="N2" i="104"/>
  <c r="O2" i="104" s="1"/>
  <c r="U2" i="104"/>
  <c r="R2" i="104"/>
  <c r="Q2" i="104"/>
  <c r="P2" i="104"/>
  <c r="T2" i="104"/>
  <c r="S2" i="104"/>
  <c r="L2" i="104"/>
  <c r="D416" i="106"/>
  <c r="D5" i="5"/>
  <c r="G5" i="5" s="1"/>
  <c r="M5" i="5" s="1"/>
  <c r="D562" i="106" s="1"/>
  <c r="C8" i="5"/>
  <c r="F8" i="5" s="1"/>
  <c r="D11" i="5"/>
  <c r="D23" i="5"/>
  <c r="G23" i="5" s="1"/>
  <c r="M23" i="5" s="1"/>
  <c r="D580" i="106" s="1"/>
  <c r="D6" i="5"/>
  <c r="G6" i="5" s="1"/>
  <c r="L6" i="5" s="1"/>
  <c r="C563" i="106" s="1"/>
  <c r="C14" i="5"/>
  <c r="F14" i="5" s="1"/>
  <c r="G14" i="5" s="1"/>
  <c r="M14" i="5" s="1"/>
  <c r="D571" i="106" s="1"/>
  <c r="D19" i="5"/>
  <c r="G19" i="5" s="1"/>
  <c r="M19" i="5" s="1"/>
  <c r="D576" i="106" s="1"/>
  <c r="C25" i="5"/>
  <c r="F25" i="5" s="1"/>
  <c r="G24" i="5"/>
  <c r="M24" i="5" s="1"/>
  <c r="D581" i="106" s="1"/>
  <c r="C22" i="5"/>
  <c r="F22" i="5" s="1"/>
  <c r="C21" i="5"/>
  <c r="F21" i="5" s="1"/>
  <c r="C20" i="5"/>
  <c r="F20" i="5" s="1"/>
  <c r="C18" i="5"/>
  <c r="F18" i="5" s="1"/>
  <c r="C17" i="5"/>
  <c r="F17" i="5" s="1"/>
  <c r="C16" i="5"/>
  <c r="F16" i="5" s="1"/>
  <c r="C15" i="5"/>
  <c r="F15" i="5" s="1"/>
  <c r="C13" i="5"/>
  <c r="F13" i="5" s="1"/>
  <c r="G12" i="5"/>
  <c r="M12" i="5" s="1"/>
  <c r="D569" i="106" s="1"/>
  <c r="G11" i="5"/>
  <c r="M11" i="5" s="1"/>
  <c r="D568" i="106" s="1"/>
  <c r="C10" i="5"/>
  <c r="F10" i="5" s="1"/>
  <c r="C9" i="5"/>
  <c r="F9" i="5" s="1"/>
  <c r="G8" i="5"/>
  <c r="L8" i="5" s="1"/>
  <c r="C565" i="106" s="1"/>
  <c r="G7" i="5"/>
  <c r="M7" i="5" s="1"/>
  <c r="D564" i="106" s="1"/>
  <c r="I15" i="24"/>
  <c r="B15" i="24"/>
  <c r="D15" i="24" s="1"/>
  <c r="O5" i="104" l="1"/>
  <c r="F430" i="106" s="1"/>
  <c r="E430" i="106"/>
  <c r="F424" i="106"/>
  <c r="E424" i="106"/>
  <c r="O14" i="104"/>
  <c r="F439" i="106" s="1"/>
  <c r="E439" i="106"/>
  <c r="F423" i="106"/>
  <c r="E423" i="106"/>
  <c r="O12" i="104"/>
  <c r="F437" i="106" s="1"/>
  <c r="E437" i="106"/>
  <c r="O31" i="18"/>
  <c r="F35" i="106" s="1"/>
  <c r="E35" i="106"/>
  <c r="L5" i="5"/>
  <c r="C562" i="106" s="1"/>
  <c r="M8" i="5"/>
  <c r="D565" i="106" s="1"/>
  <c r="D413" i="106"/>
  <c r="L8" i="104"/>
  <c r="C433" i="106" s="1"/>
  <c r="M15" i="104"/>
  <c r="M4" i="104"/>
  <c r="V4" i="104" s="1"/>
  <c r="N429" i="106" s="1"/>
  <c r="C425" i="106"/>
  <c r="L19" i="104"/>
  <c r="C426" i="106" s="1"/>
  <c r="M6" i="104"/>
  <c r="V19" i="104"/>
  <c r="N426" i="106" s="1"/>
  <c r="N19" i="104"/>
  <c r="U19" i="104"/>
  <c r="M426" i="106" s="1"/>
  <c r="T19" i="104"/>
  <c r="K426" i="106" s="1"/>
  <c r="S19" i="104"/>
  <c r="J426" i="106" s="1"/>
  <c r="R19" i="104"/>
  <c r="I426" i="106" s="1"/>
  <c r="Q19" i="104"/>
  <c r="H426" i="106" s="1"/>
  <c r="P19" i="104"/>
  <c r="G426" i="106" s="1"/>
  <c r="N425" i="106"/>
  <c r="I425" i="106"/>
  <c r="H425" i="106"/>
  <c r="G425" i="106"/>
  <c r="M425" i="106"/>
  <c r="K425" i="106"/>
  <c r="J425" i="106"/>
  <c r="V20" i="104"/>
  <c r="N427" i="106" s="1"/>
  <c r="N20" i="104"/>
  <c r="U20" i="104"/>
  <c r="M427" i="106" s="1"/>
  <c r="T20" i="104"/>
  <c r="K427" i="106" s="1"/>
  <c r="S20" i="104"/>
  <c r="J427" i="106" s="1"/>
  <c r="R20" i="104"/>
  <c r="I427" i="106" s="1"/>
  <c r="Q20" i="104"/>
  <c r="H427" i="106" s="1"/>
  <c r="P20" i="104"/>
  <c r="G427" i="106" s="1"/>
  <c r="L20" i="104"/>
  <c r="C427" i="106" s="1"/>
  <c r="V17" i="104"/>
  <c r="N442" i="106" s="1"/>
  <c r="N17" i="104"/>
  <c r="U17" i="104"/>
  <c r="M442" i="106" s="1"/>
  <c r="S17" i="104"/>
  <c r="J442" i="106" s="1"/>
  <c r="T17" i="104"/>
  <c r="K442" i="106" s="1"/>
  <c r="R17" i="104"/>
  <c r="I442" i="106" s="1"/>
  <c r="Q17" i="104"/>
  <c r="H442" i="106" s="1"/>
  <c r="P17" i="104"/>
  <c r="G442" i="106" s="1"/>
  <c r="L17" i="104"/>
  <c r="C442" i="106" s="1"/>
  <c r="T4" i="104"/>
  <c r="K429" i="106" s="1"/>
  <c r="V8" i="104"/>
  <c r="N433" i="106" s="1"/>
  <c r="R8" i="104"/>
  <c r="I433" i="106" s="1"/>
  <c r="Q8" i="104"/>
  <c r="H433" i="106" s="1"/>
  <c r="P8" i="104"/>
  <c r="G433" i="106" s="1"/>
  <c r="N8" i="104"/>
  <c r="U8" i="104"/>
  <c r="M433" i="106" s="1"/>
  <c r="T8" i="104"/>
  <c r="K433" i="106" s="1"/>
  <c r="S8" i="104"/>
  <c r="J433" i="106" s="1"/>
  <c r="J420" i="106"/>
  <c r="H420" i="106"/>
  <c r="C418" i="106"/>
  <c r="N418" i="106"/>
  <c r="M418" i="106"/>
  <c r="K418" i="106"/>
  <c r="J418" i="106"/>
  <c r="I418" i="106"/>
  <c r="H418" i="106"/>
  <c r="G418" i="106"/>
  <c r="K416" i="106"/>
  <c r="J416" i="106"/>
  <c r="I416" i="106"/>
  <c r="H416" i="106"/>
  <c r="G416" i="106"/>
  <c r="N416" i="106"/>
  <c r="M416" i="106"/>
  <c r="C416" i="106"/>
  <c r="C15" i="24"/>
  <c r="G15" i="24" s="1"/>
  <c r="L7" i="5"/>
  <c r="C564" i="106" s="1"/>
  <c r="G25" i="5"/>
  <c r="M25" i="5" s="1"/>
  <c r="D582" i="106" s="1"/>
  <c r="V24" i="5"/>
  <c r="M581" i="106" s="1"/>
  <c r="N24" i="5"/>
  <c r="U24" i="5"/>
  <c r="L581" i="106" s="1"/>
  <c r="T24" i="5"/>
  <c r="S24" i="5"/>
  <c r="J581" i="106" s="1"/>
  <c r="R24" i="5"/>
  <c r="I581" i="106" s="1"/>
  <c r="Q24" i="5"/>
  <c r="H581" i="106" s="1"/>
  <c r="P24" i="5"/>
  <c r="G581" i="106" s="1"/>
  <c r="L24" i="5"/>
  <c r="C581" i="106" s="1"/>
  <c r="V23" i="5"/>
  <c r="M580" i="106" s="1"/>
  <c r="N23" i="5"/>
  <c r="Q23" i="5"/>
  <c r="H580" i="106" s="1"/>
  <c r="U23" i="5"/>
  <c r="L580" i="106" s="1"/>
  <c r="T23" i="5"/>
  <c r="S23" i="5"/>
  <c r="J580" i="106" s="1"/>
  <c r="R23" i="5"/>
  <c r="I580" i="106" s="1"/>
  <c r="P23" i="5"/>
  <c r="G580" i="106" s="1"/>
  <c r="L23" i="5"/>
  <c r="C580" i="106" s="1"/>
  <c r="G22" i="5"/>
  <c r="M22" i="5" s="1"/>
  <c r="D579" i="106" s="1"/>
  <c r="G21" i="5"/>
  <c r="M21" i="5" s="1"/>
  <c r="D578" i="106" s="1"/>
  <c r="G20" i="5"/>
  <c r="L20" i="5" s="1"/>
  <c r="C577" i="106" s="1"/>
  <c r="V19" i="5"/>
  <c r="M576" i="106" s="1"/>
  <c r="N19" i="5"/>
  <c r="R19" i="5"/>
  <c r="I576" i="106" s="1"/>
  <c r="U19" i="5"/>
  <c r="L576" i="106" s="1"/>
  <c r="T19" i="5"/>
  <c r="S19" i="5"/>
  <c r="J576" i="106" s="1"/>
  <c r="Q19" i="5"/>
  <c r="H576" i="106" s="1"/>
  <c r="P19" i="5"/>
  <c r="G576" i="106" s="1"/>
  <c r="L19" i="5"/>
  <c r="C576" i="106" s="1"/>
  <c r="G18" i="5"/>
  <c r="M18" i="5" s="1"/>
  <c r="D575" i="106" s="1"/>
  <c r="G17" i="5"/>
  <c r="L17" i="5" s="1"/>
  <c r="C574" i="106" s="1"/>
  <c r="G16" i="5"/>
  <c r="M16" i="5" s="1"/>
  <c r="D573" i="106" s="1"/>
  <c r="G15" i="5"/>
  <c r="M15" i="5" s="1"/>
  <c r="D572" i="106" s="1"/>
  <c r="V14" i="5"/>
  <c r="M571" i="106" s="1"/>
  <c r="N14" i="5"/>
  <c r="U14" i="5"/>
  <c r="L571" i="106" s="1"/>
  <c r="T14" i="5"/>
  <c r="S14" i="5"/>
  <c r="J571" i="106" s="1"/>
  <c r="R14" i="5"/>
  <c r="I571" i="106" s="1"/>
  <c r="Q14" i="5"/>
  <c r="H571" i="106" s="1"/>
  <c r="P14" i="5"/>
  <c r="G571" i="106" s="1"/>
  <c r="L14" i="5"/>
  <c r="C571" i="106" s="1"/>
  <c r="G13" i="5"/>
  <c r="M13" i="5" s="1"/>
  <c r="D570" i="106" s="1"/>
  <c r="V12" i="5"/>
  <c r="M569" i="106" s="1"/>
  <c r="N12" i="5"/>
  <c r="U12" i="5"/>
  <c r="L569" i="106" s="1"/>
  <c r="R12" i="5"/>
  <c r="I569" i="106" s="1"/>
  <c r="Q12" i="5"/>
  <c r="H569" i="106" s="1"/>
  <c r="P12" i="5"/>
  <c r="G569" i="106" s="1"/>
  <c r="T12" i="5"/>
  <c r="S12" i="5"/>
  <c r="J569" i="106" s="1"/>
  <c r="L12" i="5"/>
  <c r="C569" i="106" s="1"/>
  <c r="V11" i="5"/>
  <c r="M568" i="106" s="1"/>
  <c r="N11" i="5"/>
  <c r="T11" i="5"/>
  <c r="S11" i="5"/>
  <c r="J568" i="106" s="1"/>
  <c r="R11" i="5"/>
  <c r="I568" i="106" s="1"/>
  <c r="Q11" i="5"/>
  <c r="H568" i="106" s="1"/>
  <c r="P11" i="5"/>
  <c r="G568" i="106" s="1"/>
  <c r="U11" i="5"/>
  <c r="L568" i="106" s="1"/>
  <c r="L11" i="5"/>
  <c r="C568" i="106" s="1"/>
  <c r="G10" i="5"/>
  <c r="M10" i="5" s="1"/>
  <c r="D567" i="106" s="1"/>
  <c r="G9" i="5"/>
  <c r="M9" i="5" s="1"/>
  <c r="D566" i="106" s="1"/>
  <c r="Q8" i="5"/>
  <c r="H565" i="106" s="1"/>
  <c r="V7" i="5"/>
  <c r="M564" i="106" s="1"/>
  <c r="N7" i="5"/>
  <c r="Q7" i="5"/>
  <c r="H564" i="106" s="1"/>
  <c r="U7" i="5"/>
  <c r="L564" i="106" s="1"/>
  <c r="T7" i="5"/>
  <c r="K564" i="106" s="1"/>
  <c r="S7" i="5"/>
  <c r="J564" i="106" s="1"/>
  <c r="R7" i="5"/>
  <c r="I564" i="106" s="1"/>
  <c r="P7" i="5"/>
  <c r="G564" i="106" s="1"/>
  <c r="M6" i="5"/>
  <c r="D563" i="106" s="1"/>
  <c r="T5" i="5"/>
  <c r="K562" i="106" s="1"/>
  <c r="S5" i="5"/>
  <c r="J562" i="106" s="1"/>
  <c r="V5" i="5"/>
  <c r="M562" i="106" s="1"/>
  <c r="N5" i="5"/>
  <c r="U5" i="5"/>
  <c r="L562" i="106" s="1"/>
  <c r="R5" i="5"/>
  <c r="I562" i="106" s="1"/>
  <c r="Q5" i="5"/>
  <c r="H562" i="106" s="1"/>
  <c r="P5" i="5"/>
  <c r="G562" i="106" s="1"/>
  <c r="H15" i="24"/>
  <c r="M15" i="24" s="1"/>
  <c r="V6" i="104" l="1"/>
  <c r="N431" i="106" s="1"/>
  <c r="D431" i="106"/>
  <c r="F418" i="106"/>
  <c r="E418" i="106"/>
  <c r="D420" i="106"/>
  <c r="F416" i="106"/>
  <c r="E416" i="106"/>
  <c r="O8" i="104"/>
  <c r="F433" i="106" s="1"/>
  <c r="E433" i="106"/>
  <c r="N422" i="106"/>
  <c r="D422" i="106"/>
  <c r="O17" i="104"/>
  <c r="F442" i="106" s="1"/>
  <c r="E442" i="106"/>
  <c r="U4" i="104"/>
  <c r="M429" i="106" s="1"/>
  <c r="D429" i="106"/>
  <c r="O20" i="104"/>
  <c r="F427" i="106" s="1"/>
  <c r="E427" i="106"/>
  <c r="F425" i="106"/>
  <c r="E425" i="106"/>
  <c r="O19" i="104"/>
  <c r="F426" i="106" s="1"/>
  <c r="E426" i="106"/>
  <c r="P15" i="104"/>
  <c r="G440" i="106" s="1"/>
  <c r="D440" i="106"/>
  <c r="S8" i="5"/>
  <c r="J565" i="106" s="1"/>
  <c r="T8" i="5"/>
  <c r="K565" i="106" s="1"/>
  <c r="U8" i="5"/>
  <c r="L565" i="106" s="1"/>
  <c r="O19" i="5"/>
  <c r="F576" i="106" s="1"/>
  <c r="E576" i="106"/>
  <c r="R8" i="5"/>
  <c r="I565" i="106" s="1"/>
  <c r="O12" i="5"/>
  <c r="F569" i="106" s="1"/>
  <c r="E569" i="106"/>
  <c r="N571" i="106"/>
  <c r="K571" i="106"/>
  <c r="N580" i="106"/>
  <c r="K580" i="106"/>
  <c r="O11" i="5"/>
  <c r="F568" i="106" s="1"/>
  <c r="E568" i="106"/>
  <c r="O5" i="5"/>
  <c r="F562" i="106" s="1"/>
  <c r="E562" i="106"/>
  <c r="N581" i="106"/>
  <c r="K581" i="106"/>
  <c r="P8" i="5"/>
  <c r="G565" i="106" s="1"/>
  <c r="N569" i="106"/>
  <c r="K569" i="106"/>
  <c r="O23" i="5"/>
  <c r="F580" i="106" s="1"/>
  <c r="E580" i="106"/>
  <c r="N8" i="5"/>
  <c r="N576" i="106"/>
  <c r="K576" i="106"/>
  <c r="O24" i="5"/>
  <c r="F581" i="106" s="1"/>
  <c r="E581" i="106"/>
  <c r="N568" i="106"/>
  <c r="K568" i="106"/>
  <c r="O14" i="5"/>
  <c r="F571" i="106" s="1"/>
  <c r="E571" i="106"/>
  <c r="O7" i="5"/>
  <c r="F564" i="106" s="1"/>
  <c r="E564" i="106"/>
  <c r="V8" i="5"/>
  <c r="M565" i="106" s="1"/>
  <c r="L22" i="5"/>
  <c r="C579" i="106" s="1"/>
  <c r="L10" i="5"/>
  <c r="C567" i="106" s="1"/>
  <c r="Q15" i="104"/>
  <c r="H440" i="106" s="1"/>
  <c r="N4" i="104"/>
  <c r="P4" i="104"/>
  <c r="G429" i="106" s="1"/>
  <c r="S15" i="104"/>
  <c r="J440" i="106" s="1"/>
  <c r="T15" i="104"/>
  <c r="K440" i="106" s="1"/>
  <c r="U15" i="104"/>
  <c r="M440" i="106" s="1"/>
  <c r="R15" i="104"/>
  <c r="I440" i="106" s="1"/>
  <c r="I422" i="106"/>
  <c r="N15" i="104"/>
  <c r="H413" i="106"/>
  <c r="M413" i="106"/>
  <c r="I413" i="106"/>
  <c r="G413" i="106"/>
  <c r="N413" i="106"/>
  <c r="K413" i="106"/>
  <c r="J413" i="106"/>
  <c r="M420" i="106"/>
  <c r="N420" i="106"/>
  <c r="V15" i="104"/>
  <c r="N440" i="106" s="1"/>
  <c r="G422" i="106"/>
  <c r="I420" i="106"/>
  <c r="Q4" i="104"/>
  <c r="H429" i="106" s="1"/>
  <c r="H422" i="106"/>
  <c r="G420" i="106"/>
  <c r="R4" i="104"/>
  <c r="I429" i="106" s="1"/>
  <c r="J422" i="106"/>
  <c r="K422" i="106"/>
  <c r="M422" i="106"/>
  <c r="P6" i="104"/>
  <c r="G431" i="106" s="1"/>
  <c r="N6" i="104"/>
  <c r="Q6" i="104"/>
  <c r="H431" i="106" s="1"/>
  <c r="R6" i="104"/>
  <c r="I431" i="106" s="1"/>
  <c r="K420" i="106"/>
  <c r="S6" i="104"/>
  <c r="J431" i="106" s="1"/>
  <c r="S4" i="104"/>
  <c r="J429" i="106" s="1"/>
  <c r="T6" i="104"/>
  <c r="K431" i="106" s="1"/>
  <c r="U6" i="104"/>
  <c r="M431" i="106" s="1"/>
  <c r="M17" i="5"/>
  <c r="V25" i="5"/>
  <c r="M582" i="106" s="1"/>
  <c r="N25" i="5"/>
  <c r="U25" i="5"/>
  <c r="L582" i="106" s="1"/>
  <c r="T25" i="5"/>
  <c r="S25" i="5"/>
  <c r="J582" i="106" s="1"/>
  <c r="R25" i="5"/>
  <c r="I582" i="106" s="1"/>
  <c r="Q25" i="5"/>
  <c r="H582" i="106" s="1"/>
  <c r="P25" i="5"/>
  <c r="G582" i="106" s="1"/>
  <c r="L25" i="5"/>
  <c r="C582" i="106" s="1"/>
  <c r="V22" i="5"/>
  <c r="M579" i="106" s="1"/>
  <c r="N22" i="5"/>
  <c r="U22" i="5"/>
  <c r="L579" i="106" s="1"/>
  <c r="T22" i="5"/>
  <c r="S22" i="5"/>
  <c r="J579" i="106" s="1"/>
  <c r="P22" i="5"/>
  <c r="G579" i="106" s="1"/>
  <c r="R22" i="5"/>
  <c r="I579" i="106" s="1"/>
  <c r="Q22" i="5"/>
  <c r="H579" i="106" s="1"/>
  <c r="V21" i="5"/>
  <c r="M578" i="106" s="1"/>
  <c r="N21" i="5"/>
  <c r="U21" i="5"/>
  <c r="L578" i="106" s="1"/>
  <c r="S21" i="5"/>
  <c r="J578" i="106" s="1"/>
  <c r="R21" i="5"/>
  <c r="I578" i="106" s="1"/>
  <c r="Q21" i="5"/>
  <c r="H578" i="106" s="1"/>
  <c r="P21" i="5"/>
  <c r="G578" i="106" s="1"/>
  <c r="T21" i="5"/>
  <c r="L21" i="5"/>
  <c r="C578" i="106" s="1"/>
  <c r="M20" i="5"/>
  <c r="D577" i="106" s="1"/>
  <c r="V18" i="5"/>
  <c r="M575" i="106" s="1"/>
  <c r="N18" i="5"/>
  <c r="U18" i="5"/>
  <c r="L575" i="106" s="1"/>
  <c r="S18" i="5"/>
  <c r="J575" i="106" s="1"/>
  <c r="T18" i="5"/>
  <c r="R18" i="5"/>
  <c r="I575" i="106" s="1"/>
  <c r="Q18" i="5"/>
  <c r="H575" i="106" s="1"/>
  <c r="P18" i="5"/>
  <c r="G575" i="106" s="1"/>
  <c r="L18" i="5"/>
  <c r="C575" i="106" s="1"/>
  <c r="V16" i="5"/>
  <c r="M573" i="106" s="1"/>
  <c r="N16" i="5"/>
  <c r="U16" i="5"/>
  <c r="L573" i="106" s="1"/>
  <c r="R16" i="5"/>
  <c r="I573" i="106" s="1"/>
  <c r="Q16" i="5"/>
  <c r="H573" i="106" s="1"/>
  <c r="P16" i="5"/>
  <c r="G573" i="106" s="1"/>
  <c r="T16" i="5"/>
  <c r="S16" i="5"/>
  <c r="J573" i="106" s="1"/>
  <c r="L16" i="5"/>
  <c r="C573" i="106" s="1"/>
  <c r="U15" i="5"/>
  <c r="L572" i="106" s="1"/>
  <c r="T15" i="5"/>
  <c r="S15" i="5"/>
  <c r="J572" i="106" s="1"/>
  <c r="R15" i="5"/>
  <c r="I572" i="106" s="1"/>
  <c r="Q15" i="5"/>
  <c r="H572" i="106" s="1"/>
  <c r="P15" i="5"/>
  <c r="G572" i="106" s="1"/>
  <c r="V15" i="5"/>
  <c r="M572" i="106" s="1"/>
  <c r="N15" i="5"/>
  <c r="L15" i="5"/>
  <c r="C572" i="106" s="1"/>
  <c r="U13" i="5"/>
  <c r="L570" i="106" s="1"/>
  <c r="S13" i="5"/>
  <c r="J570" i="106" s="1"/>
  <c r="R13" i="5"/>
  <c r="I570" i="106" s="1"/>
  <c r="Q13" i="5"/>
  <c r="H570" i="106" s="1"/>
  <c r="P13" i="5"/>
  <c r="G570" i="106" s="1"/>
  <c r="T13" i="5"/>
  <c r="V13" i="5"/>
  <c r="M570" i="106" s="1"/>
  <c r="N13" i="5"/>
  <c r="L13" i="5"/>
  <c r="C570" i="106" s="1"/>
  <c r="V10" i="5"/>
  <c r="M567" i="106" s="1"/>
  <c r="N10" i="5"/>
  <c r="U10" i="5"/>
  <c r="L567" i="106" s="1"/>
  <c r="R10" i="5"/>
  <c r="I567" i="106" s="1"/>
  <c r="Q10" i="5"/>
  <c r="H567" i="106" s="1"/>
  <c r="P10" i="5"/>
  <c r="G567" i="106" s="1"/>
  <c r="T10" i="5"/>
  <c r="S10" i="5"/>
  <c r="J567" i="106" s="1"/>
  <c r="V9" i="5"/>
  <c r="M566" i="106" s="1"/>
  <c r="N9" i="5"/>
  <c r="U9" i="5"/>
  <c r="L566" i="106" s="1"/>
  <c r="T9" i="5"/>
  <c r="K566" i="106" s="1"/>
  <c r="S9" i="5"/>
  <c r="J566" i="106" s="1"/>
  <c r="R9" i="5"/>
  <c r="I566" i="106" s="1"/>
  <c r="Q9" i="5"/>
  <c r="H566" i="106" s="1"/>
  <c r="P9" i="5"/>
  <c r="G566" i="106" s="1"/>
  <c r="L9" i="5"/>
  <c r="C566" i="106" s="1"/>
  <c r="V6" i="5"/>
  <c r="M563" i="106" s="1"/>
  <c r="N6" i="5"/>
  <c r="R6" i="5"/>
  <c r="I563" i="106" s="1"/>
  <c r="Q6" i="5"/>
  <c r="H563" i="106" s="1"/>
  <c r="P6" i="5"/>
  <c r="G563" i="106" s="1"/>
  <c r="U6" i="5"/>
  <c r="L563" i="106" s="1"/>
  <c r="T6" i="5"/>
  <c r="K563" i="106" s="1"/>
  <c r="S6" i="5"/>
  <c r="J563" i="106" s="1"/>
  <c r="V15" i="24"/>
  <c r="N15" i="24"/>
  <c r="O15" i="24" s="1"/>
  <c r="U15" i="24"/>
  <c r="T15" i="24"/>
  <c r="S15" i="24"/>
  <c r="R15" i="24"/>
  <c r="Q15" i="24"/>
  <c r="P15" i="24"/>
  <c r="L15" i="24"/>
  <c r="O4" i="104" l="1"/>
  <c r="F429" i="106" s="1"/>
  <c r="E429" i="106"/>
  <c r="O15" i="104"/>
  <c r="F440" i="106" s="1"/>
  <c r="E440" i="106"/>
  <c r="F413" i="106"/>
  <c r="E413" i="106"/>
  <c r="O6" i="104"/>
  <c r="F431" i="106" s="1"/>
  <c r="E431" i="106"/>
  <c r="F420" i="106"/>
  <c r="E420" i="106"/>
  <c r="F422" i="106"/>
  <c r="E422" i="106"/>
  <c r="N579" i="106"/>
  <c r="K579" i="106"/>
  <c r="N582" i="106"/>
  <c r="K582" i="106"/>
  <c r="O13" i="5"/>
  <c r="F570" i="106" s="1"/>
  <c r="E570" i="106"/>
  <c r="O15" i="5"/>
  <c r="F572" i="106" s="1"/>
  <c r="E572" i="106"/>
  <c r="O18" i="5"/>
  <c r="F575" i="106" s="1"/>
  <c r="E575" i="106"/>
  <c r="N570" i="106"/>
  <c r="K570" i="106"/>
  <c r="N573" i="106"/>
  <c r="K573" i="106"/>
  <c r="O21" i="5"/>
  <c r="F578" i="106" s="1"/>
  <c r="E578" i="106"/>
  <c r="O22" i="5"/>
  <c r="F579" i="106" s="1"/>
  <c r="E579" i="106"/>
  <c r="O8" i="5"/>
  <c r="F565" i="106" s="1"/>
  <c r="E565" i="106"/>
  <c r="N567" i="106"/>
  <c r="K567" i="106"/>
  <c r="O25" i="5"/>
  <c r="F582" i="106" s="1"/>
  <c r="E582" i="106"/>
  <c r="O9" i="5"/>
  <c r="F566" i="106" s="1"/>
  <c r="E566" i="106"/>
  <c r="O10" i="5"/>
  <c r="F567" i="106" s="1"/>
  <c r="E567" i="106"/>
  <c r="N578" i="106"/>
  <c r="K578" i="106"/>
  <c r="N575" i="106"/>
  <c r="K575" i="106"/>
  <c r="N17" i="5"/>
  <c r="D574" i="106"/>
  <c r="O16" i="5"/>
  <c r="F573" i="106" s="1"/>
  <c r="E573" i="106"/>
  <c r="O6" i="5"/>
  <c r="F563" i="106" s="1"/>
  <c r="E563" i="106"/>
  <c r="N572" i="106"/>
  <c r="K572" i="106"/>
  <c r="Q17" i="5"/>
  <c r="H574" i="106" s="1"/>
  <c r="R17" i="5"/>
  <c r="I574" i="106" s="1"/>
  <c r="V17" i="5"/>
  <c r="M574" i="106" s="1"/>
  <c r="P17" i="5"/>
  <c r="G574" i="106" s="1"/>
  <c r="T17" i="5"/>
  <c r="U17" i="5"/>
  <c r="L574" i="106" s="1"/>
  <c r="S17" i="5"/>
  <c r="J574" i="106" s="1"/>
  <c r="V20" i="5"/>
  <c r="M577" i="106" s="1"/>
  <c r="N20" i="5"/>
  <c r="U20" i="5"/>
  <c r="L577" i="106" s="1"/>
  <c r="T20" i="5"/>
  <c r="S20" i="5"/>
  <c r="J577" i="106" s="1"/>
  <c r="R20" i="5"/>
  <c r="I577" i="106" s="1"/>
  <c r="Q20" i="5"/>
  <c r="H577" i="106" s="1"/>
  <c r="P20" i="5"/>
  <c r="G577" i="106" s="1"/>
  <c r="I19" i="24"/>
  <c r="B19" i="24"/>
  <c r="C19" i="24" s="1"/>
  <c r="G19" i="24" s="1"/>
  <c r="I18" i="24"/>
  <c r="B18" i="24"/>
  <c r="C18" i="24" s="1"/>
  <c r="G18" i="24" s="1"/>
  <c r="I17" i="24"/>
  <c r="B17" i="24"/>
  <c r="D17" i="24" s="1"/>
  <c r="I16" i="24"/>
  <c r="B16" i="24"/>
  <c r="D16" i="24" s="1"/>
  <c r="N577" i="106" l="1"/>
  <c r="K577" i="106"/>
  <c r="N574" i="106"/>
  <c r="K574" i="106"/>
  <c r="O20" i="5"/>
  <c r="F577" i="106" s="1"/>
  <c r="E577" i="106"/>
  <c r="O17" i="5"/>
  <c r="F574" i="106" s="1"/>
  <c r="E574" i="106"/>
  <c r="D19" i="24"/>
  <c r="H19" i="24" s="1"/>
  <c r="L19" i="24" s="1"/>
  <c r="D18" i="24"/>
  <c r="H18" i="24" s="1"/>
  <c r="M18" i="24" s="1"/>
  <c r="C17" i="24"/>
  <c r="G17" i="24" s="1"/>
  <c r="C16" i="24"/>
  <c r="G16" i="24" s="1"/>
  <c r="M19" i="24" l="1"/>
  <c r="V18" i="24"/>
  <c r="N18" i="24"/>
  <c r="O18" i="24" s="1"/>
  <c r="U18" i="24"/>
  <c r="T18" i="24"/>
  <c r="S18" i="24"/>
  <c r="R18" i="24"/>
  <c r="Q18" i="24"/>
  <c r="P18" i="24"/>
  <c r="L18" i="24"/>
  <c r="H17" i="24"/>
  <c r="M17" i="24" s="1"/>
  <c r="H16" i="24"/>
  <c r="M16" i="24" s="1"/>
  <c r="I30" i="18"/>
  <c r="B30" i="18"/>
  <c r="D30" i="18" s="1"/>
  <c r="I32" i="18"/>
  <c r="B32" i="18"/>
  <c r="D32" i="18" s="1"/>
  <c r="I27" i="18"/>
  <c r="B27" i="18"/>
  <c r="D27" i="18" s="1"/>
  <c r="I24" i="18"/>
  <c r="B24" i="18"/>
  <c r="C24" i="18" s="1"/>
  <c r="G24" i="18" s="1"/>
  <c r="I18" i="18"/>
  <c r="B18" i="18"/>
  <c r="D18" i="18" s="1"/>
  <c r="I15" i="18"/>
  <c r="B15" i="18"/>
  <c r="D15" i="18" s="1"/>
  <c r="I12" i="18"/>
  <c r="B12" i="18"/>
  <c r="D12" i="18" s="1"/>
  <c r="L16" i="24" l="1"/>
  <c r="C15" i="18"/>
  <c r="G15" i="18" s="1"/>
  <c r="H15" i="18" s="1"/>
  <c r="L15" i="18" s="1"/>
  <c r="C19" i="106" s="1"/>
  <c r="L17" i="24"/>
  <c r="D24" i="18"/>
  <c r="H24" i="18" s="1"/>
  <c r="M24" i="18" s="1"/>
  <c r="D28" i="106" s="1"/>
  <c r="C18" i="18"/>
  <c r="G18" i="18" s="1"/>
  <c r="H18" i="18" s="1"/>
  <c r="M18" i="18" s="1"/>
  <c r="D22" i="106" s="1"/>
  <c r="C32" i="18"/>
  <c r="G32" i="18" s="1"/>
  <c r="H32" i="18" s="1"/>
  <c r="M32" i="18" s="1"/>
  <c r="D36" i="106" s="1"/>
  <c r="V19" i="24"/>
  <c r="N19" i="24"/>
  <c r="O19" i="24" s="1"/>
  <c r="R19" i="24"/>
  <c r="Q19" i="24"/>
  <c r="U19" i="24"/>
  <c r="T19" i="24"/>
  <c r="S19" i="24"/>
  <c r="P19" i="24"/>
  <c r="V17" i="24"/>
  <c r="N17" i="24"/>
  <c r="O17" i="24" s="1"/>
  <c r="R17" i="24"/>
  <c r="Q17" i="24"/>
  <c r="P17" i="24"/>
  <c r="U17" i="24"/>
  <c r="T17" i="24"/>
  <c r="S17" i="24"/>
  <c r="V16" i="24"/>
  <c r="N16" i="24"/>
  <c r="O16" i="24" s="1"/>
  <c r="U16" i="24"/>
  <c r="S16" i="24"/>
  <c r="R16" i="24"/>
  <c r="Q16" i="24"/>
  <c r="P16" i="24"/>
  <c r="T16" i="24"/>
  <c r="C30" i="18"/>
  <c r="G30" i="18" s="1"/>
  <c r="C27" i="18"/>
  <c r="G27" i="18" s="1"/>
  <c r="C12" i="18"/>
  <c r="G12" i="18" s="1"/>
  <c r="J38" i="102"/>
  <c r="B38" i="102"/>
  <c r="C38" i="102" s="1"/>
  <c r="G38" i="102" s="1"/>
  <c r="J35" i="102"/>
  <c r="B35" i="102"/>
  <c r="C35" i="102" s="1"/>
  <c r="G35" i="102" s="1"/>
  <c r="J32" i="102"/>
  <c r="B32" i="102"/>
  <c r="C32" i="102" s="1"/>
  <c r="G32" i="102" s="1"/>
  <c r="J29" i="102"/>
  <c r="B29" i="102"/>
  <c r="C29" i="102" s="1"/>
  <c r="G29" i="102" s="1"/>
  <c r="J16" i="102"/>
  <c r="B16" i="102"/>
  <c r="C16" i="102" s="1"/>
  <c r="G16" i="102" s="1"/>
  <c r="J13" i="102"/>
  <c r="B13" i="102"/>
  <c r="C13" i="102" s="1"/>
  <c r="G13" i="102" s="1"/>
  <c r="J10" i="102"/>
  <c r="B10" i="102"/>
  <c r="C10" i="102" s="1"/>
  <c r="G10" i="102" s="1"/>
  <c r="J45" i="102"/>
  <c r="B45" i="102"/>
  <c r="C45" i="102" s="1"/>
  <c r="G45" i="102" s="1"/>
  <c r="J42" i="102"/>
  <c r="B42" i="102"/>
  <c r="C42" i="102" s="1"/>
  <c r="G42" i="102" s="1"/>
  <c r="J39" i="102"/>
  <c r="B39" i="102"/>
  <c r="C39" i="102" s="1"/>
  <c r="G39" i="102" s="1"/>
  <c r="J36" i="102"/>
  <c r="B36" i="102"/>
  <c r="C36" i="102" s="1"/>
  <c r="G36" i="102" s="1"/>
  <c r="J33" i="102"/>
  <c r="B33" i="102"/>
  <c r="C33" i="102" s="1"/>
  <c r="G33" i="102" s="1"/>
  <c r="J30" i="102"/>
  <c r="B30" i="102"/>
  <c r="C30" i="102" s="1"/>
  <c r="G30" i="102" s="1"/>
  <c r="J17" i="102"/>
  <c r="B17" i="102"/>
  <c r="C17" i="102" s="1"/>
  <c r="G17" i="102" s="1"/>
  <c r="J14" i="102"/>
  <c r="B14" i="102"/>
  <c r="C14" i="102" s="1"/>
  <c r="G14" i="102" s="1"/>
  <c r="J11" i="102"/>
  <c r="B11" i="102"/>
  <c r="D11" i="102" s="1"/>
  <c r="D29" i="102" l="1"/>
  <c r="H29" i="102" s="1"/>
  <c r="L29" i="102" s="1"/>
  <c r="D13" i="102"/>
  <c r="H13" i="102" s="1"/>
  <c r="L13" i="102" s="1"/>
  <c r="D32" i="102"/>
  <c r="H32" i="102" s="1"/>
  <c r="M32" i="102" s="1"/>
  <c r="D38" i="102"/>
  <c r="H38" i="102" s="1"/>
  <c r="M38" i="102" s="1"/>
  <c r="D35" i="102"/>
  <c r="H35" i="102" s="1"/>
  <c r="M35" i="102" s="1"/>
  <c r="L24" i="18"/>
  <c r="C28" i="106" s="1"/>
  <c r="M15" i="18"/>
  <c r="H30" i="18"/>
  <c r="M30" i="18" s="1"/>
  <c r="D34" i="106" s="1"/>
  <c r="V32" i="18"/>
  <c r="M36" i="106" s="1"/>
  <c r="N32" i="18"/>
  <c r="U32" i="18"/>
  <c r="L36" i="106" s="1"/>
  <c r="T32" i="18"/>
  <c r="K36" i="106" s="1"/>
  <c r="S32" i="18"/>
  <c r="J36" i="106" s="1"/>
  <c r="R32" i="18"/>
  <c r="I36" i="106" s="1"/>
  <c r="Q32" i="18"/>
  <c r="H36" i="106" s="1"/>
  <c r="P32" i="18"/>
  <c r="G36" i="106" s="1"/>
  <c r="L32" i="18"/>
  <c r="C36" i="106" s="1"/>
  <c r="H27" i="18"/>
  <c r="L27" i="18" s="1"/>
  <c r="C31" i="106" s="1"/>
  <c r="V24" i="18"/>
  <c r="M28" i="106" s="1"/>
  <c r="N24" i="18"/>
  <c r="U24" i="18"/>
  <c r="L28" i="106" s="1"/>
  <c r="T24" i="18"/>
  <c r="K28" i="106" s="1"/>
  <c r="S24" i="18"/>
  <c r="J28" i="106" s="1"/>
  <c r="R24" i="18"/>
  <c r="I28" i="106" s="1"/>
  <c r="Q24" i="18"/>
  <c r="H28" i="106" s="1"/>
  <c r="P24" i="18"/>
  <c r="G28" i="106" s="1"/>
  <c r="V18" i="18"/>
  <c r="M22" i="106" s="1"/>
  <c r="N18" i="18"/>
  <c r="R18" i="18"/>
  <c r="I22" i="106" s="1"/>
  <c r="P18" i="18"/>
  <c r="G22" i="106" s="1"/>
  <c r="U18" i="18"/>
  <c r="L22" i="106" s="1"/>
  <c r="T18" i="18"/>
  <c r="K22" i="106" s="1"/>
  <c r="S18" i="18"/>
  <c r="J22" i="106" s="1"/>
  <c r="Q18" i="18"/>
  <c r="H22" i="106" s="1"/>
  <c r="L18" i="18"/>
  <c r="C22" i="106" s="1"/>
  <c r="H12" i="18"/>
  <c r="M12" i="18" s="1"/>
  <c r="D16" i="106" s="1"/>
  <c r="D16" i="102"/>
  <c r="H16" i="102" s="1"/>
  <c r="D10" i="102"/>
  <c r="H10" i="102" s="1"/>
  <c r="D45" i="102"/>
  <c r="H45" i="102" s="1"/>
  <c r="D42" i="102"/>
  <c r="H42" i="102" s="1"/>
  <c r="D39" i="102"/>
  <c r="H39" i="102" s="1"/>
  <c r="D36" i="102"/>
  <c r="H36" i="102" s="1"/>
  <c r="D33" i="102"/>
  <c r="H33" i="102" s="1"/>
  <c r="D30" i="102"/>
  <c r="H30" i="102" s="1"/>
  <c r="D17" i="102"/>
  <c r="H17" i="102" s="1"/>
  <c r="D14" i="102"/>
  <c r="H14" i="102" s="1"/>
  <c r="C11" i="102"/>
  <c r="G11" i="102" s="1"/>
  <c r="S15" i="18" l="1"/>
  <c r="J19" i="106" s="1"/>
  <c r="D19" i="106"/>
  <c r="O18" i="18"/>
  <c r="F22" i="106" s="1"/>
  <c r="E22" i="106"/>
  <c r="O24" i="18"/>
  <c r="F28" i="106" s="1"/>
  <c r="E28" i="106"/>
  <c r="O32" i="18"/>
  <c r="F36" i="106" s="1"/>
  <c r="E36" i="106"/>
  <c r="N15" i="18"/>
  <c r="R15" i="18"/>
  <c r="I19" i="106" s="1"/>
  <c r="T15" i="18"/>
  <c r="K19" i="106" s="1"/>
  <c r="U15" i="18"/>
  <c r="L19" i="106" s="1"/>
  <c r="V15" i="18"/>
  <c r="M19" i="106" s="1"/>
  <c r="P15" i="18"/>
  <c r="G19" i="106" s="1"/>
  <c r="M27" i="18"/>
  <c r="Q15" i="18"/>
  <c r="H19" i="106" s="1"/>
  <c r="V30" i="18"/>
  <c r="M34" i="106" s="1"/>
  <c r="N30" i="18"/>
  <c r="R30" i="18"/>
  <c r="I34" i="106" s="1"/>
  <c r="Q30" i="18"/>
  <c r="H34" i="106" s="1"/>
  <c r="P30" i="18"/>
  <c r="G34" i="106" s="1"/>
  <c r="U30" i="18"/>
  <c r="L34" i="106" s="1"/>
  <c r="T30" i="18"/>
  <c r="K34" i="106" s="1"/>
  <c r="S30" i="18"/>
  <c r="J34" i="106" s="1"/>
  <c r="L30" i="18"/>
  <c r="C34" i="106" s="1"/>
  <c r="Q12" i="18"/>
  <c r="H16" i="106" s="1"/>
  <c r="P12" i="18"/>
  <c r="G16" i="106" s="1"/>
  <c r="U12" i="18"/>
  <c r="L16" i="106" s="1"/>
  <c r="T12" i="18"/>
  <c r="K16" i="106" s="1"/>
  <c r="S12" i="18"/>
  <c r="J16" i="106" s="1"/>
  <c r="R12" i="18"/>
  <c r="I16" i="106" s="1"/>
  <c r="V12" i="18"/>
  <c r="M16" i="106" s="1"/>
  <c r="N12" i="18"/>
  <c r="L12" i="18"/>
  <c r="C16" i="106" s="1"/>
  <c r="W38" i="102"/>
  <c r="V38" i="102"/>
  <c r="N38" i="102"/>
  <c r="O38" i="102" s="1"/>
  <c r="R38" i="102"/>
  <c r="Q38" i="102"/>
  <c r="P38" i="102"/>
  <c r="U38" i="102"/>
  <c r="T38" i="102"/>
  <c r="S38" i="102"/>
  <c r="L38" i="102"/>
  <c r="W35" i="102"/>
  <c r="V35" i="102"/>
  <c r="N35" i="102"/>
  <c r="O35" i="102" s="1"/>
  <c r="Q35" i="102"/>
  <c r="R35" i="102"/>
  <c r="U35" i="102"/>
  <c r="T35" i="102"/>
  <c r="S35" i="102"/>
  <c r="P35" i="102"/>
  <c r="L35" i="102"/>
  <c r="W32" i="102"/>
  <c r="V32" i="102"/>
  <c r="N32" i="102"/>
  <c r="O32" i="102" s="1"/>
  <c r="Q32" i="102"/>
  <c r="R32" i="102"/>
  <c r="P32" i="102"/>
  <c r="U32" i="102"/>
  <c r="T32" i="102"/>
  <c r="S32" i="102"/>
  <c r="L32" i="102"/>
  <c r="M29" i="102"/>
  <c r="M16" i="102"/>
  <c r="L16" i="102"/>
  <c r="M13" i="102"/>
  <c r="M10" i="102"/>
  <c r="L10" i="102"/>
  <c r="M45" i="102"/>
  <c r="L45" i="102"/>
  <c r="L42" i="102"/>
  <c r="M42" i="102"/>
  <c r="L39" i="102"/>
  <c r="M39" i="102"/>
  <c r="M36" i="102"/>
  <c r="L36" i="102"/>
  <c r="M33" i="102"/>
  <c r="L33" i="102"/>
  <c r="L30" i="102"/>
  <c r="M30" i="102"/>
  <c r="M17" i="102"/>
  <c r="L17" i="102"/>
  <c r="M14" i="102"/>
  <c r="L14" i="102"/>
  <c r="H11" i="102"/>
  <c r="L11" i="102" s="1"/>
  <c r="J3" i="102"/>
  <c r="B3" i="102"/>
  <c r="C3" i="102" s="1"/>
  <c r="G3" i="102" s="1"/>
  <c r="J4" i="102"/>
  <c r="B4" i="102"/>
  <c r="C4" i="102" s="1"/>
  <c r="G4" i="102" s="1"/>
  <c r="J5" i="102"/>
  <c r="B5" i="102"/>
  <c r="C5" i="102" s="1"/>
  <c r="G5" i="102" s="1"/>
  <c r="J6" i="102"/>
  <c r="B6" i="102"/>
  <c r="D6" i="102" s="1"/>
  <c r="U27" i="18" l="1"/>
  <c r="L31" i="106" s="1"/>
  <c r="D31" i="106"/>
  <c r="O30" i="18"/>
  <c r="F34" i="106" s="1"/>
  <c r="E34" i="106"/>
  <c r="O12" i="18"/>
  <c r="F16" i="106" s="1"/>
  <c r="E16" i="106"/>
  <c r="O15" i="18"/>
  <c r="F19" i="106" s="1"/>
  <c r="E19" i="106"/>
  <c r="P27" i="18"/>
  <c r="G31" i="106" s="1"/>
  <c r="Q27" i="18"/>
  <c r="H31" i="106" s="1"/>
  <c r="R27" i="18"/>
  <c r="I31" i="106" s="1"/>
  <c r="N27" i="18"/>
  <c r="V27" i="18"/>
  <c r="M31" i="106" s="1"/>
  <c r="T27" i="18"/>
  <c r="K31" i="106" s="1"/>
  <c r="S27" i="18"/>
  <c r="J31" i="106" s="1"/>
  <c r="W29" i="102"/>
  <c r="U29" i="102"/>
  <c r="T29" i="102"/>
  <c r="R29" i="102"/>
  <c r="Q29" i="102"/>
  <c r="P29" i="102"/>
  <c r="V29" i="102"/>
  <c r="N29" i="102"/>
  <c r="O29" i="102" s="1"/>
  <c r="S29" i="102"/>
  <c r="W16" i="102"/>
  <c r="R16" i="102"/>
  <c r="Q16" i="102"/>
  <c r="P16" i="102"/>
  <c r="V16" i="102"/>
  <c r="N16" i="102"/>
  <c r="O16" i="102" s="1"/>
  <c r="U16" i="102"/>
  <c r="T16" i="102"/>
  <c r="S16" i="102"/>
  <c r="W13" i="102"/>
  <c r="V13" i="102"/>
  <c r="N13" i="102"/>
  <c r="O13" i="102" s="1"/>
  <c r="P13" i="102"/>
  <c r="R13" i="102"/>
  <c r="U13" i="102"/>
  <c r="T13" i="102"/>
  <c r="S13" i="102"/>
  <c r="Q13" i="102"/>
  <c r="W10" i="102"/>
  <c r="R10" i="102"/>
  <c r="Q10" i="102"/>
  <c r="P10" i="102"/>
  <c r="V10" i="102"/>
  <c r="N10" i="102"/>
  <c r="O10" i="102" s="1"/>
  <c r="U10" i="102"/>
  <c r="T10" i="102"/>
  <c r="S10" i="102"/>
  <c r="W45" i="102"/>
  <c r="V45" i="102"/>
  <c r="N45" i="102"/>
  <c r="O45" i="102" s="1"/>
  <c r="U45" i="102"/>
  <c r="T45" i="102"/>
  <c r="R45" i="102"/>
  <c r="Q45" i="102"/>
  <c r="P45" i="102"/>
  <c r="S45" i="102"/>
  <c r="W42" i="102"/>
  <c r="V42" i="102"/>
  <c r="N42" i="102"/>
  <c r="O42" i="102" s="1"/>
  <c r="U42" i="102"/>
  <c r="T42" i="102"/>
  <c r="R42" i="102"/>
  <c r="Q42" i="102"/>
  <c r="P42" i="102"/>
  <c r="S42" i="102"/>
  <c r="W39" i="102"/>
  <c r="U39" i="102"/>
  <c r="R39" i="102"/>
  <c r="Q39" i="102"/>
  <c r="P39" i="102"/>
  <c r="V39" i="102"/>
  <c r="N39" i="102"/>
  <c r="O39" i="102" s="1"/>
  <c r="T39" i="102"/>
  <c r="S39" i="102"/>
  <c r="W36" i="102"/>
  <c r="R36" i="102"/>
  <c r="Q36" i="102"/>
  <c r="P36" i="102"/>
  <c r="V36" i="102"/>
  <c r="N36" i="102"/>
  <c r="O36" i="102" s="1"/>
  <c r="U36" i="102"/>
  <c r="T36" i="102"/>
  <c r="S36" i="102"/>
  <c r="W33" i="102"/>
  <c r="V33" i="102"/>
  <c r="N33" i="102"/>
  <c r="O33" i="102" s="1"/>
  <c r="U33" i="102"/>
  <c r="T33" i="102"/>
  <c r="S33" i="102"/>
  <c r="R33" i="102"/>
  <c r="Q33" i="102"/>
  <c r="P33" i="102"/>
  <c r="W30" i="102"/>
  <c r="V30" i="102"/>
  <c r="N30" i="102"/>
  <c r="O30" i="102" s="1"/>
  <c r="T30" i="102"/>
  <c r="R30" i="102"/>
  <c r="Q30" i="102"/>
  <c r="P30" i="102"/>
  <c r="U30" i="102"/>
  <c r="S30" i="102"/>
  <c r="W17" i="102"/>
  <c r="V17" i="102"/>
  <c r="N17" i="102"/>
  <c r="O17" i="102" s="1"/>
  <c r="U17" i="102"/>
  <c r="T17" i="102"/>
  <c r="S17" i="102"/>
  <c r="R17" i="102"/>
  <c r="Q17" i="102"/>
  <c r="P17" i="102"/>
  <c r="W14" i="102"/>
  <c r="U14" i="102"/>
  <c r="T14" i="102"/>
  <c r="R14" i="102"/>
  <c r="Q14" i="102"/>
  <c r="P14" i="102"/>
  <c r="V14" i="102"/>
  <c r="N14" i="102"/>
  <c r="O14" i="102" s="1"/>
  <c r="S14" i="102"/>
  <c r="M11" i="102"/>
  <c r="D5" i="102"/>
  <c r="H5" i="102" s="1"/>
  <c r="M5" i="102" s="1"/>
  <c r="D4" i="102"/>
  <c r="H4" i="102" s="1"/>
  <c r="M4" i="102" s="1"/>
  <c r="D3" i="102"/>
  <c r="H3" i="102" s="1"/>
  <c r="M3" i="102" s="1"/>
  <c r="C6" i="102"/>
  <c r="G6" i="102" s="1"/>
  <c r="I10" i="24"/>
  <c r="B10" i="24"/>
  <c r="C10" i="24" s="1"/>
  <c r="G10" i="24" s="1"/>
  <c r="I9" i="24"/>
  <c r="B9" i="24"/>
  <c r="D9" i="24" s="1"/>
  <c r="I5" i="24"/>
  <c r="B5" i="24"/>
  <c r="D5" i="24" s="1"/>
  <c r="I14" i="24"/>
  <c r="B14" i="24"/>
  <c r="D14" i="24" s="1"/>
  <c r="I13" i="24"/>
  <c r="B13" i="24"/>
  <c r="D13" i="24" s="1"/>
  <c r="O27" i="18" l="1"/>
  <c r="F31" i="106" s="1"/>
  <c r="E31" i="106"/>
  <c r="T11" i="102"/>
  <c r="S11" i="102"/>
  <c r="P11" i="102"/>
  <c r="W11" i="102"/>
  <c r="V11" i="102"/>
  <c r="N11" i="102"/>
  <c r="O11" i="102" s="1"/>
  <c r="U11" i="102"/>
  <c r="R11" i="102"/>
  <c r="Q11" i="102"/>
  <c r="W3" i="102"/>
  <c r="V3" i="102"/>
  <c r="N3" i="102"/>
  <c r="O3" i="102" s="1"/>
  <c r="R3" i="102"/>
  <c r="Q3" i="102"/>
  <c r="P3" i="102"/>
  <c r="U3" i="102"/>
  <c r="T3" i="102"/>
  <c r="S3" i="102"/>
  <c r="L3" i="102"/>
  <c r="W4" i="102"/>
  <c r="V4" i="102"/>
  <c r="N4" i="102"/>
  <c r="O4" i="102" s="1"/>
  <c r="U4" i="102"/>
  <c r="R4" i="102"/>
  <c r="Q4" i="102"/>
  <c r="P4" i="102"/>
  <c r="T4" i="102"/>
  <c r="S4" i="102"/>
  <c r="L4" i="102"/>
  <c r="W5" i="102"/>
  <c r="V5" i="102"/>
  <c r="N5" i="102"/>
  <c r="O5" i="102" s="1"/>
  <c r="T5" i="102"/>
  <c r="U5" i="102"/>
  <c r="S5" i="102"/>
  <c r="R5" i="102"/>
  <c r="Q5" i="102"/>
  <c r="P5" i="102"/>
  <c r="L5" i="102"/>
  <c r="H6" i="102"/>
  <c r="M6" i="102" s="1"/>
  <c r="C5" i="24"/>
  <c r="G5" i="24" s="1"/>
  <c r="H5" i="24" s="1"/>
  <c r="M5" i="24" s="1"/>
  <c r="D10" i="24"/>
  <c r="H10" i="24" s="1"/>
  <c r="C9" i="24"/>
  <c r="G9" i="24" s="1"/>
  <c r="C14" i="24"/>
  <c r="G14" i="24" s="1"/>
  <c r="C13" i="24"/>
  <c r="G13" i="24" s="1"/>
  <c r="I7" i="24"/>
  <c r="B7" i="24"/>
  <c r="D7" i="24" s="1"/>
  <c r="S6" i="102" l="1"/>
  <c r="P6" i="102"/>
  <c r="W6" i="102"/>
  <c r="V6" i="102"/>
  <c r="N6" i="102"/>
  <c r="O6" i="102" s="1"/>
  <c r="U6" i="102"/>
  <c r="T6" i="102"/>
  <c r="R6" i="102"/>
  <c r="Q6" i="102"/>
  <c r="L6" i="102"/>
  <c r="C7" i="24"/>
  <c r="G7" i="24" s="1"/>
  <c r="H7" i="24" s="1"/>
  <c r="L7" i="24" s="1"/>
  <c r="M10" i="24"/>
  <c r="L10" i="24"/>
  <c r="H9" i="24"/>
  <c r="M9" i="24" s="1"/>
  <c r="V5" i="24"/>
  <c r="N5" i="24"/>
  <c r="O5" i="24" s="1"/>
  <c r="U5" i="24"/>
  <c r="R5" i="24"/>
  <c r="Q5" i="24"/>
  <c r="P5" i="24"/>
  <c r="T5" i="24"/>
  <c r="S5" i="24"/>
  <c r="L5" i="24"/>
  <c r="H14" i="24"/>
  <c r="M14" i="24" s="1"/>
  <c r="H13" i="24"/>
  <c r="L13" i="24" s="1"/>
  <c r="V10" i="24" l="1"/>
  <c r="N10" i="24"/>
  <c r="O10" i="24" s="1"/>
  <c r="U10" i="24"/>
  <c r="T10" i="24"/>
  <c r="S10" i="24"/>
  <c r="P10" i="24"/>
  <c r="R10" i="24"/>
  <c r="Q10" i="24"/>
  <c r="V9" i="24"/>
  <c r="N9" i="24"/>
  <c r="O9" i="24" s="1"/>
  <c r="U9" i="24"/>
  <c r="T9" i="24"/>
  <c r="R9" i="24"/>
  <c r="Q9" i="24"/>
  <c r="P9" i="24"/>
  <c r="S9" i="24"/>
  <c r="L9" i="24"/>
  <c r="V14" i="24"/>
  <c r="N14" i="24"/>
  <c r="O14" i="24" s="1"/>
  <c r="U14" i="24"/>
  <c r="R14" i="24"/>
  <c r="Q14" i="24"/>
  <c r="P14" i="24"/>
  <c r="T14" i="24"/>
  <c r="S14" i="24"/>
  <c r="L14" i="24"/>
  <c r="M13" i="24"/>
  <c r="M7" i="24"/>
  <c r="I12" i="24"/>
  <c r="B12" i="24"/>
  <c r="D12" i="24" s="1"/>
  <c r="I11" i="24"/>
  <c r="B11" i="24"/>
  <c r="D11" i="24" s="1"/>
  <c r="I8" i="24"/>
  <c r="B8" i="24"/>
  <c r="D8" i="24" s="1"/>
  <c r="C8" i="24" l="1"/>
  <c r="G8" i="24" s="1"/>
  <c r="H8" i="24" s="1"/>
  <c r="M8" i="24" s="1"/>
  <c r="C11" i="24"/>
  <c r="G11" i="24" s="1"/>
  <c r="H11" i="24" s="1"/>
  <c r="L11" i="24" s="1"/>
  <c r="V13" i="24"/>
  <c r="N13" i="24"/>
  <c r="O13" i="24" s="1"/>
  <c r="U13" i="24"/>
  <c r="T13" i="24"/>
  <c r="S13" i="24"/>
  <c r="R13" i="24"/>
  <c r="Q13" i="24"/>
  <c r="P13" i="24"/>
  <c r="V7" i="24"/>
  <c r="N7" i="24"/>
  <c r="O7" i="24" s="1"/>
  <c r="U7" i="24"/>
  <c r="T7" i="24"/>
  <c r="S7" i="24"/>
  <c r="R7" i="24"/>
  <c r="Q7" i="24"/>
  <c r="P7" i="24"/>
  <c r="C12" i="24"/>
  <c r="G12" i="24" s="1"/>
  <c r="M11" i="24" l="1"/>
  <c r="V11" i="24" s="1"/>
  <c r="H12" i="24"/>
  <c r="M12" i="24" s="1"/>
  <c r="V8" i="24"/>
  <c r="N8" i="24"/>
  <c r="O8" i="24" s="1"/>
  <c r="U8" i="24"/>
  <c r="T8" i="24"/>
  <c r="S8" i="24"/>
  <c r="R8" i="24"/>
  <c r="Q8" i="24"/>
  <c r="P8" i="24"/>
  <c r="L8" i="24"/>
  <c r="P11" i="24" l="1"/>
  <c r="Q11" i="24"/>
  <c r="S11" i="24"/>
  <c r="R11" i="24"/>
  <c r="T11" i="24"/>
  <c r="N11" i="24"/>
  <c r="O11" i="24" s="1"/>
  <c r="U11" i="24"/>
  <c r="U12" i="24"/>
  <c r="T12" i="24"/>
  <c r="S12" i="24"/>
  <c r="R12" i="24"/>
  <c r="Q12" i="24"/>
  <c r="P12" i="24"/>
  <c r="V12" i="24"/>
  <c r="N12" i="24"/>
  <c r="O12" i="24" s="1"/>
  <c r="L12" i="24"/>
  <c r="I19" i="11" l="1"/>
  <c r="B19" i="11"/>
  <c r="D19" i="11" s="1"/>
  <c r="I32" i="11"/>
  <c r="B32" i="11"/>
  <c r="D32" i="11" s="1"/>
  <c r="I29" i="11"/>
  <c r="B29" i="11"/>
  <c r="D29" i="11" s="1"/>
  <c r="I26" i="11"/>
  <c r="B26" i="11"/>
  <c r="D26" i="11" s="1"/>
  <c r="I23" i="11"/>
  <c r="B23" i="11"/>
  <c r="D23" i="11" s="1"/>
  <c r="I20" i="11"/>
  <c r="B20" i="11"/>
  <c r="C20" i="11" s="1"/>
  <c r="G20" i="11" s="1"/>
  <c r="I16" i="11"/>
  <c r="B16" i="11"/>
  <c r="D16" i="11" s="1"/>
  <c r="I13" i="11"/>
  <c r="B13" i="11"/>
  <c r="C13" i="11" s="1"/>
  <c r="G13" i="11" s="1"/>
  <c r="I33" i="11"/>
  <c r="B33" i="11"/>
  <c r="D33" i="11" s="1"/>
  <c r="I30" i="11"/>
  <c r="B30" i="11"/>
  <c r="D30" i="11" s="1"/>
  <c r="I27" i="11"/>
  <c r="B27" i="11"/>
  <c r="D27" i="11" s="1"/>
  <c r="I24" i="11"/>
  <c r="B24" i="11"/>
  <c r="D24" i="11" s="1"/>
  <c r="I21" i="11"/>
  <c r="B21" i="11"/>
  <c r="D21" i="11" s="1"/>
  <c r="I17" i="11"/>
  <c r="B17" i="11"/>
  <c r="D17" i="11" s="1"/>
  <c r="I14" i="11"/>
  <c r="B14" i="11"/>
  <c r="D14" i="11" s="1"/>
  <c r="I34" i="11"/>
  <c r="B34" i="11"/>
  <c r="C34" i="11" s="1"/>
  <c r="G34" i="11" s="1"/>
  <c r="I31" i="11"/>
  <c r="B31" i="11"/>
  <c r="D31" i="11" s="1"/>
  <c r="I28" i="11"/>
  <c r="B28" i="11"/>
  <c r="C28" i="11" s="1"/>
  <c r="G28" i="11" s="1"/>
  <c r="I25" i="11"/>
  <c r="B25" i="11"/>
  <c r="D25" i="11" s="1"/>
  <c r="I22" i="11"/>
  <c r="B22" i="11"/>
  <c r="D22" i="11" s="1"/>
  <c r="I18" i="11"/>
  <c r="B18" i="11"/>
  <c r="D18" i="11" s="1"/>
  <c r="I15" i="11"/>
  <c r="B15" i="11"/>
  <c r="D15" i="11" s="1"/>
  <c r="I12" i="11"/>
  <c r="B12" i="11"/>
  <c r="D12" i="11" s="1"/>
  <c r="I11" i="11"/>
  <c r="B11" i="11"/>
  <c r="C11" i="11" s="1"/>
  <c r="G11" i="11" s="1"/>
  <c r="I10" i="11"/>
  <c r="B10" i="11"/>
  <c r="C10" i="11" s="1"/>
  <c r="G10" i="11" s="1"/>
  <c r="I9" i="11"/>
  <c r="B9" i="11"/>
  <c r="C9" i="11" s="1"/>
  <c r="G9" i="11" s="1"/>
  <c r="I8" i="11"/>
  <c r="B8" i="11"/>
  <c r="C8" i="11" s="1"/>
  <c r="G8" i="11" s="1"/>
  <c r="I7" i="11"/>
  <c r="B7" i="11"/>
  <c r="C7" i="11" s="1"/>
  <c r="G7" i="11" s="1"/>
  <c r="I6" i="11"/>
  <c r="B6" i="11"/>
  <c r="C6" i="11" s="1"/>
  <c r="G6" i="11" s="1"/>
  <c r="I5" i="11"/>
  <c r="B5" i="11"/>
  <c r="D5" i="11" s="1"/>
  <c r="I4" i="11"/>
  <c r="B4" i="11"/>
  <c r="C4" i="11" s="1"/>
  <c r="G4" i="11" s="1"/>
  <c r="I3" i="11"/>
  <c r="B3" i="11"/>
  <c r="C3" i="11" s="1"/>
  <c r="G3" i="11" s="1"/>
  <c r="J45" i="8"/>
  <c r="E45" i="8"/>
  <c r="B45" i="8"/>
  <c r="C45" i="8" s="1"/>
  <c r="G45" i="8" s="1"/>
  <c r="J44" i="8"/>
  <c r="E44" i="8"/>
  <c r="B44" i="8"/>
  <c r="C44" i="8" s="1"/>
  <c r="G44" i="8" s="1"/>
  <c r="J42" i="8"/>
  <c r="E42" i="8"/>
  <c r="B42" i="8"/>
  <c r="C42" i="8" s="1"/>
  <c r="G42" i="8" s="1"/>
  <c r="J41" i="8"/>
  <c r="E41" i="8"/>
  <c r="B41" i="8"/>
  <c r="C41" i="8" s="1"/>
  <c r="G41" i="8" s="1"/>
  <c r="J38" i="8"/>
  <c r="E38" i="8"/>
  <c r="B38" i="8"/>
  <c r="C38" i="8" s="1"/>
  <c r="G38" i="8" s="1"/>
  <c r="J37" i="8"/>
  <c r="E37" i="8"/>
  <c r="B37" i="8"/>
  <c r="C37" i="8" s="1"/>
  <c r="G37" i="8" s="1"/>
  <c r="J32" i="8"/>
  <c r="E32" i="8"/>
  <c r="B32" i="8"/>
  <c r="C32" i="8" s="1"/>
  <c r="G32" i="8" s="1"/>
  <c r="J30" i="8"/>
  <c r="E30" i="8"/>
  <c r="B30" i="8"/>
  <c r="C30" i="8" s="1"/>
  <c r="G30" i="8" s="1"/>
  <c r="J29" i="8"/>
  <c r="E29" i="8"/>
  <c r="B29" i="8"/>
  <c r="C29" i="8" s="1"/>
  <c r="G29" i="8" s="1"/>
  <c r="J27" i="8"/>
  <c r="E27" i="8"/>
  <c r="B27" i="8"/>
  <c r="C27" i="8" s="1"/>
  <c r="G27" i="8" s="1"/>
  <c r="J26" i="8"/>
  <c r="E26" i="8"/>
  <c r="B26" i="8"/>
  <c r="C26" i="8" s="1"/>
  <c r="G26" i="8" s="1"/>
  <c r="J24" i="8"/>
  <c r="E24" i="8"/>
  <c r="B24" i="8"/>
  <c r="C24" i="8" s="1"/>
  <c r="G24" i="8" s="1"/>
  <c r="J23" i="8"/>
  <c r="E23" i="8"/>
  <c r="B23" i="8"/>
  <c r="C23" i="8" s="1"/>
  <c r="G23" i="8" s="1"/>
  <c r="J20" i="8"/>
  <c r="E20" i="8"/>
  <c r="B20" i="8"/>
  <c r="C20" i="8" s="1"/>
  <c r="G20" i="8" s="1"/>
  <c r="J19" i="8"/>
  <c r="E19" i="8"/>
  <c r="B19" i="8"/>
  <c r="C19" i="8" s="1"/>
  <c r="G19" i="8" s="1"/>
  <c r="J17" i="8"/>
  <c r="E17" i="8"/>
  <c r="B17" i="8"/>
  <c r="C17" i="8" s="1"/>
  <c r="G17" i="8" s="1"/>
  <c r="J16" i="8"/>
  <c r="E16" i="8"/>
  <c r="B16" i="8"/>
  <c r="C16" i="8" s="1"/>
  <c r="G16" i="8" s="1"/>
  <c r="J14" i="8"/>
  <c r="E14" i="8"/>
  <c r="B14" i="8"/>
  <c r="C14" i="8" s="1"/>
  <c r="G14" i="8" s="1"/>
  <c r="J13" i="8"/>
  <c r="E13" i="8"/>
  <c r="B13" i="8"/>
  <c r="C13" i="8" s="1"/>
  <c r="G13" i="8" s="1"/>
  <c r="J11" i="8"/>
  <c r="E11" i="8"/>
  <c r="B11" i="8"/>
  <c r="C11" i="8" s="1"/>
  <c r="G11" i="8" s="1"/>
  <c r="J10" i="8"/>
  <c r="E10" i="8"/>
  <c r="B10" i="8"/>
  <c r="C10" i="8" s="1"/>
  <c r="G10" i="8" s="1"/>
  <c r="D4" i="11" l="1"/>
  <c r="D6" i="11"/>
  <c r="D8" i="11"/>
  <c r="D10" i="11"/>
  <c r="H10" i="11" s="1"/>
  <c r="L10" i="11" s="1"/>
  <c r="C247" i="106" s="1"/>
  <c r="D11" i="8"/>
  <c r="H11" i="8" s="1"/>
  <c r="M11" i="8" s="1"/>
  <c r="D38" i="8"/>
  <c r="H38" i="8" s="1"/>
  <c r="M38" i="8" s="1"/>
  <c r="D42" i="8"/>
  <c r="H42" i="8" s="1"/>
  <c r="L42" i="8" s="1"/>
  <c r="C17" i="11"/>
  <c r="G17" i="11" s="1"/>
  <c r="H17" i="11" s="1"/>
  <c r="M17" i="11" s="1"/>
  <c r="D254" i="106" s="1"/>
  <c r="C5" i="11"/>
  <c r="G5" i="11" s="1"/>
  <c r="C15" i="11"/>
  <c r="G15" i="11" s="1"/>
  <c r="H15" i="11" s="1"/>
  <c r="M15" i="11" s="1"/>
  <c r="D252" i="106" s="1"/>
  <c r="D34" i="11"/>
  <c r="H34" i="11" s="1"/>
  <c r="M34" i="11" s="1"/>
  <c r="D271" i="106" s="1"/>
  <c r="D20" i="11"/>
  <c r="H20" i="11" s="1"/>
  <c r="L20" i="11" s="1"/>
  <c r="C257" i="106" s="1"/>
  <c r="D3" i="11"/>
  <c r="H3" i="11" s="1"/>
  <c r="M3" i="11" s="1"/>
  <c r="D240" i="106" s="1"/>
  <c r="D7" i="11"/>
  <c r="H7" i="11" s="1"/>
  <c r="M7" i="11" s="1"/>
  <c r="D244" i="106" s="1"/>
  <c r="D9" i="11"/>
  <c r="H9" i="11" s="1"/>
  <c r="M9" i="11" s="1"/>
  <c r="D246" i="106" s="1"/>
  <c r="D11" i="11"/>
  <c r="D16" i="8"/>
  <c r="H16" i="8" s="1"/>
  <c r="L16" i="8" s="1"/>
  <c r="D23" i="8"/>
  <c r="H23" i="8" s="1"/>
  <c r="L23" i="8" s="1"/>
  <c r="D26" i="8"/>
  <c r="H26" i="8" s="1"/>
  <c r="L26" i="8" s="1"/>
  <c r="D29" i="8"/>
  <c r="H29" i="8" s="1"/>
  <c r="M29" i="8" s="1"/>
  <c r="D37" i="8"/>
  <c r="H37" i="8" s="1"/>
  <c r="L37" i="8" s="1"/>
  <c r="D41" i="8"/>
  <c r="H41" i="8" s="1"/>
  <c r="M41" i="8" s="1"/>
  <c r="C18" i="11"/>
  <c r="G18" i="11" s="1"/>
  <c r="H18" i="11" s="1"/>
  <c r="M18" i="11" s="1"/>
  <c r="D255" i="106" s="1"/>
  <c r="C25" i="11"/>
  <c r="G25" i="11" s="1"/>
  <c r="C31" i="11"/>
  <c r="G31" i="11" s="1"/>
  <c r="H31" i="11" s="1"/>
  <c r="C14" i="11"/>
  <c r="G14" i="11" s="1"/>
  <c r="H14" i="11" s="1"/>
  <c r="L14" i="11" s="1"/>
  <c r="C251" i="106" s="1"/>
  <c r="C21" i="11"/>
  <c r="G21" i="11" s="1"/>
  <c r="H21" i="11" s="1"/>
  <c r="C27" i="11"/>
  <c r="G27" i="11" s="1"/>
  <c r="H27" i="11" s="1"/>
  <c r="M27" i="11" s="1"/>
  <c r="D264" i="106" s="1"/>
  <c r="C33" i="11"/>
  <c r="G33" i="11" s="1"/>
  <c r="H33" i="11" s="1"/>
  <c r="M33" i="11" s="1"/>
  <c r="D270" i="106" s="1"/>
  <c r="C16" i="11"/>
  <c r="G16" i="11" s="1"/>
  <c r="H16" i="11" s="1"/>
  <c r="M16" i="11" s="1"/>
  <c r="D253" i="106" s="1"/>
  <c r="C23" i="11"/>
  <c r="G23" i="11" s="1"/>
  <c r="C29" i="11"/>
  <c r="G29" i="11" s="1"/>
  <c r="C19" i="11"/>
  <c r="G19" i="11" s="1"/>
  <c r="C24" i="11"/>
  <c r="G24" i="11" s="1"/>
  <c r="H24" i="11" s="1"/>
  <c r="M24" i="11" s="1"/>
  <c r="D261" i="106" s="1"/>
  <c r="D28" i="11"/>
  <c r="H28" i="11" s="1"/>
  <c r="L28" i="11" s="1"/>
  <c r="C265" i="106" s="1"/>
  <c r="D13" i="11"/>
  <c r="H13" i="11" s="1"/>
  <c r="M13" i="11" s="1"/>
  <c r="D250" i="106" s="1"/>
  <c r="D14" i="8"/>
  <c r="H14" i="8" s="1"/>
  <c r="M14" i="8" s="1"/>
  <c r="D17" i="8"/>
  <c r="H17" i="8" s="1"/>
  <c r="L17" i="8" s="1"/>
  <c r="D20" i="8"/>
  <c r="H20" i="8" s="1"/>
  <c r="M20" i="8" s="1"/>
  <c r="D24" i="8"/>
  <c r="D27" i="8"/>
  <c r="H27" i="8" s="1"/>
  <c r="M27" i="8" s="1"/>
  <c r="D30" i="8"/>
  <c r="H30" i="8" s="1"/>
  <c r="M30" i="8" s="1"/>
  <c r="C12" i="11"/>
  <c r="G12" i="11" s="1"/>
  <c r="H12" i="11" s="1"/>
  <c r="M12" i="11" s="1"/>
  <c r="D249" i="106" s="1"/>
  <c r="C22" i="11"/>
  <c r="G22" i="11" s="1"/>
  <c r="H22" i="11" s="1"/>
  <c r="M22" i="11" s="1"/>
  <c r="D259" i="106" s="1"/>
  <c r="C30" i="11"/>
  <c r="G30" i="11" s="1"/>
  <c r="C26" i="11"/>
  <c r="G26" i="11" s="1"/>
  <c r="H26" i="11" s="1"/>
  <c r="L26" i="11" s="1"/>
  <c r="C263" i="106" s="1"/>
  <c r="C32" i="11"/>
  <c r="G32" i="11" s="1"/>
  <c r="D19" i="8"/>
  <c r="H19" i="8" s="1"/>
  <c r="L19" i="8" s="1"/>
  <c r="H19" i="11"/>
  <c r="L19" i="11" s="1"/>
  <c r="C256" i="106" s="1"/>
  <c r="H32" i="11"/>
  <c r="L32" i="11" s="1"/>
  <c r="C269" i="106" s="1"/>
  <c r="H29" i="11"/>
  <c r="M29" i="11" s="1"/>
  <c r="D266" i="106" s="1"/>
  <c r="H23" i="11"/>
  <c r="M23" i="11" s="1"/>
  <c r="D260" i="106" s="1"/>
  <c r="H25" i="11"/>
  <c r="M25" i="11" s="1"/>
  <c r="D262" i="106" s="1"/>
  <c r="H11" i="11"/>
  <c r="L11" i="11" s="1"/>
  <c r="C248" i="106" s="1"/>
  <c r="H8" i="11"/>
  <c r="L8" i="11" s="1"/>
  <c r="C245" i="106" s="1"/>
  <c r="H6" i="11"/>
  <c r="L6" i="11" s="1"/>
  <c r="C243" i="106" s="1"/>
  <c r="H5" i="11"/>
  <c r="L5" i="11" s="1"/>
  <c r="C242" i="106" s="1"/>
  <c r="H4" i="11"/>
  <c r="M4" i="11" s="1"/>
  <c r="D241" i="106" s="1"/>
  <c r="D45" i="8"/>
  <c r="H45" i="8" s="1"/>
  <c r="D44" i="8"/>
  <c r="H44" i="8" s="1"/>
  <c r="D32" i="8"/>
  <c r="H32" i="8" s="1"/>
  <c r="H24" i="8"/>
  <c r="M24" i="8" s="1"/>
  <c r="D13" i="8"/>
  <c r="H13" i="8" s="1"/>
  <c r="D10" i="8"/>
  <c r="H10" i="8" s="1"/>
  <c r="I44" i="12"/>
  <c r="B44" i="12"/>
  <c r="D44" i="12" s="1"/>
  <c r="I40" i="12"/>
  <c r="B40" i="12"/>
  <c r="D40" i="12" s="1"/>
  <c r="I36" i="12"/>
  <c r="B36" i="12"/>
  <c r="D36" i="12" s="1"/>
  <c r="I32" i="12"/>
  <c r="B32" i="12"/>
  <c r="D32" i="12" s="1"/>
  <c r="I28" i="12"/>
  <c r="B28" i="12"/>
  <c r="D28" i="12" s="1"/>
  <c r="I24" i="12"/>
  <c r="B24" i="12"/>
  <c r="D24" i="12" s="1"/>
  <c r="I21" i="12"/>
  <c r="B21" i="12"/>
  <c r="D21" i="12" s="1"/>
  <c r="I17" i="12"/>
  <c r="B17" i="12"/>
  <c r="D17" i="12" s="1"/>
  <c r="I13" i="12"/>
  <c r="B13" i="12"/>
  <c r="D13" i="12" s="1"/>
  <c r="I9" i="12"/>
  <c r="B9" i="12"/>
  <c r="D9" i="12" s="1"/>
  <c r="I45" i="12"/>
  <c r="B45" i="12"/>
  <c r="D45" i="12" s="1"/>
  <c r="I41" i="12"/>
  <c r="B41" i="12"/>
  <c r="D41" i="12" s="1"/>
  <c r="I46" i="12"/>
  <c r="B46" i="12"/>
  <c r="D46" i="12" s="1"/>
  <c r="I42" i="12"/>
  <c r="B42" i="12"/>
  <c r="C42" i="12" s="1"/>
  <c r="G42" i="12" s="1"/>
  <c r="I37" i="12"/>
  <c r="B37" i="12"/>
  <c r="D37" i="12" s="1"/>
  <c r="I33" i="12"/>
  <c r="B33" i="12"/>
  <c r="C33" i="12" s="1"/>
  <c r="G33" i="12" s="1"/>
  <c r="I29" i="12"/>
  <c r="B29" i="12"/>
  <c r="C29" i="12" s="1"/>
  <c r="G29" i="12" s="1"/>
  <c r="I25" i="12"/>
  <c r="B25" i="12"/>
  <c r="C25" i="12" s="1"/>
  <c r="G25" i="12" s="1"/>
  <c r="I18" i="12"/>
  <c r="B18" i="12"/>
  <c r="D18" i="12" s="1"/>
  <c r="I14" i="12"/>
  <c r="B14" i="12"/>
  <c r="C14" i="12" s="1"/>
  <c r="G14" i="12" s="1"/>
  <c r="I10" i="12"/>
  <c r="B10" i="12"/>
  <c r="C10" i="12" s="1"/>
  <c r="G10" i="12" s="1"/>
  <c r="I38" i="12"/>
  <c r="B38" i="12"/>
  <c r="C38" i="12" s="1"/>
  <c r="G38" i="12" s="1"/>
  <c r="I34" i="12"/>
  <c r="B34" i="12"/>
  <c r="D34" i="12" s="1"/>
  <c r="I30" i="12"/>
  <c r="B30" i="12"/>
  <c r="D30" i="12" s="1"/>
  <c r="I26" i="12"/>
  <c r="B26" i="12"/>
  <c r="D26" i="12" s="1"/>
  <c r="I22" i="12"/>
  <c r="B22" i="12"/>
  <c r="C22" i="12" s="1"/>
  <c r="G22" i="12" s="1"/>
  <c r="I19" i="12"/>
  <c r="B19" i="12"/>
  <c r="D19" i="12" s="1"/>
  <c r="I15" i="12"/>
  <c r="B15" i="12"/>
  <c r="D15" i="12" s="1"/>
  <c r="I11" i="12"/>
  <c r="B11" i="12"/>
  <c r="C11" i="12" s="1"/>
  <c r="G11" i="12" s="1"/>
  <c r="J8" i="9"/>
  <c r="B8" i="9"/>
  <c r="D8" i="9" s="1"/>
  <c r="M19" i="11" l="1"/>
  <c r="D256" i="106" s="1"/>
  <c r="C36" i="12"/>
  <c r="G36" i="12" s="1"/>
  <c r="D14" i="12"/>
  <c r="D42" i="12"/>
  <c r="H42" i="12" s="1"/>
  <c r="M42" i="12" s="1"/>
  <c r="D38" i="12"/>
  <c r="H38" i="12" s="1"/>
  <c r="M38" i="12" s="1"/>
  <c r="C9" i="12"/>
  <c r="G9" i="12" s="1"/>
  <c r="C21" i="12"/>
  <c r="G21" i="12" s="1"/>
  <c r="H21" i="12" s="1"/>
  <c r="M21" i="12" s="1"/>
  <c r="L33" i="11"/>
  <c r="C270" i="106" s="1"/>
  <c r="D33" i="12"/>
  <c r="H33" i="12" s="1"/>
  <c r="M33" i="12" s="1"/>
  <c r="H30" i="11"/>
  <c r="M30" i="11" s="1"/>
  <c r="C41" i="12"/>
  <c r="G41" i="12" s="1"/>
  <c r="C44" i="12"/>
  <c r="G44" i="12" s="1"/>
  <c r="C28" i="12"/>
  <c r="G28" i="12" s="1"/>
  <c r="H28" i="12" s="1"/>
  <c r="M28" i="12" s="1"/>
  <c r="D25" i="12"/>
  <c r="H25" i="12" s="1"/>
  <c r="M25" i="12" s="1"/>
  <c r="L4" i="11"/>
  <c r="C241" i="106" s="1"/>
  <c r="L21" i="11"/>
  <c r="C258" i="106" s="1"/>
  <c r="M21" i="11"/>
  <c r="L31" i="11"/>
  <c r="C268" i="106" s="1"/>
  <c r="M31" i="11"/>
  <c r="D10" i="12"/>
  <c r="H10" i="12" s="1"/>
  <c r="L10" i="12" s="1"/>
  <c r="C37" i="12"/>
  <c r="G37" i="12" s="1"/>
  <c r="H37" i="12" s="1"/>
  <c r="M37" i="12" s="1"/>
  <c r="D11" i="12"/>
  <c r="H11" i="12" s="1"/>
  <c r="M11" i="12" s="1"/>
  <c r="D22" i="12"/>
  <c r="H22" i="12" s="1"/>
  <c r="D29" i="12"/>
  <c r="H29" i="12" s="1"/>
  <c r="L29" i="12" s="1"/>
  <c r="C17" i="12"/>
  <c r="G17" i="12" s="1"/>
  <c r="H17" i="12" s="1"/>
  <c r="M17" i="12" s="1"/>
  <c r="C24" i="12"/>
  <c r="G24" i="12" s="1"/>
  <c r="H24" i="12" s="1"/>
  <c r="C32" i="12"/>
  <c r="G32" i="12" s="1"/>
  <c r="H32" i="12" s="1"/>
  <c r="M32" i="12" s="1"/>
  <c r="C40" i="12"/>
  <c r="G40" i="12" s="1"/>
  <c r="H40" i="12" s="1"/>
  <c r="M40" i="12" s="1"/>
  <c r="M37" i="8"/>
  <c r="N37" i="8" s="1"/>
  <c r="O37" i="8" s="1"/>
  <c r="L12" i="11"/>
  <c r="C249" i="106" s="1"/>
  <c r="C45" i="12"/>
  <c r="G45" i="12" s="1"/>
  <c r="H45" i="12" s="1"/>
  <c r="M45" i="12" s="1"/>
  <c r="C13" i="12"/>
  <c r="G13" i="12" s="1"/>
  <c r="H13" i="12" s="1"/>
  <c r="L13" i="12" s="1"/>
  <c r="M10" i="11"/>
  <c r="M14" i="11"/>
  <c r="M16" i="8"/>
  <c r="Q16" i="8" s="1"/>
  <c r="V19" i="11"/>
  <c r="M256" i="106" s="1"/>
  <c r="N19" i="11"/>
  <c r="T19" i="11"/>
  <c r="K256" i="106" s="1"/>
  <c r="S19" i="11"/>
  <c r="J256" i="106" s="1"/>
  <c r="R19" i="11"/>
  <c r="I256" i="106" s="1"/>
  <c r="Q19" i="11"/>
  <c r="H256" i="106" s="1"/>
  <c r="U19" i="11"/>
  <c r="L256" i="106" s="1"/>
  <c r="P19" i="11"/>
  <c r="G256" i="106" s="1"/>
  <c r="M32" i="11"/>
  <c r="D269" i="106" s="1"/>
  <c r="V29" i="11"/>
  <c r="M266" i="106" s="1"/>
  <c r="N29" i="11"/>
  <c r="T29" i="11"/>
  <c r="K266" i="106" s="1"/>
  <c r="P29" i="11"/>
  <c r="G266" i="106" s="1"/>
  <c r="U29" i="11"/>
  <c r="L266" i="106" s="1"/>
  <c r="S29" i="11"/>
  <c r="J266" i="106" s="1"/>
  <c r="R29" i="11"/>
  <c r="I266" i="106" s="1"/>
  <c r="Q29" i="11"/>
  <c r="H266" i="106" s="1"/>
  <c r="L29" i="11"/>
  <c r="C266" i="106" s="1"/>
  <c r="M26" i="11"/>
  <c r="D263" i="106" s="1"/>
  <c r="V23" i="11"/>
  <c r="M260" i="106" s="1"/>
  <c r="N23" i="11"/>
  <c r="R23" i="11"/>
  <c r="I260" i="106" s="1"/>
  <c r="U23" i="11"/>
  <c r="L260" i="106" s="1"/>
  <c r="T23" i="11"/>
  <c r="K260" i="106" s="1"/>
  <c r="S23" i="11"/>
  <c r="J260" i="106" s="1"/>
  <c r="Q23" i="11"/>
  <c r="H260" i="106" s="1"/>
  <c r="P23" i="11"/>
  <c r="G260" i="106" s="1"/>
  <c r="L23" i="11"/>
  <c r="C260" i="106" s="1"/>
  <c r="M20" i="11"/>
  <c r="D257" i="106" s="1"/>
  <c r="V16" i="11"/>
  <c r="M253" i="106" s="1"/>
  <c r="N16" i="11"/>
  <c r="R16" i="11"/>
  <c r="I253" i="106" s="1"/>
  <c r="Q16" i="11"/>
  <c r="H253" i="106" s="1"/>
  <c r="U16" i="11"/>
  <c r="L253" i="106" s="1"/>
  <c r="T16" i="11"/>
  <c r="K253" i="106" s="1"/>
  <c r="S16" i="11"/>
  <c r="J253" i="106" s="1"/>
  <c r="P16" i="11"/>
  <c r="G253" i="106" s="1"/>
  <c r="L16" i="11"/>
  <c r="C253" i="106" s="1"/>
  <c r="V13" i="11"/>
  <c r="M250" i="106" s="1"/>
  <c r="N13" i="11"/>
  <c r="Q13" i="11"/>
  <c r="H250" i="106" s="1"/>
  <c r="P13" i="11"/>
  <c r="G250" i="106" s="1"/>
  <c r="U13" i="11"/>
  <c r="L250" i="106" s="1"/>
  <c r="T13" i="11"/>
  <c r="K250" i="106" s="1"/>
  <c r="S13" i="11"/>
  <c r="J250" i="106" s="1"/>
  <c r="R13" i="11"/>
  <c r="I250" i="106" s="1"/>
  <c r="L13" i="11"/>
  <c r="C250" i="106" s="1"/>
  <c r="V33" i="11"/>
  <c r="M270" i="106" s="1"/>
  <c r="N33" i="11"/>
  <c r="T33" i="11"/>
  <c r="K270" i="106" s="1"/>
  <c r="S33" i="11"/>
  <c r="J270" i="106" s="1"/>
  <c r="R33" i="11"/>
  <c r="I270" i="106" s="1"/>
  <c r="Q33" i="11"/>
  <c r="H270" i="106" s="1"/>
  <c r="U33" i="11"/>
  <c r="L270" i="106" s="1"/>
  <c r="P33" i="11"/>
  <c r="G270" i="106" s="1"/>
  <c r="V27" i="11"/>
  <c r="M264" i="106" s="1"/>
  <c r="N27" i="11"/>
  <c r="T27" i="11"/>
  <c r="K264" i="106" s="1"/>
  <c r="U27" i="11"/>
  <c r="L264" i="106" s="1"/>
  <c r="S27" i="11"/>
  <c r="J264" i="106" s="1"/>
  <c r="R27" i="11"/>
  <c r="I264" i="106" s="1"/>
  <c r="Q27" i="11"/>
  <c r="H264" i="106" s="1"/>
  <c r="P27" i="11"/>
  <c r="G264" i="106" s="1"/>
  <c r="L27" i="11"/>
  <c r="C264" i="106" s="1"/>
  <c r="V24" i="11"/>
  <c r="M261" i="106" s="1"/>
  <c r="N24" i="11"/>
  <c r="U24" i="11"/>
  <c r="L261" i="106" s="1"/>
  <c r="T24" i="11"/>
  <c r="K261" i="106" s="1"/>
  <c r="S24" i="11"/>
  <c r="J261" i="106" s="1"/>
  <c r="R24" i="11"/>
  <c r="I261" i="106" s="1"/>
  <c r="Q24" i="11"/>
  <c r="H261" i="106" s="1"/>
  <c r="P24" i="11"/>
  <c r="G261" i="106" s="1"/>
  <c r="L24" i="11"/>
  <c r="C261" i="106" s="1"/>
  <c r="V17" i="11"/>
  <c r="M254" i="106" s="1"/>
  <c r="N17" i="11"/>
  <c r="R17" i="11"/>
  <c r="I254" i="106" s="1"/>
  <c r="Q17" i="11"/>
  <c r="H254" i="106" s="1"/>
  <c r="U17" i="11"/>
  <c r="L254" i="106" s="1"/>
  <c r="T17" i="11"/>
  <c r="K254" i="106" s="1"/>
  <c r="S17" i="11"/>
  <c r="J254" i="106" s="1"/>
  <c r="P17" i="11"/>
  <c r="G254" i="106" s="1"/>
  <c r="L17" i="11"/>
  <c r="C254" i="106" s="1"/>
  <c r="V34" i="11"/>
  <c r="M271" i="106" s="1"/>
  <c r="N34" i="11"/>
  <c r="Q34" i="11"/>
  <c r="H271" i="106" s="1"/>
  <c r="U34" i="11"/>
  <c r="L271" i="106" s="1"/>
  <c r="R34" i="11"/>
  <c r="I271" i="106" s="1"/>
  <c r="T34" i="11"/>
  <c r="K271" i="106" s="1"/>
  <c r="S34" i="11"/>
  <c r="J271" i="106" s="1"/>
  <c r="P34" i="11"/>
  <c r="G271" i="106" s="1"/>
  <c r="L34" i="11"/>
  <c r="C271" i="106" s="1"/>
  <c r="N31" i="11"/>
  <c r="T31" i="11"/>
  <c r="K268" i="106" s="1"/>
  <c r="S31" i="11"/>
  <c r="J268" i="106" s="1"/>
  <c r="Q31" i="11"/>
  <c r="H268" i="106" s="1"/>
  <c r="M28" i="11"/>
  <c r="D265" i="106" s="1"/>
  <c r="V25" i="11"/>
  <c r="M262" i="106" s="1"/>
  <c r="N25" i="11"/>
  <c r="T25" i="11"/>
  <c r="K262" i="106" s="1"/>
  <c r="U25" i="11"/>
  <c r="L262" i="106" s="1"/>
  <c r="P25" i="11"/>
  <c r="G262" i="106" s="1"/>
  <c r="S25" i="11"/>
  <c r="J262" i="106" s="1"/>
  <c r="R25" i="11"/>
  <c r="I262" i="106" s="1"/>
  <c r="Q25" i="11"/>
  <c r="H262" i="106" s="1"/>
  <c r="L25" i="11"/>
  <c r="C262" i="106" s="1"/>
  <c r="V22" i="11"/>
  <c r="M259" i="106" s="1"/>
  <c r="N22" i="11"/>
  <c r="U22" i="11"/>
  <c r="L259" i="106" s="1"/>
  <c r="R22" i="11"/>
  <c r="I259" i="106" s="1"/>
  <c r="Q22" i="11"/>
  <c r="H259" i="106" s="1"/>
  <c r="P22" i="11"/>
  <c r="G259" i="106" s="1"/>
  <c r="T22" i="11"/>
  <c r="K259" i="106" s="1"/>
  <c r="S22" i="11"/>
  <c r="J259" i="106" s="1"/>
  <c r="L22" i="11"/>
  <c r="C259" i="106" s="1"/>
  <c r="V18" i="11"/>
  <c r="M255" i="106" s="1"/>
  <c r="N18" i="11"/>
  <c r="Q18" i="11"/>
  <c r="H255" i="106" s="1"/>
  <c r="P18" i="11"/>
  <c r="G255" i="106" s="1"/>
  <c r="U18" i="11"/>
  <c r="L255" i="106" s="1"/>
  <c r="T18" i="11"/>
  <c r="K255" i="106" s="1"/>
  <c r="S18" i="11"/>
  <c r="J255" i="106" s="1"/>
  <c r="R18" i="11"/>
  <c r="I255" i="106" s="1"/>
  <c r="L18" i="11"/>
  <c r="C255" i="106" s="1"/>
  <c r="V15" i="11"/>
  <c r="M252" i="106" s="1"/>
  <c r="N15" i="11"/>
  <c r="U15" i="11"/>
  <c r="L252" i="106" s="1"/>
  <c r="T15" i="11"/>
  <c r="K252" i="106" s="1"/>
  <c r="S15" i="11"/>
  <c r="J252" i="106" s="1"/>
  <c r="R15" i="11"/>
  <c r="I252" i="106" s="1"/>
  <c r="Q15" i="11"/>
  <c r="H252" i="106" s="1"/>
  <c r="P15" i="11"/>
  <c r="G252" i="106" s="1"/>
  <c r="L15" i="11"/>
  <c r="C252" i="106" s="1"/>
  <c r="V12" i="11"/>
  <c r="M249" i="106" s="1"/>
  <c r="N12" i="11"/>
  <c r="T12" i="11"/>
  <c r="K249" i="106" s="1"/>
  <c r="U12" i="11"/>
  <c r="L249" i="106" s="1"/>
  <c r="S12" i="11"/>
  <c r="J249" i="106" s="1"/>
  <c r="R12" i="11"/>
  <c r="I249" i="106" s="1"/>
  <c r="Q12" i="11"/>
  <c r="H249" i="106" s="1"/>
  <c r="P12" i="11"/>
  <c r="G249" i="106" s="1"/>
  <c r="M11" i="11"/>
  <c r="D248" i="106" s="1"/>
  <c r="U10" i="11"/>
  <c r="L247" i="106" s="1"/>
  <c r="V9" i="11"/>
  <c r="M246" i="106" s="1"/>
  <c r="N9" i="11"/>
  <c r="P9" i="11"/>
  <c r="G246" i="106" s="1"/>
  <c r="U9" i="11"/>
  <c r="L246" i="106" s="1"/>
  <c r="T9" i="11"/>
  <c r="K246" i="106" s="1"/>
  <c r="S9" i="11"/>
  <c r="J246" i="106" s="1"/>
  <c r="R9" i="11"/>
  <c r="I246" i="106" s="1"/>
  <c r="Q9" i="11"/>
  <c r="H246" i="106" s="1"/>
  <c r="L9" i="11"/>
  <c r="C246" i="106" s="1"/>
  <c r="M8" i="11"/>
  <c r="D245" i="106" s="1"/>
  <c r="V7" i="11"/>
  <c r="M244" i="106" s="1"/>
  <c r="N7" i="11"/>
  <c r="P7" i="11"/>
  <c r="G244" i="106" s="1"/>
  <c r="U7" i="11"/>
  <c r="L244" i="106" s="1"/>
  <c r="T7" i="11"/>
  <c r="K244" i="106" s="1"/>
  <c r="R7" i="11"/>
  <c r="I244" i="106" s="1"/>
  <c r="Q7" i="11"/>
  <c r="H244" i="106" s="1"/>
  <c r="S7" i="11"/>
  <c r="J244" i="106" s="1"/>
  <c r="L7" i="11"/>
  <c r="C244" i="106" s="1"/>
  <c r="M6" i="11"/>
  <c r="D243" i="106" s="1"/>
  <c r="M5" i="11"/>
  <c r="D242" i="106" s="1"/>
  <c r="V4" i="11"/>
  <c r="M241" i="106" s="1"/>
  <c r="N4" i="11"/>
  <c r="R4" i="11"/>
  <c r="I241" i="106" s="1"/>
  <c r="Q4" i="11"/>
  <c r="H241" i="106" s="1"/>
  <c r="P4" i="11"/>
  <c r="G241" i="106" s="1"/>
  <c r="U4" i="11"/>
  <c r="L241" i="106" s="1"/>
  <c r="T4" i="11"/>
  <c r="K241" i="106" s="1"/>
  <c r="S4" i="11"/>
  <c r="J241" i="106" s="1"/>
  <c r="V3" i="11"/>
  <c r="M240" i="106" s="1"/>
  <c r="N3" i="11"/>
  <c r="U3" i="11"/>
  <c r="L240" i="106" s="1"/>
  <c r="T3" i="11"/>
  <c r="K240" i="106" s="1"/>
  <c r="S3" i="11"/>
  <c r="J240" i="106" s="1"/>
  <c r="R3" i="11"/>
  <c r="I240" i="106" s="1"/>
  <c r="Q3" i="11"/>
  <c r="H240" i="106" s="1"/>
  <c r="P3" i="11"/>
  <c r="G240" i="106" s="1"/>
  <c r="L3" i="11"/>
  <c r="C240" i="106" s="1"/>
  <c r="M45" i="8"/>
  <c r="L45" i="8"/>
  <c r="M44" i="8"/>
  <c r="L44" i="8"/>
  <c r="M42" i="8"/>
  <c r="V41" i="8"/>
  <c r="N41" i="8"/>
  <c r="O41" i="8" s="1"/>
  <c r="R41" i="8"/>
  <c r="Q41" i="8"/>
  <c r="P41" i="8"/>
  <c r="U41" i="8"/>
  <c r="T41" i="8"/>
  <c r="S41" i="8"/>
  <c r="L41" i="8"/>
  <c r="V38" i="8"/>
  <c r="N38" i="8"/>
  <c r="O38" i="8" s="1"/>
  <c r="S38" i="8"/>
  <c r="R38" i="8"/>
  <c r="Q38" i="8"/>
  <c r="P38" i="8"/>
  <c r="U38" i="8"/>
  <c r="T38" i="8"/>
  <c r="L38" i="8"/>
  <c r="V37" i="8"/>
  <c r="M32" i="8"/>
  <c r="L32" i="8"/>
  <c r="V30" i="8"/>
  <c r="N30" i="8"/>
  <c r="O30" i="8" s="1"/>
  <c r="R30" i="8"/>
  <c r="Q30" i="8"/>
  <c r="U30" i="8"/>
  <c r="P30" i="8"/>
  <c r="T30" i="8"/>
  <c r="S30" i="8"/>
  <c r="L30" i="8"/>
  <c r="V29" i="8"/>
  <c r="N29" i="8"/>
  <c r="O29" i="8" s="1"/>
  <c r="U29" i="8"/>
  <c r="T29" i="8"/>
  <c r="P29" i="8"/>
  <c r="S29" i="8"/>
  <c r="R29" i="8"/>
  <c r="Q29" i="8"/>
  <c r="L29" i="8"/>
  <c r="V27" i="8"/>
  <c r="N27" i="8"/>
  <c r="O27" i="8" s="1"/>
  <c r="R27" i="8"/>
  <c r="Q27" i="8"/>
  <c r="P27" i="8"/>
  <c r="U27" i="8"/>
  <c r="T27" i="8"/>
  <c r="S27" i="8"/>
  <c r="L27" i="8"/>
  <c r="M26" i="8"/>
  <c r="V24" i="8"/>
  <c r="N24" i="8"/>
  <c r="O24" i="8" s="1"/>
  <c r="R24" i="8"/>
  <c r="Q24" i="8"/>
  <c r="P24" i="8"/>
  <c r="U24" i="8"/>
  <c r="T24" i="8"/>
  <c r="S24" i="8"/>
  <c r="L24" i="8"/>
  <c r="M23" i="8"/>
  <c r="V20" i="8"/>
  <c r="N20" i="8"/>
  <c r="O20" i="8" s="1"/>
  <c r="S20" i="8"/>
  <c r="U20" i="8"/>
  <c r="T20" i="8"/>
  <c r="R20" i="8"/>
  <c r="Q20" i="8"/>
  <c r="P20" i="8"/>
  <c r="L20" i="8"/>
  <c r="M19" i="8"/>
  <c r="M17" i="8"/>
  <c r="V14" i="8"/>
  <c r="N14" i="8"/>
  <c r="O14" i="8" s="1"/>
  <c r="U14" i="8"/>
  <c r="R14" i="8"/>
  <c r="Q14" i="8"/>
  <c r="P14" i="8"/>
  <c r="T14" i="8"/>
  <c r="S14" i="8"/>
  <c r="L14" i="8"/>
  <c r="M13" i="8"/>
  <c r="L13" i="8"/>
  <c r="V11" i="8"/>
  <c r="N11" i="8"/>
  <c r="O11" i="8" s="1"/>
  <c r="R11" i="8"/>
  <c r="Q11" i="8"/>
  <c r="P11" i="8"/>
  <c r="U11" i="8"/>
  <c r="T11" i="8"/>
  <c r="S11" i="8"/>
  <c r="L11" i="8"/>
  <c r="M10" i="8"/>
  <c r="L10" i="8"/>
  <c r="H44" i="12"/>
  <c r="M44" i="12" s="1"/>
  <c r="H36" i="12"/>
  <c r="M36" i="12" s="1"/>
  <c r="H9" i="12"/>
  <c r="M9" i="12" s="1"/>
  <c r="H41" i="12"/>
  <c r="M41" i="12" s="1"/>
  <c r="C46" i="12"/>
  <c r="G46" i="12" s="1"/>
  <c r="C18" i="12"/>
  <c r="G18" i="12" s="1"/>
  <c r="H14" i="12"/>
  <c r="M14" i="12" s="1"/>
  <c r="C34" i="12"/>
  <c r="G34" i="12" s="1"/>
  <c r="C30" i="12"/>
  <c r="G30" i="12" s="1"/>
  <c r="C26" i="12"/>
  <c r="G26" i="12" s="1"/>
  <c r="C19" i="12"/>
  <c r="G19" i="12" s="1"/>
  <c r="C15" i="12"/>
  <c r="G15" i="12" s="1"/>
  <c r="C8" i="9"/>
  <c r="G8" i="9" s="1"/>
  <c r="O25" i="11" l="1"/>
  <c r="F262" i="106" s="1"/>
  <c r="E262" i="106"/>
  <c r="O24" i="11"/>
  <c r="F261" i="106" s="1"/>
  <c r="E261" i="106"/>
  <c r="O19" i="11"/>
  <c r="F256" i="106" s="1"/>
  <c r="E256" i="106"/>
  <c r="O27" i="11"/>
  <c r="F264" i="106" s="1"/>
  <c r="E264" i="106"/>
  <c r="O33" i="11"/>
  <c r="F270" i="106" s="1"/>
  <c r="E270" i="106"/>
  <c r="O9" i="11"/>
  <c r="F246" i="106" s="1"/>
  <c r="E246" i="106"/>
  <c r="O13" i="11"/>
  <c r="F250" i="106" s="1"/>
  <c r="E250" i="106"/>
  <c r="O22" i="11"/>
  <c r="F259" i="106" s="1"/>
  <c r="E259" i="106"/>
  <c r="O17" i="11"/>
  <c r="F254" i="106" s="1"/>
  <c r="E254" i="106"/>
  <c r="O7" i="11"/>
  <c r="F244" i="106" s="1"/>
  <c r="E244" i="106"/>
  <c r="O16" i="11"/>
  <c r="F253" i="106" s="1"/>
  <c r="E253" i="106"/>
  <c r="O12" i="11"/>
  <c r="F249" i="106" s="1"/>
  <c r="E249" i="106"/>
  <c r="P14" i="11"/>
  <c r="G251" i="106" s="1"/>
  <c r="D251" i="106"/>
  <c r="U31" i="11"/>
  <c r="L268" i="106" s="1"/>
  <c r="D268" i="106"/>
  <c r="O3" i="11"/>
  <c r="F240" i="106" s="1"/>
  <c r="E240" i="106"/>
  <c r="O4" i="11"/>
  <c r="F241" i="106" s="1"/>
  <c r="E241" i="106"/>
  <c r="O15" i="11"/>
  <c r="F252" i="106" s="1"/>
  <c r="E252" i="106"/>
  <c r="O23" i="11"/>
  <c r="F260" i="106" s="1"/>
  <c r="E260" i="106"/>
  <c r="V10" i="11"/>
  <c r="M247" i="106" s="1"/>
  <c r="D247" i="106"/>
  <c r="R30" i="11"/>
  <c r="I267" i="106" s="1"/>
  <c r="D267" i="106"/>
  <c r="O29" i="11"/>
  <c r="F266" i="106" s="1"/>
  <c r="E266" i="106"/>
  <c r="O18" i="11"/>
  <c r="F255" i="106" s="1"/>
  <c r="E255" i="106"/>
  <c r="O31" i="11"/>
  <c r="F268" i="106" s="1"/>
  <c r="E268" i="106"/>
  <c r="O34" i="11"/>
  <c r="F271" i="106" s="1"/>
  <c r="E271" i="106"/>
  <c r="T21" i="11"/>
  <c r="K258" i="106" s="1"/>
  <c r="D258" i="106"/>
  <c r="T10" i="11"/>
  <c r="K247" i="106" s="1"/>
  <c r="R10" i="11"/>
  <c r="I247" i="106" s="1"/>
  <c r="S10" i="11"/>
  <c r="J247" i="106" s="1"/>
  <c r="S30" i="11"/>
  <c r="J267" i="106" s="1"/>
  <c r="N21" i="11"/>
  <c r="R37" i="8"/>
  <c r="U37" i="8"/>
  <c r="U14" i="11"/>
  <c r="L251" i="106" s="1"/>
  <c r="P37" i="8"/>
  <c r="Q14" i="11"/>
  <c r="H251" i="106" s="1"/>
  <c r="P21" i="11"/>
  <c r="G258" i="106" s="1"/>
  <c r="Q21" i="11"/>
  <c r="H258" i="106" s="1"/>
  <c r="T16" i="8"/>
  <c r="U21" i="11"/>
  <c r="L258" i="106" s="1"/>
  <c r="T30" i="11"/>
  <c r="K267" i="106" s="1"/>
  <c r="Q37" i="8"/>
  <c r="V21" i="11"/>
  <c r="M258" i="106" s="1"/>
  <c r="U30" i="11"/>
  <c r="L267" i="106" s="1"/>
  <c r="L30" i="11"/>
  <c r="C267" i="106" s="1"/>
  <c r="S37" i="8"/>
  <c r="R21" i="11"/>
  <c r="I258" i="106" s="1"/>
  <c r="P30" i="11"/>
  <c r="G267" i="106" s="1"/>
  <c r="N30" i="11"/>
  <c r="V30" i="11"/>
  <c r="M267" i="106" s="1"/>
  <c r="T37" i="8"/>
  <c r="S21" i="11"/>
  <c r="J258" i="106" s="1"/>
  <c r="Q30" i="11"/>
  <c r="H267" i="106" s="1"/>
  <c r="L22" i="12"/>
  <c r="M22" i="12"/>
  <c r="T22" i="12" s="1"/>
  <c r="U22" i="12" s="1"/>
  <c r="L24" i="12"/>
  <c r="M24" i="12"/>
  <c r="R24" i="12" s="1"/>
  <c r="R16" i="8"/>
  <c r="S14" i="11"/>
  <c r="J251" i="106" s="1"/>
  <c r="S16" i="8"/>
  <c r="Q10" i="11"/>
  <c r="H247" i="106" s="1"/>
  <c r="R31" i="11"/>
  <c r="I268" i="106" s="1"/>
  <c r="T14" i="11"/>
  <c r="K251" i="106" s="1"/>
  <c r="L44" i="12"/>
  <c r="U16" i="8"/>
  <c r="P10" i="11"/>
  <c r="G247" i="106" s="1"/>
  <c r="V31" i="11"/>
  <c r="M268" i="106" s="1"/>
  <c r="N14" i="11"/>
  <c r="R14" i="11"/>
  <c r="I251" i="106" s="1"/>
  <c r="P16" i="8"/>
  <c r="N10" i="11"/>
  <c r="P31" i="11"/>
  <c r="G268" i="106" s="1"/>
  <c r="V14" i="11"/>
  <c r="M251" i="106" s="1"/>
  <c r="N16" i="8"/>
  <c r="O16" i="8" s="1"/>
  <c r="V16" i="8"/>
  <c r="V32" i="11"/>
  <c r="M269" i="106" s="1"/>
  <c r="N32" i="11"/>
  <c r="U32" i="11"/>
  <c r="L269" i="106" s="1"/>
  <c r="T32" i="11"/>
  <c r="K269" i="106" s="1"/>
  <c r="S32" i="11"/>
  <c r="J269" i="106" s="1"/>
  <c r="R32" i="11"/>
  <c r="I269" i="106" s="1"/>
  <c r="Q32" i="11"/>
  <c r="H269" i="106" s="1"/>
  <c r="P32" i="11"/>
  <c r="G269" i="106" s="1"/>
  <c r="V26" i="11"/>
  <c r="M263" i="106" s="1"/>
  <c r="N26" i="11"/>
  <c r="S26" i="11"/>
  <c r="J263" i="106" s="1"/>
  <c r="R26" i="11"/>
  <c r="I263" i="106" s="1"/>
  <c r="Q26" i="11"/>
  <c r="H263" i="106" s="1"/>
  <c r="U26" i="11"/>
  <c r="L263" i="106" s="1"/>
  <c r="T26" i="11"/>
  <c r="K263" i="106" s="1"/>
  <c r="P26" i="11"/>
  <c r="G263" i="106" s="1"/>
  <c r="V20" i="11"/>
  <c r="M257" i="106" s="1"/>
  <c r="N20" i="11"/>
  <c r="U20" i="11"/>
  <c r="L257" i="106" s="1"/>
  <c r="T20" i="11"/>
  <c r="K257" i="106" s="1"/>
  <c r="S20" i="11"/>
  <c r="J257" i="106" s="1"/>
  <c r="R20" i="11"/>
  <c r="I257" i="106" s="1"/>
  <c r="Q20" i="11"/>
  <c r="H257" i="106" s="1"/>
  <c r="P20" i="11"/>
  <c r="G257" i="106" s="1"/>
  <c r="V28" i="11"/>
  <c r="M265" i="106" s="1"/>
  <c r="N28" i="11"/>
  <c r="U28" i="11"/>
  <c r="L265" i="106" s="1"/>
  <c r="T28" i="11"/>
  <c r="K265" i="106" s="1"/>
  <c r="S28" i="11"/>
  <c r="J265" i="106" s="1"/>
  <c r="R28" i="11"/>
  <c r="I265" i="106" s="1"/>
  <c r="Q28" i="11"/>
  <c r="H265" i="106" s="1"/>
  <c r="P28" i="11"/>
  <c r="G265" i="106" s="1"/>
  <c r="V11" i="11"/>
  <c r="M248" i="106" s="1"/>
  <c r="N11" i="11"/>
  <c r="U11" i="11"/>
  <c r="L248" i="106" s="1"/>
  <c r="T11" i="11"/>
  <c r="K248" i="106" s="1"/>
  <c r="Q11" i="11"/>
  <c r="H248" i="106" s="1"/>
  <c r="P11" i="11"/>
  <c r="G248" i="106" s="1"/>
  <c r="S11" i="11"/>
  <c r="J248" i="106" s="1"/>
  <c r="R11" i="11"/>
  <c r="I248" i="106" s="1"/>
  <c r="V8" i="11"/>
  <c r="M245" i="106" s="1"/>
  <c r="N8" i="11"/>
  <c r="U8" i="11"/>
  <c r="L245" i="106" s="1"/>
  <c r="T8" i="11"/>
  <c r="K245" i="106" s="1"/>
  <c r="Q8" i="11"/>
  <c r="H245" i="106" s="1"/>
  <c r="S8" i="11"/>
  <c r="J245" i="106" s="1"/>
  <c r="R8" i="11"/>
  <c r="I245" i="106" s="1"/>
  <c r="P8" i="11"/>
  <c r="G245" i="106" s="1"/>
  <c r="V6" i="11"/>
  <c r="M243" i="106" s="1"/>
  <c r="N6" i="11"/>
  <c r="U6" i="11"/>
  <c r="L243" i="106" s="1"/>
  <c r="T6" i="11"/>
  <c r="K243" i="106" s="1"/>
  <c r="S6" i="11"/>
  <c r="J243" i="106" s="1"/>
  <c r="R6" i="11"/>
  <c r="I243" i="106" s="1"/>
  <c r="Q6" i="11"/>
  <c r="H243" i="106" s="1"/>
  <c r="P6" i="11"/>
  <c r="G243" i="106" s="1"/>
  <c r="V5" i="11"/>
  <c r="M242" i="106" s="1"/>
  <c r="N5" i="11"/>
  <c r="S5" i="11"/>
  <c r="J242" i="106" s="1"/>
  <c r="R5" i="11"/>
  <c r="I242" i="106" s="1"/>
  <c r="Q5" i="11"/>
  <c r="H242" i="106" s="1"/>
  <c r="U5" i="11"/>
  <c r="L242" i="106" s="1"/>
  <c r="T5" i="11"/>
  <c r="K242" i="106" s="1"/>
  <c r="P5" i="11"/>
  <c r="G242" i="106" s="1"/>
  <c r="V45" i="8"/>
  <c r="N45" i="8"/>
  <c r="O45" i="8" s="1"/>
  <c r="U45" i="8"/>
  <c r="T45" i="8"/>
  <c r="P45" i="8"/>
  <c r="S45" i="8"/>
  <c r="R45" i="8"/>
  <c r="Q45" i="8"/>
  <c r="V44" i="8"/>
  <c r="N44" i="8"/>
  <c r="O44" i="8" s="1"/>
  <c r="U44" i="8"/>
  <c r="T44" i="8"/>
  <c r="S44" i="8"/>
  <c r="P44" i="8"/>
  <c r="R44" i="8"/>
  <c r="Q44" i="8"/>
  <c r="V42" i="8"/>
  <c r="N42" i="8"/>
  <c r="O42" i="8" s="1"/>
  <c r="T42" i="8"/>
  <c r="S42" i="8"/>
  <c r="U42" i="8"/>
  <c r="R42" i="8"/>
  <c r="Q42" i="8"/>
  <c r="P42" i="8"/>
  <c r="V32" i="8"/>
  <c r="N32" i="8"/>
  <c r="O32" i="8" s="1"/>
  <c r="U32" i="8"/>
  <c r="T32" i="8"/>
  <c r="S32" i="8"/>
  <c r="R32" i="8"/>
  <c r="Q32" i="8"/>
  <c r="P32" i="8"/>
  <c r="V26" i="8"/>
  <c r="N26" i="8"/>
  <c r="O26" i="8" s="1"/>
  <c r="T26" i="8"/>
  <c r="U26" i="8"/>
  <c r="R26" i="8"/>
  <c r="Q26" i="8"/>
  <c r="P26" i="8"/>
  <c r="S26" i="8"/>
  <c r="V23" i="8"/>
  <c r="N23" i="8"/>
  <c r="O23" i="8" s="1"/>
  <c r="T23" i="8"/>
  <c r="U23" i="8"/>
  <c r="S23" i="8"/>
  <c r="R23" i="8"/>
  <c r="Q23" i="8"/>
  <c r="P23" i="8"/>
  <c r="V19" i="8"/>
  <c r="N19" i="8"/>
  <c r="O19" i="8" s="1"/>
  <c r="T19" i="8"/>
  <c r="R19" i="8"/>
  <c r="Q19" i="8"/>
  <c r="P19" i="8"/>
  <c r="U19" i="8"/>
  <c r="S19" i="8"/>
  <c r="V17" i="8"/>
  <c r="N17" i="8"/>
  <c r="O17" i="8" s="1"/>
  <c r="S17" i="8"/>
  <c r="U17" i="8"/>
  <c r="T17" i="8"/>
  <c r="R17" i="8"/>
  <c r="Q17" i="8"/>
  <c r="P17" i="8"/>
  <c r="V13" i="8"/>
  <c r="N13" i="8"/>
  <c r="O13" i="8" s="1"/>
  <c r="U13" i="8"/>
  <c r="R13" i="8"/>
  <c r="Q13" i="8"/>
  <c r="P13" i="8"/>
  <c r="T13" i="8"/>
  <c r="S13" i="8"/>
  <c r="V10" i="8"/>
  <c r="N10" i="8"/>
  <c r="O10" i="8" s="1"/>
  <c r="U10" i="8"/>
  <c r="R10" i="8"/>
  <c r="Q10" i="8"/>
  <c r="P10" i="8"/>
  <c r="T10" i="8"/>
  <c r="S10" i="8"/>
  <c r="W44" i="12"/>
  <c r="N44" i="12"/>
  <c r="O44" i="12" s="1"/>
  <c r="V44" i="12"/>
  <c r="R44" i="12"/>
  <c r="Q44" i="12"/>
  <c r="P44" i="12"/>
  <c r="T44" i="12"/>
  <c r="U44" i="12" s="1"/>
  <c r="S44" i="12"/>
  <c r="W40" i="12"/>
  <c r="N40" i="12"/>
  <c r="O40" i="12" s="1"/>
  <c r="Q40" i="12"/>
  <c r="V40" i="12"/>
  <c r="T40" i="12"/>
  <c r="U40" i="12" s="1"/>
  <c r="S40" i="12"/>
  <c r="R40" i="12"/>
  <c r="P40" i="12"/>
  <c r="L40" i="12"/>
  <c r="W36" i="12"/>
  <c r="N36" i="12"/>
  <c r="O36" i="12" s="1"/>
  <c r="V36" i="12"/>
  <c r="T36" i="12"/>
  <c r="U36" i="12" s="1"/>
  <c r="S36" i="12"/>
  <c r="R36" i="12"/>
  <c r="Q36" i="12"/>
  <c r="P36" i="12"/>
  <c r="L36" i="12"/>
  <c r="W32" i="12"/>
  <c r="N32" i="12"/>
  <c r="O32" i="12" s="1"/>
  <c r="V32" i="12"/>
  <c r="T32" i="12"/>
  <c r="U32" i="12" s="1"/>
  <c r="S32" i="12"/>
  <c r="R32" i="12"/>
  <c r="Q32" i="12"/>
  <c r="P32" i="12"/>
  <c r="L32" i="12"/>
  <c r="W28" i="12"/>
  <c r="N28" i="12"/>
  <c r="O28" i="12" s="1"/>
  <c r="R28" i="12"/>
  <c r="P28" i="12"/>
  <c r="V28" i="12"/>
  <c r="Q28" i="12"/>
  <c r="T28" i="12"/>
  <c r="U28" i="12" s="1"/>
  <c r="S28" i="12"/>
  <c r="L28" i="12"/>
  <c r="V24" i="12"/>
  <c r="T24" i="12"/>
  <c r="U24" i="12" s="1"/>
  <c r="W21" i="12"/>
  <c r="N21" i="12"/>
  <c r="O21" i="12" s="1"/>
  <c r="P21" i="12"/>
  <c r="V21" i="12"/>
  <c r="T21" i="12"/>
  <c r="U21" i="12" s="1"/>
  <c r="S21" i="12"/>
  <c r="R21" i="12"/>
  <c r="Q21" i="12"/>
  <c r="L21" i="12"/>
  <c r="W17" i="12"/>
  <c r="N17" i="12"/>
  <c r="O17" i="12" s="1"/>
  <c r="V17" i="12"/>
  <c r="R17" i="12"/>
  <c r="Q17" i="12"/>
  <c r="P17" i="12"/>
  <c r="T17" i="12"/>
  <c r="U17" i="12" s="1"/>
  <c r="S17" i="12"/>
  <c r="L17" i="12"/>
  <c r="M13" i="12"/>
  <c r="W9" i="12"/>
  <c r="N9" i="12"/>
  <c r="O9" i="12" s="1"/>
  <c r="V9" i="12"/>
  <c r="T9" i="12"/>
  <c r="U9" i="12" s="1"/>
  <c r="S9" i="12"/>
  <c r="R9" i="12"/>
  <c r="Q9" i="12"/>
  <c r="P9" i="12"/>
  <c r="L9" i="12"/>
  <c r="W45" i="12"/>
  <c r="N45" i="12"/>
  <c r="O45" i="12" s="1"/>
  <c r="V45" i="12"/>
  <c r="T45" i="12"/>
  <c r="U45" i="12" s="1"/>
  <c r="S45" i="12"/>
  <c r="P45" i="12"/>
  <c r="R45" i="12"/>
  <c r="Q45" i="12"/>
  <c r="L45" i="12"/>
  <c r="W41" i="12"/>
  <c r="N41" i="12"/>
  <c r="O41" i="12" s="1"/>
  <c r="V41" i="12"/>
  <c r="S41" i="12"/>
  <c r="R41" i="12"/>
  <c r="Q41" i="12"/>
  <c r="P41" i="12"/>
  <c r="T41" i="12"/>
  <c r="U41" i="12" s="1"/>
  <c r="L41" i="12"/>
  <c r="H46" i="12"/>
  <c r="L46" i="12" s="1"/>
  <c r="W42" i="12"/>
  <c r="N42" i="12"/>
  <c r="O42" i="12" s="1"/>
  <c r="V42" i="12"/>
  <c r="T42" i="12"/>
  <c r="U42" i="12" s="1"/>
  <c r="S42" i="12"/>
  <c r="R42" i="12"/>
  <c r="Q42" i="12"/>
  <c r="P42" i="12"/>
  <c r="L42" i="12"/>
  <c r="W37" i="12"/>
  <c r="N37" i="12"/>
  <c r="O37" i="12" s="1"/>
  <c r="V37" i="12"/>
  <c r="R37" i="12"/>
  <c r="T37" i="12"/>
  <c r="U37" i="12" s="1"/>
  <c r="S37" i="12"/>
  <c r="Q37" i="12"/>
  <c r="P37" i="12"/>
  <c r="L37" i="12"/>
  <c r="W33" i="12"/>
  <c r="N33" i="12"/>
  <c r="O33" i="12" s="1"/>
  <c r="V33" i="12"/>
  <c r="S33" i="12"/>
  <c r="T33" i="12"/>
  <c r="U33" i="12" s="1"/>
  <c r="R33" i="12"/>
  <c r="Q33" i="12"/>
  <c r="P33" i="12"/>
  <c r="L33" i="12"/>
  <c r="M29" i="12"/>
  <c r="W25" i="12"/>
  <c r="N25" i="12"/>
  <c r="O25" i="12" s="1"/>
  <c r="V25" i="12"/>
  <c r="R25" i="12"/>
  <c r="Q25" i="12"/>
  <c r="P25" i="12"/>
  <c r="T25" i="12"/>
  <c r="U25" i="12" s="1"/>
  <c r="S25" i="12"/>
  <c r="L25" i="12"/>
  <c r="H18" i="12"/>
  <c r="M18" i="12" s="1"/>
  <c r="W14" i="12"/>
  <c r="N14" i="12"/>
  <c r="O14" i="12" s="1"/>
  <c r="V14" i="12"/>
  <c r="T14" i="12"/>
  <c r="U14" i="12" s="1"/>
  <c r="S14" i="12"/>
  <c r="R14" i="12"/>
  <c r="Q14" i="12"/>
  <c r="P14" i="12"/>
  <c r="L14" i="12"/>
  <c r="M10" i="12"/>
  <c r="W38" i="12"/>
  <c r="N38" i="12"/>
  <c r="O38" i="12" s="1"/>
  <c r="V38" i="12"/>
  <c r="T38" i="12"/>
  <c r="U38" i="12" s="1"/>
  <c r="S38" i="12"/>
  <c r="R38" i="12"/>
  <c r="Q38" i="12"/>
  <c r="P38" i="12"/>
  <c r="L38" i="12"/>
  <c r="H34" i="12"/>
  <c r="L34" i="12" s="1"/>
  <c r="H30" i="12"/>
  <c r="M30" i="12" s="1"/>
  <c r="H26" i="12"/>
  <c r="L26" i="12" s="1"/>
  <c r="H19" i="12"/>
  <c r="M19" i="12" s="1"/>
  <c r="H15" i="12"/>
  <c r="M15" i="12" s="1"/>
  <c r="W11" i="12"/>
  <c r="N11" i="12"/>
  <c r="O11" i="12" s="1"/>
  <c r="V11" i="12"/>
  <c r="R11" i="12"/>
  <c r="Q11" i="12"/>
  <c r="P11" i="12"/>
  <c r="T11" i="12"/>
  <c r="U11" i="12" s="1"/>
  <c r="S11" i="12"/>
  <c r="L11" i="12"/>
  <c r="H8" i="9"/>
  <c r="M8" i="9" s="1"/>
  <c r="O30" i="11" l="1"/>
  <c r="F267" i="106" s="1"/>
  <c r="E267" i="106"/>
  <c r="O21" i="11"/>
  <c r="F258" i="106" s="1"/>
  <c r="E258" i="106"/>
  <c r="O10" i="11"/>
  <c r="F247" i="106" s="1"/>
  <c r="E247" i="106"/>
  <c r="O5" i="11"/>
  <c r="F242" i="106" s="1"/>
  <c r="E242" i="106"/>
  <c r="O6" i="11"/>
  <c r="F243" i="106" s="1"/>
  <c r="E243" i="106"/>
  <c r="O8" i="11"/>
  <c r="F245" i="106" s="1"/>
  <c r="E245" i="106"/>
  <c r="O11" i="11"/>
  <c r="F248" i="106" s="1"/>
  <c r="E248" i="106"/>
  <c r="O28" i="11"/>
  <c r="F265" i="106" s="1"/>
  <c r="E265" i="106"/>
  <c r="O20" i="11"/>
  <c r="F257" i="106" s="1"/>
  <c r="E257" i="106"/>
  <c r="O26" i="11"/>
  <c r="F263" i="106" s="1"/>
  <c r="E263" i="106"/>
  <c r="O32" i="11"/>
  <c r="F269" i="106" s="1"/>
  <c r="E269" i="106"/>
  <c r="O14" i="11"/>
  <c r="F251" i="106" s="1"/>
  <c r="E251" i="106"/>
  <c r="V22" i="12"/>
  <c r="N22" i="12"/>
  <c r="O22" i="12" s="1"/>
  <c r="W22" i="12"/>
  <c r="Q22" i="12"/>
  <c r="R22" i="12"/>
  <c r="P22" i="12"/>
  <c r="S22" i="12"/>
  <c r="S24" i="12"/>
  <c r="N24" i="12"/>
  <c r="O24" i="12" s="1"/>
  <c r="Q24" i="12"/>
  <c r="W24" i="12"/>
  <c r="P24" i="12"/>
  <c r="W13" i="12"/>
  <c r="N13" i="12"/>
  <c r="O13" i="12" s="1"/>
  <c r="V13" i="12"/>
  <c r="T13" i="12"/>
  <c r="U13" i="12" s="1"/>
  <c r="S13" i="12"/>
  <c r="R13" i="12"/>
  <c r="Q13" i="12"/>
  <c r="P13" i="12"/>
  <c r="M46" i="12"/>
  <c r="W29" i="12"/>
  <c r="N29" i="12"/>
  <c r="O29" i="12" s="1"/>
  <c r="V29" i="12"/>
  <c r="R29" i="12"/>
  <c r="Q29" i="12"/>
  <c r="P29" i="12"/>
  <c r="T29" i="12"/>
  <c r="U29" i="12" s="1"/>
  <c r="S29" i="12"/>
  <c r="W18" i="12"/>
  <c r="N18" i="12"/>
  <c r="O18" i="12" s="1"/>
  <c r="V18" i="12"/>
  <c r="S18" i="12"/>
  <c r="R18" i="12"/>
  <c r="Q18" i="12"/>
  <c r="P18" i="12"/>
  <c r="T18" i="12"/>
  <c r="U18" i="12" s="1"/>
  <c r="L18" i="12"/>
  <c r="W10" i="12"/>
  <c r="N10" i="12"/>
  <c r="O10" i="12" s="1"/>
  <c r="V10" i="12"/>
  <c r="P10" i="12"/>
  <c r="T10" i="12"/>
  <c r="U10" i="12" s="1"/>
  <c r="S10" i="12"/>
  <c r="R10" i="12"/>
  <c r="Q10" i="12"/>
  <c r="M34" i="12"/>
  <c r="W30" i="12"/>
  <c r="N30" i="12"/>
  <c r="O30" i="12" s="1"/>
  <c r="V30" i="12"/>
  <c r="T30" i="12"/>
  <c r="U30" i="12" s="1"/>
  <c r="S30" i="12"/>
  <c r="R30" i="12"/>
  <c r="Q30" i="12"/>
  <c r="P30" i="12"/>
  <c r="L30" i="12"/>
  <c r="M26" i="12"/>
  <c r="W19" i="12"/>
  <c r="N19" i="12"/>
  <c r="O19" i="12" s="1"/>
  <c r="V19" i="12"/>
  <c r="T19" i="12"/>
  <c r="U19" i="12" s="1"/>
  <c r="S19" i="12"/>
  <c r="R19" i="12"/>
  <c r="Q19" i="12"/>
  <c r="P19" i="12"/>
  <c r="L19" i="12"/>
  <c r="W15" i="12"/>
  <c r="N15" i="12"/>
  <c r="O15" i="12" s="1"/>
  <c r="V15" i="12"/>
  <c r="T15" i="12"/>
  <c r="U15" i="12" s="1"/>
  <c r="S15" i="12"/>
  <c r="R15" i="12"/>
  <c r="Q15" i="12"/>
  <c r="P15" i="12"/>
  <c r="L15" i="12"/>
  <c r="V8" i="9"/>
  <c r="N8" i="9"/>
  <c r="O8" i="9" s="1"/>
  <c r="R8" i="9"/>
  <c r="Q8" i="9"/>
  <c r="P8" i="9"/>
  <c r="U8" i="9"/>
  <c r="T8" i="9"/>
  <c r="S8" i="9"/>
  <c r="L8" i="9"/>
  <c r="W46" i="12" l="1"/>
  <c r="N46" i="12"/>
  <c r="O46" i="12" s="1"/>
  <c r="V46" i="12"/>
  <c r="T46" i="12"/>
  <c r="U46" i="12" s="1"/>
  <c r="R46" i="12"/>
  <c r="Q46" i="12"/>
  <c r="P46" i="12"/>
  <c r="S46" i="12"/>
  <c r="W34" i="12"/>
  <c r="N34" i="12"/>
  <c r="O34" i="12" s="1"/>
  <c r="V34" i="12"/>
  <c r="S34" i="12"/>
  <c r="R34" i="12"/>
  <c r="Q34" i="12"/>
  <c r="P34" i="12"/>
  <c r="T34" i="12"/>
  <c r="U34" i="12" s="1"/>
  <c r="W26" i="12"/>
  <c r="N26" i="12"/>
  <c r="O26" i="12" s="1"/>
  <c r="V26" i="12"/>
  <c r="T26" i="12"/>
  <c r="U26" i="12" s="1"/>
  <c r="S26" i="12"/>
  <c r="R26" i="12"/>
  <c r="Q26" i="12"/>
  <c r="P26" i="12"/>
  <c r="H6" i="10" l="1"/>
  <c r="B6" i="10"/>
  <c r="D6" i="10" s="1"/>
  <c r="H112" i="49"/>
  <c r="B112" i="49"/>
  <c r="D112" i="49" s="1"/>
  <c r="H111" i="49"/>
  <c r="B111" i="49"/>
  <c r="D111" i="49" s="1"/>
  <c r="H110" i="49"/>
  <c r="B110" i="49"/>
  <c r="D110" i="49" s="1"/>
  <c r="H109" i="49"/>
  <c r="B109" i="49"/>
  <c r="D109" i="49" s="1"/>
  <c r="C109" i="49" l="1"/>
  <c r="E109" i="49" s="1"/>
  <c r="F109" i="49" s="1"/>
  <c r="L109" i="49" s="1"/>
  <c r="C6" i="10"/>
  <c r="E6" i="10" s="1"/>
  <c r="C112" i="49"/>
  <c r="E112" i="49" s="1"/>
  <c r="C111" i="49"/>
  <c r="E111" i="49" s="1"/>
  <c r="C110" i="49"/>
  <c r="E110" i="49" s="1"/>
  <c r="I41" i="18"/>
  <c r="B41" i="18"/>
  <c r="D41" i="18" s="1"/>
  <c r="I40" i="18"/>
  <c r="B40" i="18"/>
  <c r="D40" i="18" s="1"/>
  <c r="F6" i="10" l="1"/>
  <c r="M6" i="10" s="1"/>
  <c r="C559" i="106"/>
  <c r="F112" i="49"/>
  <c r="M112" i="49" s="1"/>
  <c r="F111" i="49"/>
  <c r="M111" i="49" s="1"/>
  <c r="F110" i="49"/>
  <c r="M110" i="49" s="1"/>
  <c r="M109" i="49"/>
  <c r="C41" i="18"/>
  <c r="G41" i="18" s="1"/>
  <c r="C40" i="18"/>
  <c r="G40" i="18" s="1"/>
  <c r="AC112" i="49" l="1"/>
  <c r="AB112" i="49"/>
  <c r="AA112" i="49"/>
  <c r="Z112" i="49"/>
  <c r="Y112" i="49"/>
  <c r="AC109" i="49"/>
  <c r="AB109" i="49"/>
  <c r="AA109" i="49"/>
  <c r="Z109" i="49"/>
  <c r="Y109" i="49"/>
  <c r="AC110" i="49"/>
  <c r="AB110" i="49"/>
  <c r="AA110" i="49"/>
  <c r="Z110" i="49"/>
  <c r="Y110" i="49"/>
  <c r="AC111" i="49"/>
  <c r="AB111" i="49"/>
  <c r="Y111" i="49"/>
  <c r="AA111" i="49"/>
  <c r="Z111" i="49"/>
  <c r="V6" i="10"/>
  <c r="N6" i="10"/>
  <c r="O6" i="10" s="1"/>
  <c r="U6" i="10"/>
  <c r="T6" i="10"/>
  <c r="S6" i="10"/>
  <c r="R6" i="10"/>
  <c r="Q6" i="10"/>
  <c r="P6" i="10"/>
  <c r="L6" i="10"/>
  <c r="D559" i="106"/>
  <c r="V112" i="49"/>
  <c r="N112" i="49"/>
  <c r="O112" i="49" s="1"/>
  <c r="U112" i="49"/>
  <c r="T112" i="49"/>
  <c r="W112" i="49" s="1"/>
  <c r="S112" i="49"/>
  <c r="Q112" i="49"/>
  <c r="P112" i="49"/>
  <c r="R112" i="49"/>
  <c r="L112" i="49"/>
  <c r="V111" i="49"/>
  <c r="N111" i="49"/>
  <c r="O111" i="49" s="1"/>
  <c r="U111" i="49"/>
  <c r="T111" i="49"/>
  <c r="W111" i="49" s="1"/>
  <c r="S111" i="49"/>
  <c r="P111" i="49"/>
  <c r="R111" i="49"/>
  <c r="Q111" i="49"/>
  <c r="L111" i="49"/>
  <c r="V110" i="49"/>
  <c r="N110" i="49"/>
  <c r="O110" i="49" s="1"/>
  <c r="U110" i="49"/>
  <c r="S110" i="49"/>
  <c r="R110" i="49"/>
  <c r="Q110" i="49"/>
  <c r="P110" i="49"/>
  <c r="T110" i="49"/>
  <c r="W110" i="49" s="1"/>
  <c r="L110" i="49"/>
  <c r="V109" i="49"/>
  <c r="N109" i="49"/>
  <c r="O109" i="49" s="1"/>
  <c r="U109" i="49"/>
  <c r="T109" i="49"/>
  <c r="W109" i="49" s="1"/>
  <c r="S109" i="49"/>
  <c r="R109" i="49"/>
  <c r="Q109" i="49"/>
  <c r="P109" i="49"/>
  <c r="H41" i="18"/>
  <c r="M41" i="18" s="1"/>
  <c r="D45" i="106" s="1"/>
  <c r="H40" i="18"/>
  <c r="M40" i="18" s="1"/>
  <c r="D44" i="106" s="1"/>
  <c r="M559" i="106" l="1"/>
  <c r="I559" i="106"/>
  <c r="H559" i="106"/>
  <c r="G559" i="106"/>
  <c r="L559" i="106"/>
  <c r="K559" i="106"/>
  <c r="J559" i="106"/>
  <c r="V41" i="18"/>
  <c r="M45" i="106" s="1"/>
  <c r="N41" i="18"/>
  <c r="U41" i="18"/>
  <c r="L45" i="106" s="1"/>
  <c r="T41" i="18"/>
  <c r="K45" i="106" s="1"/>
  <c r="S41" i="18"/>
  <c r="J45" i="106" s="1"/>
  <c r="P41" i="18"/>
  <c r="G45" i="106" s="1"/>
  <c r="R41" i="18"/>
  <c r="I45" i="106" s="1"/>
  <c r="Q41" i="18"/>
  <c r="H45" i="106" s="1"/>
  <c r="L41" i="18"/>
  <c r="C45" i="106" s="1"/>
  <c r="V40" i="18"/>
  <c r="M44" i="106" s="1"/>
  <c r="N40" i="18"/>
  <c r="U40" i="18"/>
  <c r="L44" i="106" s="1"/>
  <c r="S40" i="18"/>
  <c r="J44" i="106" s="1"/>
  <c r="T40" i="18"/>
  <c r="K44" i="106" s="1"/>
  <c r="R40" i="18"/>
  <c r="I44" i="106" s="1"/>
  <c r="Q40" i="18"/>
  <c r="H44" i="106" s="1"/>
  <c r="P40" i="18"/>
  <c r="G44" i="106" s="1"/>
  <c r="L40" i="18"/>
  <c r="C44" i="106" s="1"/>
  <c r="F559" i="106" l="1"/>
  <c r="E559" i="106"/>
  <c r="O40" i="18"/>
  <c r="F44" i="106" s="1"/>
  <c r="E44" i="106"/>
  <c r="O41" i="18"/>
  <c r="F45" i="106" s="1"/>
  <c r="E45" i="106"/>
  <c r="D67" i="106"/>
  <c r="C67" i="106"/>
  <c r="N67" i="106" l="1"/>
  <c r="M67" i="106"/>
  <c r="L67" i="106"/>
  <c r="K67" i="106"/>
  <c r="J67" i="106"/>
  <c r="I67" i="106"/>
  <c r="H67" i="106"/>
  <c r="G67" i="106"/>
  <c r="F67" i="106" l="1"/>
  <c r="E67" i="106"/>
  <c r="J29" i="9"/>
  <c r="B29" i="9"/>
  <c r="D29" i="9" s="1"/>
  <c r="J28" i="9"/>
  <c r="B28" i="9"/>
  <c r="D28" i="9" s="1"/>
  <c r="J27" i="9"/>
  <c r="B27" i="9"/>
  <c r="D27" i="9" s="1"/>
  <c r="J26" i="9"/>
  <c r="B26" i="9"/>
  <c r="D26" i="9" s="1"/>
  <c r="J25" i="9"/>
  <c r="B25" i="9"/>
  <c r="D25" i="9" s="1"/>
  <c r="J24" i="9"/>
  <c r="B24" i="9"/>
  <c r="D24" i="9" s="1"/>
  <c r="J23" i="9"/>
  <c r="B23" i="9"/>
  <c r="D23" i="9" s="1"/>
  <c r="C29" i="9" l="1"/>
  <c r="G29" i="9" s="1"/>
  <c r="C28" i="9"/>
  <c r="G28" i="9" s="1"/>
  <c r="C27" i="9"/>
  <c r="G27" i="9" s="1"/>
  <c r="C26" i="9"/>
  <c r="G26" i="9" s="1"/>
  <c r="C25" i="9"/>
  <c r="G25" i="9" s="1"/>
  <c r="C24" i="9"/>
  <c r="G24" i="9" s="1"/>
  <c r="C23" i="9"/>
  <c r="G23" i="9" s="1"/>
  <c r="H29" i="9" l="1"/>
  <c r="M29" i="9" s="1"/>
  <c r="H28" i="9"/>
  <c r="M28" i="9" s="1"/>
  <c r="H27" i="9"/>
  <c r="M27" i="9" s="1"/>
  <c r="H26" i="9"/>
  <c r="M26" i="9" s="1"/>
  <c r="H25" i="9"/>
  <c r="M25" i="9" s="1"/>
  <c r="H24" i="9"/>
  <c r="M24" i="9" s="1"/>
  <c r="H23" i="9"/>
  <c r="M23" i="9" s="1"/>
  <c r="L24" i="9" l="1"/>
  <c r="V29" i="9"/>
  <c r="N29" i="9"/>
  <c r="O29" i="9" s="1"/>
  <c r="U29" i="9"/>
  <c r="T29" i="9"/>
  <c r="S29" i="9"/>
  <c r="R29" i="9"/>
  <c r="Q29" i="9"/>
  <c r="P29" i="9"/>
  <c r="L29" i="9"/>
  <c r="V28" i="9"/>
  <c r="N28" i="9"/>
  <c r="O28" i="9" s="1"/>
  <c r="U28" i="9"/>
  <c r="T28" i="9"/>
  <c r="S28" i="9"/>
  <c r="R28" i="9"/>
  <c r="Q28" i="9"/>
  <c r="P28" i="9"/>
  <c r="L28" i="9"/>
  <c r="V27" i="9"/>
  <c r="N27" i="9"/>
  <c r="O27" i="9" s="1"/>
  <c r="U27" i="9"/>
  <c r="R27" i="9"/>
  <c r="Q27" i="9"/>
  <c r="P27" i="9"/>
  <c r="T27" i="9"/>
  <c r="S27" i="9"/>
  <c r="L27" i="9"/>
  <c r="V26" i="9"/>
  <c r="N26" i="9"/>
  <c r="O26" i="9" s="1"/>
  <c r="U26" i="9"/>
  <c r="T26" i="9"/>
  <c r="S26" i="9"/>
  <c r="R26" i="9"/>
  <c r="Q26" i="9"/>
  <c r="P26" i="9"/>
  <c r="L26" i="9"/>
  <c r="V25" i="9"/>
  <c r="N25" i="9"/>
  <c r="O25" i="9" s="1"/>
  <c r="U25" i="9"/>
  <c r="T25" i="9"/>
  <c r="S25" i="9"/>
  <c r="R25" i="9"/>
  <c r="Q25" i="9"/>
  <c r="P25" i="9"/>
  <c r="L25" i="9"/>
  <c r="U24" i="9"/>
  <c r="R24" i="9"/>
  <c r="Q24" i="9"/>
  <c r="P24" i="9"/>
  <c r="V24" i="9"/>
  <c r="N24" i="9"/>
  <c r="O24" i="9" s="1"/>
  <c r="T24" i="9"/>
  <c r="S24" i="9"/>
  <c r="V23" i="9"/>
  <c r="N23" i="9"/>
  <c r="O23" i="9" s="1"/>
  <c r="T23" i="9"/>
  <c r="S23" i="9"/>
  <c r="R23" i="9"/>
  <c r="Q23" i="9"/>
  <c r="P23" i="9"/>
  <c r="U23" i="9"/>
  <c r="L23" i="9"/>
  <c r="I6" i="24" l="1"/>
  <c r="B6" i="24"/>
  <c r="D6" i="24" s="1"/>
  <c r="C6" i="24" l="1"/>
  <c r="G6" i="24" s="1"/>
  <c r="H6" i="24" l="1"/>
  <c r="M6" i="24" s="1"/>
  <c r="J22" i="9"/>
  <c r="B22" i="9"/>
  <c r="D22" i="9" s="1"/>
  <c r="J21" i="9"/>
  <c r="B21" i="9"/>
  <c r="D21" i="9" s="1"/>
  <c r="J20" i="9"/>
  <c r="B20" i="9"/>
  <c r="D20" i="9" s="1"/>
  <c r="J17" i="9"/>
  <c r="B17" i="9"/>
  <c r="D17" i="9" s="1"/>
  <c r="J16" i="9"/>
  <c r="B16" i="9"/>
  <c r="D16" i="9" s="1"/>
  <c r="J15" i="9"/>
  <c r="B15" i="9"/>
  <c r="D15" i="9" s="1"/>
  <c r="J14" i="9"/>
  <c r="B14" i="9"/>
  <c r="D14" i="9" s="1"/>
  <c r="J13" i="9"/>
  <c r="B13" i="9"/>
  <c r="D13" i="9" s="1"/>
  <c r="J12" i="9"/>
  <c r="B12" i="9"/>
  <c r="D12" i="9" s="1"/>
  <c r="J11" i="9"/>
  <c r="B11" i="9"/>
  <c r="D11" i="9" s="1"/>
  <c r="J10" i="9"/>
  <c r="B10" i="9"/>
  <c r="D10" i="9" s="1"/>
  <c r="J9" i="9"/>
  <c r="B9" i="9"/>
  <c r="D9" i="9" s="1"/>
  <c r="J7" i="9"/>
  <c r="B7" i="9"/>
  <c r="D7" i="9" s="1"/>
  <c r="J5" i="9"/>
  <c r="B5" i="9"/>
  <c r="D5" i="9" s="1"/>
  <c r="J4" i="9"/>
  <c r="B4" i="9"/>
  <c r="D4" i="9" s="1"/>
  <c r="J19" i="9"/>
  <c r="B19" i="9"/>
  <c r="D19" i="9" s="1"/>
  <c r="J18" i="9"/>
  <c r="B18" i="9"/>
  <c r="D18" i="9" s="1"/>
  <c r="C21" i="9" l="1"/>
  <c r="G21" i="9" s="1"/>
  <c r="H21" i="9" s="1"/>
  <c r="M21" i="9" s="1"/>
  <c r="C17" i="9"/>
  <c r="G17" i="9" s="1"/>
  <c r="H17" i="9" s="1"/>
  <c r="M17" i="9" s="1"/>
  <c r="C22" i="9"/>
  <c r="G22" i="9" s="1"/>
  <c r="H22" i="9" s="1"/>
  <c r="M22" i="9" s="1"/>
  <c r="V6" i="24"/>
  <c r="N6" i="24"/>
  <c r="O6" i="24" s="1"/>
  <c r="U6" i="24"/>
  <c r="T6" i="24"/>
  <c r="S6" i="24"/>
  <c r="Q6" i="24"/>
  <c r="P6" i="24"/>
  <c r="R6" i="24"/>
  <c r="L6" i="24"/>
  <c r="C20" i="9"/>
  <c r="G20" i="9" s="1"/>
  <c r="C16" i="9"/>
  <c r="G16" i="9" s="1"/>
  <c r="C15" i="9"/>
  <c r="G15" i="9" s="1"/>
  <c r="C14" i="9"/>
  <c r="G14" i="9" s="1"/>
  <c r="C13" i="9"/>
  <c r="G13" i="9" s="1"/>
  <c r="C12" i="9"/>
  <c r="G12" i="9" s="1"/>
  <c r="C11" i="9"/>
  <c r="G11" i="9" s="1"/>
  <c r="C10" i="9"/>
  <c r="G10" i="9" s="1"/>
  <c r="C9" i="9"/>
  <c r="G9" i="9" s="1"/>
  <c r="C7" i="9"/>
  <c r="G7" i="9" s="1"/>
  <c r="C5" i="9"/>
  <c r="G5" i="9" s="1"/>
  <c r="C4" i="9"/>
  <c r="G4" i="9" s="1"/>
  <c r="C19" i="9"/>
  <c r="G19" i="9" s="1"/>
  <c r="C18" i="9"/>
  <c r="G18" i="9" s="1"/>
  <c r="I10" i="27"/>
  <c r="B10" i="27"/>
  <c r="D10" i="27" s="1"/>
  <c r="I14" i="27"/>
  <c r="B14" i="27"/>
  <c r="D14" i="27" s="1"/>
  <c r="I13" i="27"/>
  <c r="B13" i="27"/>
  <c r="D13" i="27" s="1"/>
  <c r="I12" i="27"/>
  <c r="B12" i="27"/>
  <c r="C12" i="27" s="1"/>
  <c r="G12" i="27" s="1"/>
  <c r="I11" i="27"/>
  <c r="B11" i="27"/>
  <c r="C11" i="27" s="1"/>
  <c r="G11" i="27" s="1"/>
  <c r="I9" i="27"/>
  <c r="B9" i="27"/>
  <c r="D9" i="27" s="1"/>
  <c r="I8" i="27"/>
  <c r="B8" i="27"/>
  <c r="D8" i="27" s="1"/>
  <c r="I7" i="27"/>
  <c r="B7" i="27"/>
  <c r="D7" i="27" s="1"/>
  <c r="I6" i="27"/>
  <c r="B6" i="27"/>
  <c r="D6" i="27" s="1"/>
  <c r="I5" i="27"/>
  <c r="B5" i="27"/>
  <c r="D5" i="27" s="1"/>
  <c r="D11" i="27" l="1"/>
  <c r="C10" i="27"/>
  <c r="G10" i="27" s="1"/>
  <c r="D12" i="27"/>
  <c r="V22" i="9"/>
  <c r="N22" i="9"/>
  <c r="O22" i="9" s="1"/>
  <c r="U22" i="9"/>
  <c r="S22" i="9"/>
  <c r="T22" i="9"/>
  <c r="R22" i="9"/>
  <c r="Q22" i="9"/>
  <c r="P22" i="9"/>
  <c r="L22" i="9"/>
  <c r="V21" i="9"/>
  <c r="N21" i="9"/>
  <c r="O21" i="9" s="1"/>
  <c r="U21" i="9"/>
  <c r="S21" i="9"/>
  <c r="T21" i="9"/>
  <c r="R21" i="9"/>
  <c r="Q21" i="9"/>
  <c r="P21" i="9"/>
  <c r="L21" i="9"/>
  <c r="H20" i="9"/>
  <c r="M20" i="9" s="1"/>
  <c r="V17" i="9"/>
  <c r="N17" i="9"/>
  <c r="O17" i="9" s="1"/>
  <c r="U17" i="9"/>
  <c r="R17" i="9"/>
  <c r="Q17" i="9"/>
  <c r="P17" i="9"/>
  <c r="T17" i="9"/>
  <c r="S17" i="9"/>
  <c r="L17" i="9"/>
  <c r="H16" i="9"/>
  <c r="M16" i="9" s="1"/>
  <c r="H15" i="9"/>
  <c r="M15" i="9" s="1"/>
  <c r="H14" i="9"/>
  <c r="M14" i="9" s="1"/>
  <c r="H13" i="9"/>
  <c r="M13" i="9" s="1"/>
  <c r="H12" i="9"/>
  <c r="M12" i="9" s="1"/>
  <c r="H11" i="9"/>
  <c r="M11" i="9" s="1"/>
  <c r="H10" i="9"/>
  <c r="M10" i="9" s="1"/>
  <c r="H9" i="9"/>
  <c r="M9" i="9" s="1"/>
  <c r="H7" i="9"/>
  <c r="M7" i="9" s="1"/>
  <c r="H5" i="9"/>
  <c r="M5" i="9" s="1"/>
  <c r="H4" i="9"/>
  <c r="M4" i="9" s="1"/>
  <c r="H19" i="9"/>
  <c r="M19" i="9" s="1"/>
  <c r="H18" i="9"/>
  <c r="M18" i="9" s="1"/>
  <c r="H10" i="27"/>
  <c r="M10" i="27" s="1"/>
  <c r="C5" i="27"/>
  <c r="G5" i="27" s="1"/>
  <c r="H5" i="27" s="1"/>
  <c r="M5" i="27" s="1"/>
  <c r="C6" i="27"/>
  <c r="G6" i="27" s="1"/>
  <c r="H6" i="27" s="1"/>
  <c r="M6" i="27" s="1"/>
  <c r="C14" i="27"/>
  <c r="G14" i="27" s="1"/>
  <c r="C13" i="27"/>
  <c r="G13" i="27" s="1"/>
  <c r="H12" i="27"/>
  <c r="L12" i="27" s="1"/>
  <c r="H11" i="27"/>
  <c r="M11" i="27" s="1"/>
  <c r="C9" i="27"/>
  <c r="G9" i="27" s="1"/>
  <c r="C8" i="27"/>
  <c r="G8" i="27" s="1"/>
  <c r="C7" i="27"/>
  <c r="G7" i="27" s="1"/>
  <c r="L10" i="27" l="1"/>
  <c r="M12" i="27"/>
  <c r="S12" i="27" s="1"/>
  <c r="L11" i="9"/>
  <c r="V20" i="9"/>
  <c r="N20" i="9"/>
  <c r="O20" i="9" s="1"/>
  <c r="U20" i="9"/>
  <c r="S20" i="9"/>
  <c r="T20" i="9"/>
  <c r="R20" i="9"/>
  <c r="Q20" i="9"/>
  <c r="P20" i="9"/>
  <c r="L20" i="9"/>
  <c r="V16" i="9"/>
  <c r="N16" i="9"/>
  <c r="O16" i="9" s="1"/>
  <c r="U16" i="9"/>
  <c r="T16" i="9"/>
  <c r="S16" i="9"/>
  <c r="P16" i="9"/>
  <c r="R16" i="9"/>
  <c r="Q16" i="9"/>
  <c r="L16" i="9"/>
  <c r="V15" i="9"/>
  <c r="N15" i="9"/>
  <c r="O15" i="9" s="1"/>
  <c r="U15" i="9"/>
  <c r="T15" i="9"/>
  <c r="S15" i="9"/>
  <c r="Q15" i="9"/>
  <c r="P15" i="9"/>
  <c r="R15" i="9"/>
  <c r="L15" i="9"/>
  <c r="V14" i="9"/>
  <c r="N14" i="9"/>
  <c r="O14" i="9" s="1"/>
  <c r="U14" i="9"/>
  <c r="T14" i="9"/>
  <c r="S14" i="9"/>
  <c r="P14" i="9"/>
  <c r="R14" i="9"/>
  <c r="Q14" i="9"/>
  <c r="L14" i="9"/>
  <c r="V13" i="9"/>
  <c r="N13" i="9"/>
  <c r="O13" i="9" s="1"/>
  <c r="U13" i="9"/>
  <c r="T13" i="9"/>
  <c r="S13" i="9"/>
  <c r="P13" i="9"/>
  <c r="R13" i="9"/>
  <c r="Q13" i="9"/>
  <c r="L13" i="9"/>
  <c r="V12" i="9"/>
  <c r="N12" i="9"/>
  <c r="O12" i="9" s="1"/>
  <c r="U12" i="9"/>
  <c r="T12" i="9"/>
  <c r="S12" i="9"/>
  <c r="P12" i="9"/>
  <c r="R12" i="9"/>
  <c r="Q12" i="9"/>
  <c r="L12" i="9"/>
  <c r="V11" i="9"/>
  <c r="N11" i="9"/>
  <c r="O11" i="9" s="1"/>
  <c r="Q11" i="9"/>
  <c r="R11" i="9"/>
  <c r="P11" i="9"/>
  <c r="U11" i="9"/>
  <c r="T11" i="9"/>
  <c r="S11" i="9"/>
  <c r="V10" i="9"/>
  <c r="N10" i="9"/>
  <c r="O10" i="9" s="1"/>
  <c r="U10" i="9"/>
  <c r="T10" i="9"/>
  <c r="S10" i="9"/>
  <c r="P10" i="9"/>
  <c r="R10" i="9"/>
  <c r="Q10" i="9"/>
  <c r="L10" i="9"/>
  <c r="V9" i="9"/>
  <c r="N9" i="9"/>
  <c r="O9" i="9" s="1"/>
  <c r="U9" i="9"/>
  <c r="T9" i="9"/>
  <c r="S9" i="9"/>
  <c r="P9" i="9"/>
  <c r="R9" i="9"/>
  <c r="Q9" i="9"/>
  <c r="L9" i="9"/>
  <c r="V7" i="9"/>
  <c r="N7" i="9"/>
  <c r="O7" i="9" s="1"/>
  <c r="U7" i="9"/>
  <c r="T7" i="9"/>
  <c r="S7" i="9"/>
  <c r="R7" i="9"/>
  <c r="Q7" i="9"/>
  <c r="P7" i="9"/>
  <c r="L7" i="9"/>
  <c r="V5" i="9"/>
  <c r="N5" i="9"/>
  <c r="O5" i="9" s="1"/>
  <c r="U5" i="9"/>
  <c r="T5" i="9"/>
  <c r="S5" i="9"/>
  <c r="P5" i="9"/>
  <c r="R5" i="9"/>
  <c r="Q5" i="9"/>
  <c r="L5" i="9"/>
  <c r="V4" i="9"/>
  <c r="N4" i="9"/>
  <c r="O4" i="9" s="1"/>
  <c r="U4" i="9"/>
  <c r="T4" i="9"/>
  <c r="S4" i="9"/>
  <c r="P4" i="9"/>
  <c r="R4" i="9"/>
  <c r="Q4" i="9"/>
  <c r="L4" i="9"/>
  <c r="U19" i="9"/>
  <c r="T19" i="9"/>
  <c r="S19" i="9"/>
  <c r="R19" i="9"/>
  <c r="Q19" i="9"/>
  <c r="P19" i="9"/>
  <c r="V19" i="9"/>
  <c r="N19" i="9"/>
  <c r="O19" i="9" s="1"/>
  <c r="L19" i="9"/>
  <c r="V18" i="9"/>
  <c r="N18" i="9"/>
  <c r="O18" i="9" s="1"/>
  <c r="U18" i="9"/>
  <c r="R18" i="9"/>
  <c r="Q18" i="9"/>
  <c r="P18" i="9"/>
  <c r="T18" i="9"/>
  <c r="S18" i="9"/>
  <c r="L18" i="9"/>
  <c r="V10" i="27"/>
  <c r="N10" i="27"/>
  <c r="O10" i="27" s="1"/>
  <c r="U10" i="27"/>
  <c r="T10" i="27"/>
  <c r="S10" i="27"/>
  <c r="R10" i="27"/>
  <c r="Q10" i="27"/>
  <c r="P10" i="27"/>
  <c r="L6" i="27"/>
  <c r="H14" i="27"/>
  <c r="M14" i="27" s="1"/>
  <c r="H13" i="27"/>
  <c r="M13" i="27" s="1"/>
  <c r="T12" i="27"/>
  <c r="V11" i="27"/>
  <c r="N11" i="27"/>
  <c r="O11" i="27" s="1"/>
  <c r="U11" i="27"/>
  <c r="R11" i="27"/>
  <c r="Q11" i="27"/>
  <c r="P11" i="27"/>
  <c r="T11" i="27"/>
  <c r="S11" i="27"/>
  <c r="L11" i="27"/>
  <c r="H9" i="27"/>
  <c r="M9" i="27" s="1"/>
  <c r="H8" i="27"/>
  <c r="M8" i="27" s="1"/>
  <c r="H7" i="27"/>
  <c r="M7" i="27" s="1"/>
  <c r="V6" i="27"/>
  <c r="N6" i="27"/>
  <c r="O6" i="27" s="1"/>
  <c r="R6" i="27"/>
  <c r="Q6" i="27"/>
  <c r="P6" i="27"/>
  <c r="U6" i="27"/>
  <c r="T6" i="27"/>
  <c r="S6" i="27"/>
  <c r="V5" i="27"/>
  <c r="N5" i="27"/>
  <c r="O5" i="27" s="1"/>
  <c r="R5" i="27"/>
  <c r="Q5" i="27"/>
  <c r="P5" i="27"/>
  <c r="U5" i="27"/>
  <c r="T5" i="27"/>
  <c r="S5" i="27"/>
  <c r="L5" i="27"/>
  <c r="U12" i="27" l="1"/>
  <c r="Q12" i="27"/>
  <c r="P12" i="27"/>
  <c r="R12" i="27"/>
  <c r="N12" i="27"/>
  <c r="O12" i="27" s="1"/>
  <c r="V12" i="27"/>
  <c r="V14" i="27"/>
  <c r="R14" i="27"/>
  <c r="Q14" i="27"/>
  <c r="U14" i="27"/>
  <c r="T14" i="27"/>
  <c r="S14" i="27"/>
  <c r="P14" i="27"/>
  <c r="N14" i="27"/>
  <c r="O14" i="27" s="1"/>
  <c r="L14" i="27"/>
  <c r="V13" i="27"/>
  <c r="N13" i="27"/>
  <c r="O13" i="27" s="1"/>
  <c r="U13" i="27"/>
  <c r="R13" i="27"/>
  <c r="Q13" i="27"/>
  <c r="P13" i="27"/>
  <c r="T13" i="27"/>
  <c r="S13" i="27"/>
  <c r="L13" i="27"/>
  <c r="V9" i="27"/>
  <c r="N9" i="27"/>
  <c r="O9" i="27" s="1"/>
  <c r="R9" i="27"/>
  <c r="Q9" i="27"/>
  <c r="P9" i="27"/>
  <c r="U9" i="27"/>
  <c r="T9" i="27"/>
  <c r="S9" i="27"/>
  <c r="L9" i="27"/>
  <c r="V8" i="27"/>
  <c r="N8" i="27"/>
  <c r="O8" i="27" s="1"/>
  <c r="U8" i="27"/>
  <c r="T8" i="27"/>
  <c r="S8" i="27"/>
  <c r="R8" i="27"/>
  <c r="Q8" i="27"/>
  <c r="P8" i="27"/>
  <c r="L8" i="27"/>
  <c r="V7" i="27"/>
  <c r="N7" i="27"/>
  <c r="O7" i="27" s="1"/>
  <c r="U7" i="27"/>
  <c r="T7" i="27"/>
  <c r="S7" i="27"/>
  <c r="R7" i="27"/>
  <c r="Q7" i="27"/>
  <c r="P7" i="27"/>
  <c r="L7" i="27"/>
  <c r="J33" i="8" l="1"/>
  <c r="E33" i="8"/>
  <c r="B33" i="8"/>
  <c r="C33" i="8" s="1"/>
  <c r="G33" i="8" s="1"/>
  <c r="J46" i="8"/>
  <c r="E46" i="8"/>
  <c r="B46" i="8"/>
  <c r="C46" i="8" s="1"/>
  <c r="G46" i="8" s="1"/>
  <c r="J43" i="8"/>
  <c r="E43" i="8"/>
  <c r="B43" i="8"/>
  <c r="C43" i="8" s="1"/>
  <c r="G43" i="8" s="1"/>
  <c r="J39" i="8"/>
  <c r="E39" i="8"/>
  <c r="B39" i="8"/>
  <c r="C39" i="8" s="1"/>
  <c r="G39" i="8" s="1"/>
  <c r="J34" i="8"/>
  <c r="E34" i="8"/>
  <c r="B34" i="8"/>
  <c r="C34" i="8" s="1"/>
  <c r="G34" i="8" s="1"/>
  <c r="J31" i="8"/>
  <c r="E31" i="8"/>
  <c r="B31" i="8"/>
  <c r="C31" i="8" s="1"/>
  <c r="G31" i="8" s="1"/>
  <c r="J28" i="8"/>
  <c r="E28" i="8"/>
  <c r="B28" i="8"/>
  <c r="C28" i="8" s="1"/>
  <c r="G28" i="8" s="1"/>
  <c r="J25" i="8"/>
  <c r="E25" i="8"/>
  <c r="B25" i="8"/>
  <c r="C25" i="8" s="1"/>
  <c r="G25" i="8" s="1"/>
  <c r="J21" i="8"/>
  <c r="E21" i="8"/>
  <c r="B21" i="8"/>
  <c r="C21" i="8" s="1"/>
  <c r="G21" i="8" s="1"/>
  <c r="J18" i="8"/>
  <c r="E18" i="8"/>
  <c r="B18" i="8"/>
  <c r="C18" i="8" s="1"/>
  <c r="G18" i="8" s="1"/>
  <c r="J15" i="8"/>
  <c r="E15" i="8"/>
  <c r="B15" i="8"/>
  <c r="C15" i="8" s="1"/>
  <c r="G15" i="8" s="1"/>
  <c r="J12" i="8"/>
  <c r="E12" i="8"/>
  <c r="B12" i="8"/>
  <c r="C12" i="8" s="1"/>
  <c r="G12" i="8" s="1"/>
  <c r="J9" i="8"/>
  <c r="E9" i="8"/>
  <c r="B9" i="8"/>
  <c r="C9" i="8" s="1"/>
  <c r="G9" i="8" s="1"/>
  <c r="J8" i="8"/>
  <c r="E8" i="8"/>
  <c r="B8" i="8"/>
  <c r="C8" i="8" s="1"/>
  <c r="G8" i="8" s="1"/>
  <c r="J7" i="8"/>
  <c r="E7" i="8"/>
  <c r="B7" i="8"/>
  <c r="C7" i="8" s="1"/>
  <c r="G7" i="8" s="1"/>
  <c r="J6" i="8"/>
  <c r="E6" i="8"/>
  <c r="B6" i="8"/>
  <c r="D6" i="8" s="1"/>
  <c r="D9" i="8" l="1"/>
  <c r="H9" i="8" s="1"/>
  <c r="L9" i="8" s="1"/>
  <c r="D8" i="8"/>
  <c r="H8" i="8" s="1"/>
  <c r="M8" i="8" s="1"/>
  <c r="D18" i="8"/>
  <c r="D25" i="8"/>
  <c r="H25" i="8" s="1"/>
  <c r="L25" i="8" s="1"/>
  <c r="D31" i="8"/>
  <c r="H31" i="8" s="1"/>
  <c r="L31" i="8" s="1"/>
  <c r="D39" i="8"/>
  <c r="H39" i="8" s="1"/>
  <c r="L39" i="8" s="1"/>
  <c r="D46" i="8"/>
  <c r="H46" i="8" s="1"/>
  <c r="M46" i="8" s="1"/>
  <c r="D21" i="8"/>
  <c r="H21" i="8" s="1"/>
  <c r="L21" i="8" s="1"/>
  <c r="D28" i="8"/>
  <c r="H28" i="8" s="1"/>
  <c r="L28" i="8" s="1"/>
  <c r="D34" i="8"/>
  <c r="H34" i="8" s="1"/>
  <c r="M34" i="8" s="1"/>
  <c r="D43" i="8"/>
  <c r="H43" i="8" s="1"/>
  <c r="L43" i="8" s="1"/>
  <c r="D33" i="8"/>
  <c r="H33" i="8" s="1"/>
  <c r="H18" i="8"/>
  <c r="L18" i="8" s="1"/>
  <c r="D15" i="8"/>
  <c r="H15" i="8" s="1"/>
  <c r="D12" i="8"/>
  <c r="H12" i="8" s="1"/>
  <c r="L12" i="8" s="1"/>
  <c r="D7" i="8"/>
  <c r="H7" i="8" s="1"/>
  <c r="C6" i="8"/>
  <c r="G6" i="8" s="1"/>
  <c r="I3" i="12"/>
  <c r="B3" i="12"/>
  <c r="D3" i="12" s="1"/>
  <c r="M33" i="8" l="1"/>
  <c r="L33" i="8"/>
  <c r="V46" i="8"/>
  <c r="N46" i="8"/>
  <c r="O46" i="8" s="1"/>
  <c r="S46" i="8"/>
  <c r="U46" i="8"/>
  <c r="T46" i="8"/>
  <c r="R46" i="8"/>
  <c r="Q46" i="8"/>
  <c r="P46" i="8"/>
  <c r="L46" i="8"/>
  <c r="M43" i="8"/>
  <c r="M39" i="8"/>
  <c r="V34" i="8"/>
  <c r="N34" i="8"/>
  <c r="O34" i="8" s="1"/>
  <c r="S34" i="8"/>
  <c r="U34" i="8"/>
  <c r="T34" i="8"/>
  <c r="R34" i="8"/>
  <c r="Q34" i="8"/>
  <c r="P34" i="8"/>
  <c r="L34" i="8"/>
  <c r="M31" i="8"/>
  <c r="M28" i="8"/>
  <c r="M25" i="8"/>
  <c r="M21" i="8"/>
  <c r="M18" i="8"/>
  <c r="L15" i="8"/>
  <c r="M15" i="8"/>
  <c r="M12" i="8"/>
  <c r="M9" i="8"/>
  <c r="V8" i="8"/>
  <c r="N8" i="8"/>
  <c r="O8" i="8" s="1"/>
  <c r="U8" i="8"/>
  <c r="T8" i="8"/>
  <c r="S8" i="8"/>
  <c r="R8" i="8"/>
  <c r="Q8" i="8"/>
  <c r="P8" i="8"/>
  <c r="L8" i="8"/>
  <c r="M7" i="8"/>
  <c r="L7" i="8"/>
  <c r="H6" i="8"/>
  <c r="L6" i="8" s="1"/>
  <c r="C3" i="12"/>
  <c r="G3" i="12" s="1"/>
  <c r="M6" i="8" l="1"/>
  <c r="T6" i="8" s="1"/>
  <c r="V33" i="8"/>
  <c r="N33" i="8"/>
  <c r="O33" i="8" s="1"/>
  <c r="U33" i="8"/>
  <c r="S33" i="8"/>
  <c r="R33" i="8"/>
  <c r="Q33" i="8"/>
  <c r="P33" i="8"/>
  <c r="T33" i="8"/>
  <c r="V43" i="8"/>
  <c r="N43" i="8"/>
  <c r="O43" i="8" s="1"/>
  <c r="T43" i="8"/>
  <c r="S43" i="8"/>
  <c r="U43" i="8"/>
  <c r="R43" i="8"/>
  <c r="Q43" i="8"/>
  <c r="P43" i="8"/>
  <c r="V39" i="8"/>
  <c r="N39" i="8"/>
  <c r="O39" i="8" s="1"/>
  <c r="T39" i="8"/>
  <c r="S39" i="8"/>
  <c r="U39" i="8"/>
  <c r="R39" i="8"/>
  <c r="Q39" i="8"/>
  <c r="P39" i="8"/>
  <c r="V31" i="8"/>
  <c r="N31" i="8"/>
  <c r="O31" i="8" s="1"/>
  <c r="T31" i="8"/>
  <c r="S31" i="8"/>
  <c r="U31" i="8"/>
  <c r="R31" i="8"/>
  <c r="Q31" i="8"/>
  <c r="P31" i="8"/>
  <c r="V28" i="8"/>
  <c r="N28" i="8"/>
  <c r="O28" i="8" s="1"/>
  <c r="S28" i="8"/>
  <c r="U28" i="8"/>
  <c r="T28" i="8"/>
  <c r="R28" i="8"/>
  <c r="Q28" i="8"/>
  <c r="P28" i="8"/>
  <c r="V25" i="8"/>
  <c r="N25" i="8"/>
  <c r="O25" i="8" s="1"/>
  <c r="T25" i="8"/>
  <c r="S25" i="8"/>
  <c r="U25" i="8"/>
  <c r="R25" i="8"/>
  <c r="Q25" i="8"/>
  <c r="P25" i="8"/>
  <c r="V21" i="8"/>
  <c r="N21" i="8"/>
  <c r="O21" i="8" s="1"/>
  <c r="T21" i="8"/>
  <c r="S21" i="8"/>
  <c r="U21" i="8"/>
  <c r="R21" i="8"/>
  <c r="Q21" i="8"/>
  <c r="P21" i="8"/>
  <c r="V18" i="8"/>
  <c r="N18" i="8"/>
  <c r="O18" i="8" s="1"/>
  <c r="T18" i="8"/>
  <c r="S18" i="8"/>
  <c r="U18" i="8"/>
  <c r="R18" i="8"/>
  <c r="Q18" i="8"/>
  <c r="P18" i="8"/>
  <c r="V15" i="8"/>
  <c r="N15" i="8"/>
  <c r="O15" i="8" s="1"/>
  <c r="T15" i="8"/>
  <c r="S15" i="8"/>
  <c r="U15" i="8"/>
  <c r="R15" i="8"/>
  <c r="Q15" i="8"/>
  <c r="P15" i="8"/>
  <c r="V12" i="8"/>
  <c r="N12" i="8"/>
  <c r="O12" i="8" s="1"/>
  <c r="U12" i="8"/>
  <c r="R12" i="8"/>
  <c r="Q12" i="8"/>
  <c r="P12" i="8"/>
  <c r="T12" i="8"/>
  <c r="S12" i="8"/>
  <c r="V9" i="8"/>
  <c r="N9" i="8"/>
  <c r="O9" i="8" s="1"/>
  <c r="T9" i="8"/>
  <c r="S9" i="8"/>
  <c r="U9" i="8"/>
  <c r="R9" i="8"/>
  <c r="Q9" i="8"/>
  <c r="P9" i="8"/>
  <c r="V7" i="8"/>
  <c r="N7" i="8"/>
  <c r="O7" i="8" s="1"/>
  <c r="R7" i="8"/>
  <c r="Q7" i="8"/>
  <c r="P7" i="8"/>
  <c r="U7" i="8"/>
  <c r="T7" i="8"/>
  <c r="S7" i="8"/>
  <c r="H3" i="12"/>
  <c r="M3" i="12" s="1"/>
  <c r="U6" i="8" l="1"/>
  <c r="S6" i="8"/>
  <c r="N6" i="8"/>
  <c r="O6" i="8" s="1"/>
  <c r="V6" i="8"/>
  <c r="Q6" i="8"/>
  <c r="P6" i="8"/>
  <c r="R6" i="8"/>
  <c r="V3" i="12"/>
  <c r="N3" i="12"/>
  <c r="O3" i="12" s="1"/>
  <c r="T3" i="12"/>
  <c r="U3" i="12" s="1"/>
  <c r="S3" i="12"/>
  <c r="R3" i="12"/>
  <c r="Q3" i="12"/>
  <c r="P3" i="12"/>
  <c r="W3" i="12"/>
  <c r="L3" i="12"/>
  <c r="I4" i="12" l="1"/>
  <c r="B4" i="12"/>
  <c r="D4" i="12" s="1"/>
  <c r="C4" i="12" l="1"/>
  <c r="G4" i="12" s="1"/>
  <c r="H4" i="12" l="1"/>
  <c r="M4" i="12" s="1"/>
  <c r="J28" i="102"/>
  <c r="B28" i="102"/>
  <c r="D28" i="102" s="1"/>
  <c r="J27" i="102"/>
  <c r="B27" i="102"/>
  <c r="D27" i="102" s="1"/>
  <c r="J26" i="102"/>
  <c r="B26" i="102"/>
  <c r="D26" i="102" s="1"/>
  <c r="J25" i="102"/>
  <c r="B25" i="102"/>
  <c r="D25" i="102" s="1"/>
  <c r="W4" i="12" l="1"/>
  <c r="N4" i="12"/>
  <c r="O4" i="12" s="1"/>
  <c r="V4" i="12"/>
  <c r="S4" i="12"/>
  <c r="T4" i="12"/>
  <c r="U4" i="12" s="1"/>
  <c r="R4" i="12"/>
  <c r="Q4" i="12"/>
  <c r="P4" i="12"/>
  <c r="L4" i="12"/>
  <c r="C28" i="102"/>
  <c r="G28" i="102" s="1"/>
  <c r="C27" i="102"/>
  <c r="G27" i="102" s="1"/>
  <c r="C26" i="102"/>
  <c r="G26" i="102" s="1"/>
  <c r="C25" i="102"/>
  <c r="G25" i="102" s="1"/>
  <c r="H28" i="102" l="1"/>
  <c r="M28" i="102" s="1"/>
  <c r="H27" i="102"/>
  <c r="M27" i="102" s="1"/>
  <c r="H26" i="102"/>
  <c r="M26" i="102" s="1"/>
  <c r="H25" i="102"/>
  <c r="M25" i="102" s="1"/>
  <c r="J24" i="102"/>
  <c r="B24" i="102"/>
  <c r="D24" i="102" s="1"/>
  <c r="J23" i="102"/>
  <c r="B23" i="102"/>
  <c r="D23" i="102" s="1"/>
  <c r="J22" i="102"/>
  <c r="B22" i="102"/>
  <c r="D22" i="102" s="1"/>
  <c r="J21" i="102"/>
  <c r="B21" i="102"/>
  <c r="D21" i="102" s="1"/>
  <c r="J20" i="102"/>
  <c r="B20" i="102"/>
  <c r="D20" i="102" s="1"/>
  <c r="J19" i="102"/>
  <c r="B19" i="102"/>
  <c r="D19" i="102" s="1"/>
  <c r="C22" i="102" l="1"/>
  <c r="G22" i="102" s="1"/>
  <c r="H22" i="102" s="1"/>
  <c r="M22" i="102" s="1"/>
  <c r="V28" i="102"/>
  <c r="N28" i="102"/>
  <c r="O28" i="102" s="1"/>
  <c r="U28" i="102"/>
  <c r="T28" i="102"/>
  <c r="S28" i="102"/>
  <c r="R28" i="102"/>
  <c r="Q28" i="102"/>
  <c r="P28" i="102"/>
  <c r="L28" i="102"/>
  <c r="V27" i="102"/>
  <c r="N27" i="102"/>
  <c r="O27" i="102" s="1"/>
  <c r="U27" i="102"/>
  <c r="T27" i="102"/>
  <c r="S27" i="102"/>
  <c r="R27" i="102"/>
  <c r="Q27" i="102"/>
  <c r="P27" i="102"/>
  <c r="L27" i="102"/>
  <c r="V26" i="102"/>
  <c r="N26" i="102"/>
  <c r="O26" i="102" s="1"/>
  <c r="U26" i="102"/>
  <c r="T26" i="102"/>
  <c r="S26" i="102"/>
  <c r="R26" i="102"/>
  <c r="Q26" i="102"/>
  <c r="P26" i="102"/>
  <c r="L26" i="102"/>
  <c r="V25" i="102"/>
  <c r="N25" i="102"/>
  <c r="O25" i="102" s="1"/>
  <c r="U25" i="102"/>
  <c r="T25" i="102"/>
  <c r="S25" i="102"/>
  <c r="R25" i="102"/>
  <c r="Q25" i="102"/>
  <c r="P25" i="102"/>
  <c r="L25" i="102"/>
  <c r="C24" i="102"/>
  <c r="G24" i="102" s="1"/>
  <c r="C23" i="102"/>
  <c r="G23" i="102" s="1"/>
  <c r="C21" i="102"/>
  <c r="G21" i="102" s="1"/>
  <c r="C20" i="102"/>
  <c r="G20" i="102" s="1"/>
  <c r="C19" i="102"/>
  <c r="G19" i="102" s="1"/>
  <c r="H40" i="103"/>
  <c r="B40" i="103"/>
  <c r="C40" i="103" s="1"/>
  <c r="E40" i="103" s="1"/>
  <c r="D40" i="103" l="1"/>
  <c r="H24" i="102"/>
  <c r="M24" i="102" s="1"/>
  <c r="H23" i="102"/>
  <c r="M23" i="102" s="1"/>
  <c r="V22" i="102"/>
  <c r="N22" i="102"/>
  <c r="O22" i="102" s="1"/>
  <c r="U22" i="102"/>
  <c r="T22" i="102"/>
  <c r="S22" i="102"/>
  <c r="R22" i="102"/>
  <c r="Q22" i="102"/>
  <c r="P22" i="102"/>
  <c r="L22" i="102"/>
  <c r="H21" i="102"/>
  <c r="L21" i="102" s="1"/>
  <c r="H20" i="102"/>
  <c r="M20" i="102" s="1"/>
  <c r="H19" i="102"/>
  <c r="L19" i="102" s="1"/>
  <c r="F40" i="103"/>
  <c r="M40" i="103" s="1"/>
  <c r="W40" i="103" s="1"/>
  <c r="J46" i="102"/>
  <c r="B46" i="102"/>
  <c r="C46" i="102" s="1"/>
  <c r="G46" i="102" s="1"/>
  <c r="J43" i="102"/>
  <c r="B43" i="102"/>
  <c r="D43" i="102" s="1"/>
  <c r="J40" i="102"/>
  <c r="B40" i="102"/>
  <c r="D40" i="102" s="1"/>
  <c r="J37" i="102"/>
  <c r="B37" i="102"/>
  <c r="D37" i="102" s="1"/>
  <c r="J34" i="102"/>
  <c r="B34" i="102"/>
  <c r="D34" i="102" s="1"/>
  <c r="J31" i="102"/>
  <c r="B31" i="102"/>
  <c r="C31" i="102" s="1"/>
  <c r="G31" i="102" s="1"/>
  <c r="J18" i="102"/>
  <c r="B18" i="102"/>
  <c r="D18" i="102" s="1"/>
  <c r="J15" i="102"/>
  <c r="B15" i="102"/>
  <c r="C15" i="102" s="1"/>
  <c r="G15" i="102" s="1"/>
  <c r="J12" i="102"/>
  <c r="B12" i="102"/>
  <c r="D12" i="102" s="1"/>
  <c r="J9" i="102"/>
  <c r="B9" i="102"/>
  <c r="C9" i="102" s="1"/>
  <c r="G9" i="102" s="1"/>
  <c r="J7" i="102"/>
  <c r="B7" i="102"/>
  <c r="C7" i="102" s="1"/>
  <c r="G7" i="102" s="1"/>
  <c r="H39" i="103"/>
  <c r="B39" i="103"/>
  <c r="D39" i="103" s="1"/>
  <c r="H38" i="103"/>
  <c r="B38" i="103"/>
  <c r="C38" i="103" s="1"/>
  <c r="E38" i="103" s="1"/>
  <c r="H37" i="103"/>
  <c r="B37" i="103"/>
  <c r="C37" i="103" s="1"/>
  <c r="E37" i="103" s="1"/>
  <c r="H36" i="103"/>
  <c r="B36" i="103"/>
  <c r="D36" i="103" s="1"/>
  <c r="H35" i="103"/>
  <c r="B35" i="103"/>
  <c r="D35" i="103" s="1"/>
  <c r="H34" i="103"/>
  <c r="B34" i="103"/>
  <c r="D34" i="103" s="1"/>
  <c r="H33" i="103"/>
  <c r="B33" i="103"/>
  <c r="D33" i="103" s="1"/>
  <c r="H32" i="103"/>
  <c r="B32" i="103"/>
  <c r="D32" i="103" s="1"/>
  <c r="H31" i="103"/>
  <c r="B31" i="103"/>
  <c r="D31" i="103" s="1"/>
  <c r="H30" i="103"/>
  <c r="B30" i="103"/>
  <c r="D30" i="103" s="1"/>
  <c r="H29" i="103"/>
  <c r="B29" i="103"/>
  <c r="D29" i="103" s="1"/>
  <c r="H28" i="103"/>
  <c r="B28" i="103"/>
  <c r="C28" i="103" s="1"/>
  <c r="E28" i="103" s="1"/>
  <c r="H27" i="103"/>
  <c r="B27" i="103"/>
  <c r="D27" i="103" s="1"/>
  <c r="H26" i="103"/>
  <c r="B26" i="103"/>
  <c r="C26" i="103" s="1"/>
  <c r="E26" i="103" s="1"/>
  <c r="H25" i="103"/>
  <c r="B25" i="103"/>
  <c r="C25" i="103" s="1"/>
  <c r="E25" i="103" s="1"/>
  <c r="H24" i="103"/>
  <c r="B24" i="103"/>
  <c r="C24" i="103" s="1"/>
  <c r="E24" i="103" s="1"/>
  <c r="H23" i="103"/>
  <c r="B23" i="103"/>
  <c r="D23" i="103" s="1"/>
  <c r="H22" i="103"/>
  <c r="B22" i="103"/>
  <c r="D22" i="103" s="1"/>
  <c r="H21" i="103"/>
  <c r="B21" i="103"/>
  <c r="D21" i="103" s="1"/>
  <c r="H20" i="103"/>
  <c r="B20" i="103"/>
  <c r="D20" i="103" s="1"/>
  <c r="H19" i="103"/>
  <c r="B19" i="103"/>
  <c r="D19" i="103" s="1"/>
  <c r="H18" i="103"/>
  <c r="B18" i="103"/>
  <c r="D18" i="103" s="1"/>
  <c r="H17" i="103"/>
  <c r="B17" i="103"/>
  <c r="D17" i="103" s="1"/>
  <c r="H16" i="103"/>
  <c r="B16" i="103"/>
  <c r="D16" i="103" s="1"/>
  <c r="H15" i="103"/>
  <c r="B15" i="103"/>
  <c r="D15" i="103" s="1"/>
  <c r="H14" i="103"/>
  <c r="B14" i="103"/>
  <c r="D14" i="103" s="1"/>
  <c r="H13" i="103"/>
  <c r="B13" i="103"/>
  <c r="D13" i="103" s="1"/>
  <c r="H12" i="103"/>
  <c r="B12" i="103"/>
  <c r="D12" i="103" s="1"/>
  <c r="H11" i="103"/>
  <c r="B11" i="103"/>
  <c r="C11" i="103" s="1"/>
  <c r="E11" i="103" s="1"/>
  <c r="H10" i="103"/>
  <c r="B10" i="103"/>
  <c r="C10" i="103" s="1"/>
  <c r="E10" i="103" s="1"/>
  <c r="H9" i="103"/>
  <c r="B9" i="103"/>
  <c r="C9" i="103" s="1"/>
  <c r="E9" i="103" s="1"/>
  <c r="H8" i="103"/>
  <c r="B8" i="103"/>
  <c r="C8" i="103" s="1"/>
  <c r="E8" i="103" s="1"/>
  <c r="H7" i="103"/>
  <c r="B7" i="103"/>
  <c r="C7" i="103" s="1"/>
  <c r="E7" i="103" s="1"/>
  <c r="H6" i="103"/>
  <c r="B6" i="103"/>
  <c r="C6" i="103" s="1"/>
  <c r="E6" i="103" s="1"/>
  <c r="H5" i="103"/>
  <c r="B5" i="103"/>
  <c r="D5" i="103" s="1"/>
  <c r="H4" i="103"/>
  <c r="B4" i="103"/>
  <c r="C4" i="103" s="1"/>
  <c r="E4" i="103" s="1"/>
  <c r="H3" i="103"/>
  <c r="B3" i="103"/>
  <c r="D3" i="103" s="1"/>
  <c r="H2" i="103"/>
  <c r="B2" i="103"/>
  <c r="D2" i="103" s="1"/>
  <c r="B2" i="102"/>
  <c r="C2" i="102" s="1"/>
  <c r="C43" i="102" l="1"/>
  <c r="G43" i="102" s="1"/>
  <c r="C34" i="102"/>
  <c r="G34" i="102" s="1"/>
  <c r="H34" i="102" s="1"/>
  <c r="L34" i="102" s="1"/>
  <c r="M19" i="102"/>
  <c r="U19" i="102" s="1"/>
  <c r="D6" i="103"/>
  <c r="F6" i="103" s="1"/>
  <c r="M6" i="103" s="1"/>
  <c r="W6" i="103" s="1"/>
  <c r="D8" i="103"/>
  <c r="F8" i="103" s="1"/>
  <c r="D9" i="102"/>
  <c r="H9" i="102" s="1"/>
  <c r="M9" i="102" s="1"/>
  <c r="W9" i="102" s="1"/>
  <c r="D31" i="102"/>
  <c r="H31" i="102" s="1"/>
  <c r="M31" i="102" s="1"/>
  <c r="W31" i="102" s="1"/>
  <c r="C40" i="102"/>
  <c r="G40" i="102" s="1"/>
  <c r="H40" i="102" s="1"/>
  <c r="M40" i="102" s="1"/>
  <c r="W40" i="102" s="1"/>
  <c r="M21" i="102"/>
  <c r="P21" i="102" s="1"/>
  <c r="D28" i="103"/>
  <c r="D38" i="103"/>
  <c r="F38" i="103" s="1"/>
  <c r="M38" i="103" s="1"/>
  <c r="W38" i="103" s="1"/>
  <c r="D7" i="102"/>
  <c r="H7" i="102" s="1"/>
  <c r="D26" i="103"/>
  <c r="F26" i="103" s="1"/>
  <c r="L26" i="103" s="1"/>
  <c r="D9" i="103"/>
  <c r="F9" i="103" s="1"/>
  <c r="L9" i="103" s="1"/>
  <c r="C27" i="103"/>
  <c r="E27" i="103" s="1"/>
  <c r="F27" i="103" s="1"/>
  <c r="L27" i="103" s="1"/>
  <c r="C29" i="103"/>
  <c r="E29" i="103" s="1"/>
  <c r="F29" i="103" s="1"/>
  <c r="C39" i="103"/>
  <c r="E39" i="103" s="1"/>
  <c r="D7" i="103"/>
  <c r="F7" i="103" s="1"/>
  <c r="M7" i="103" s="1"/>
  <c r="W7" i="103" s="1"/>
  <c r="C5" i="103"/>
  <c r="E5" i="103" s="1"/>
  <c r="F5" i="103" s="1"/>
  <c r="M5" i="103" s="1"/>
  <c r="W5" i="103" s="1"/>
  <c r="D10" i="103"/>
  <c r="F10" i="103" s="1"/>
  <c r="L10" i="103" s="1"/>
  <c r="V24" i="102"/>
  <c r="N24" i="102"/>
  <c r="O24" i="102" s="1"/>
  <c r="U24" i="102"/>
  <c r="T24" i="102"/>
  <c r="S24" i="102"/>
  <c r="R24" i="102"/>
  <c r="Q24" i="102"/>
  <c r="P24" i="102"/>
  <c r="L24" i="102"/>
  <c r="V23" i="102"/>
  <c r="N23" i="102"/>
  <c r="O23" i="102" s="1"/>
  <c r="U23" i="102"/>
  <c r="T23" i="102"/>
  <c r="S23" i="102"/>
  <c r="R23" i="102"/>
  <c r="Q23" i="102"/>
  <c r="P23" i="102"/>
  <c r="L23" i="102"/>
  <c r="R21" i="102"/>
  <c r="Q21" i="102"/>
  <c r="V21" i="102"/>
  <c r="V20" i="102"/>
  <c r="N20" i="102"/>
  <c r="O20" i="102" s="1"/>
  <c r="U20" i="102"/>
  <c r="T20" i="102"/>
  <c r="S20" i="102"/>
  <c r="R20" i="102"/>
  <c r="Q20" i="102"/>
  <c r="P20" i="102"/>
  <c r="L20" i="102"/>
  <c r="V19" i="102"/>
  <c r="N19" i="102"/>
  <c r="O19" i="102" s="1"/>
  <c r="V40" i="103"/>
  <c r="N40" i="103"/>
  <c r="O40" i="103" s="1"/>
  <c r="U40" i="103"/>
  <c r="T40" i="103"/>
  <c r="S40" i="103"/>
  <c r="R40" i="103"/>
  <c r="P40" i="103"/>
  <c r="Q40" i="103"/>
  <c r="L40" i="103"/>
  <c r="H43" i="102"/>
  <c r="M43" i="102" s="1"/>
  <c r="W43" i="102" s="1"/>
  <c r="C12" i="102"/>
  <c r="G12" i="102" s="1"/>
  <c r="D46" i="102"/>
  <c r="H46" i="102" s="1"/>
  <c r="L46" i="102" s="1"/>
  <c r="D15" i="102"/>
  <c r="H15" i="102" s="1"/>
  <c r="L15" i="102" s="1"/>
  <c r="C18" i="102"/>
  <c r="G18" i="102" s="1"/>
  <c r="C37" i="102"/>
  <c r="G37" i="102" s="1"/>
  <c r="D4" i="103"/>
  <c r="F4" i="103" s="1"/>
  <c r="M4" i="103" s="1"/>
  <c r="W4" i="103" s="1"/>
  <c r="D25" i="103"/>
  <c r="F25" i="103" s="1"/>
  <c r="L25" i="103" s="1"/>
  <c r="C31" i="103"/>
  <c r="E31" i="103" s="1"/>
  <c r="F31" i="103" s="1"/>
  <c r="L31" i="103" s="1"/>
  <c r="C33" i="103"/>
  <c r="E33" i="103" s="1"/>
  <c r="F33" i="103" s="1"/>
  <c r="L33" i="103" s="1"/>
  <c r="C35" i="103"/>
  <c r="E35" i="103" s="1"/>
  <c r="F35" i="103" s="1"/>
  <c r="L35" i="103" s="1"/>
  <c r="D37" i="103"/>
  <c r="F37" i="103" s="1"/>
  <c r="C3" i="103"/>
  <c r="E3" i="103" s="1"/>
  <c r="C13" i="103"/>
  <c r="E13" i="103" s="1"/>
  <c r="F13" i="103" s="1"/>
  <c r="L13" i="103" s="1"/>
  <c r="C15" i="103"/>
  <c r="E15" i="103" s="1"/>
  <c r="F15" i="103" s="1"/>
  <c r="M15" i="103" s="1"/>
  <c r="W15" i="103" s="1"/>
  <c r="C17" i="103"/>
  <c r="E17" i="103" s="1"/>
  <c r="F17" i="103" s="1"/>
  <c r="L17" i="103" s="1"/>
  <c r="C19" i="103"/>
  <c r="E19" i="103" s="1"/>
  <c r="F19" i="103" s="1"/>
  <c r="M19" i="103" s="1"/>
  <c r="W19" i="103" s="1"/>
  <c r="C21" i="103"/>
  <c r="E21" i="103" s="1"/>
  <c r="C23" i="103"/>
  <c r="E23" i="103" s="1"/>
  <c r="F23" i="103" s="1"/>
  <c r="M23" i="103" s="1"/>
  <c r="W23" i="103" s="1"/>
  <c r="D11" i="103"/>
  <c r="F11" i="103" s="1"/>
  <c r="C30" i="103"/>
  <c r="E30" i="103" s="1"/>
  <c r="F30" i="103" s="1"/>
  <c r="L30" i="103" s="1"/>
  <c r="C32" i="103"/>
  <c r="E32" i="103" s="1"/>
  <c r="F32" i="103" s="1"/>
  <c r="M32" i="103" s="1"/>
  <c r="W32" i="103" s="1"/>
  <c r="C34" i="103"/>
  <c r="E34" i="103" s="1"/>
  <c r="F34" i="103" s="1"/>
  <c r="M34" i="103" s="1"/>
  <c r="W34" i="103" s="1"/>
  <c r="C36" i="103"/>
  <c r="E36" i="103" s="1"/>
  <c r="F36" i="103" s="1"/>
  <c r="M36" i="103" s="1"/>
  <c r="W36" i="103" s="1"/>
  <c r="C12" i="103"/>
  <c r="E12" i="103" s="1"/>
  <c r="F12" i="103" s="1"/>
  <c r="M12" i="103" s="1"/>
  <c r="W12" i="103" s="1"/>
  <c r="C14" i="103"/>
  <c r="E14" i="103" s="1"/>
  <c r="F14" i="103" s="1"/>
  <c r="M14" i="103" s="1"/>
  <c r="W14" i="103" s="1"/>
  <c r="C16" i="103"/>
  <c r="E16" i="103" s="1"/>
  <c r="F16" i="103" s="1"/>
  <c r="L16" i="103" s="1"/>
  <c r="C18" i="103"/>
  <c r="E18" i="103" s="1"/>
  <c r="F18" i="103" s="1"/>
  <c r="M18" i="103" s="1"/>
  <c r="W18" i="103" s="1"/>
  <c r="C20" i="103"/>
  <c r="E20" i="103" s="1"/>
  <c r="F20" i="103" s="1"/>
  <c r="L20" i="103" s="1"/>
  <c r="C22" i="103"/>
  <c r="E22" i="103" s="1"/>
  <c r="F22" i="103" s="1"/>
  <c r="M22" i="103" s="1"/>
  <c r="W22" i="103" s="1"/>
  <c r="D24" i="103"/>
  <c r="F24" i="103" s="1"/>
  <c r="L24" i="103" s="1"/>
  <c r="F39" i="103"/>
  <c r="L39" i="103" s="1"/>
  <c r="F28" i="103"/>
  <c r="L28" i="103" s="1"/>
  <c r="F21" i="103"/>
  <c r="M21" i="103" s="1"/>
  <c r="W21" i="103" s="1"/>
  <c r="C2" i="103"/>
  <c r="E2" i="103" s="1"/>
  <c r="F2" i="103" s="1"/>
  <c r="S21" i="102" l="1"/>
  <c r="T21" i="102"/>
  <c r="U21" i="102"/>
  <c r="N21" i="102"/>
  <c r="O21" i="102" s="1"/>
  <c r="P19" i="102"/>
  <c r="Q19" i="102"/>
  <c r="R19" i="102"/>
  <c r="S19" i="102"/>
  <c r="T19" i="102"/>
  <c r="M8" i="103"/>
  <c r="W8" i="103" s="1"/>
  <c r="L8" i="103"/>
  <c r="M29" i="103"/>
  <c r="W29" i="103" s="1"/>
  <c r="L43" i="102"/>
  <c r="L29" i="103"/>
  <c r="M7" i="102"/>
  <c r="W7" i="102" s="1"/>
  <c r="L7" i="102"/>
  <c r="L31" i="102"/>
  <c r="M28" i="103"/>
  <c r="W28" i="103" s="1"/>
  <c r="V9" i="102"/>
  <c r="N9" i="102"/>
  <c r="O9" i="102" s="1"/>
  <c r="U9" i="102"/>
  <c r="T9" i="102"/>
  <c r="Q9" i="102"/>
  <c r="S9" i="102"/>
  <c r="R9" i="102"/>
  <c r="P9" i="102"/>
  <c r="U40" i="102"/>
  <c r="R40" i="102"/>
  <c r="P40" i="102"/>
  <c r="V40" i="102"/>
  <c r="N40" i="102"/>
  <c r="O40" i="102" s="1"/>
  <c r="T40" i="102"/>
  <c r="S40" i="102"/>
  <c r="Q40" i="102"/>
  <c r="V43" i="102"/>
  <c r="N43" i="102"/>
  <c r="O43" i="102" s="1"/>
  <c r="U43" i="102"/>
  <c r="T43" i="102"/>
  <c r="S43" i="102"/>
  <c r="R43" i="102"/>
  <c r="Q43" i="102"/>
  <c r="P43" i="102"/>
  <c r="R31" i="102"/>
  <c r="P31" i="102"/>
  <c r="U31" i="102"/>
  <c r="T31" i="102"/>
  <c r="Q31" i="102"/>
  <c r="V31" i="102"/>
  <c r="N31" i="102"/>
  <c r="O31" i="102" s="1"/>
  <c r="S31" i="102"/>
  <c r="M15" i="102"/>
  <c r="W15" i="102" s="1"/>
  <c r="L40" i="102"/>
  <c r="M46" i="102"/>
  <c r="W46" i="102" s="1"/>
  <c r="L9" i="102"/>
  <c r="H12" i="102"/>
  <c r="L12" i="102" s="1"/>
  <c r="H37" i="102"/>
  <c r="M37" i="102" s="1"/>
  <c r="W37" i="102" s="1"/>
  <c r="H18" i="102"/>
  <c r="M18" i="102" s="1"/>
  <c r="W18" i="102" s="1"/>
  <c r="M34" i="102"/>
  <c r="W34" i="102" s="1"/>
  <c r="M11" i="103"/>
  <c r="P11" i="103" s="1"/>
  <c r="L11" i="103"/>
  <c r="M37" i="103"/>
  <c r="S37" i="103" s="1"/>
  <c r="L37" i="103"/>
  <c r="F3" i="103"/>
  <c r="M3" i="103" s="1"/>
  <c r="W3" i="103" s="1"/>
  <c r="M39" i="103"/>
  <c r="W39" i="103" s="1"/>
  <c r="V38" i="103"/>
  <c r="N38" i="103"/>
  <c r="O38" i="103" s="1"/>
  <c r="R38" i="103"/>
  <c r="Q38" i="103"/>
  <c r="U38" i="103"/>
  <c r="T38" i="103"/>
  <c r="S38" i="103"/>
  <c r="P38" i="103"/>
  <c r="L38" i="103"/>
  <c r="V36" i="103"/>
  <c r="N36" i="103"/>
  <c r="O36" i="103" s="1"/>
  <c r="P36" i="103"/>
  <c r="U36" i="103"/>
  <c r="T36" i="103"/>
  <c r="S36" i="103"/>
  <c r="R36" i="103"/>
  <c r="Q36" i="103"/>
  <c r="L36" i="103"/>
  <c r="M35" i="103"/>
  <c r="W35" i="103" s="1"/>
  <c r="V34" i="103"/>
  <c r="N34" i="103"/>
  <c r="O34" i="103" s="1"/>
  <c r="U34" i="103"/>
  <c r="R34" i="103"/>
  <c r="Q34" i="103"/>
  <c r="P34" i="103"/>
  <c r="T34" i="103"/>
  <c r="S34" i="103"/>
  <c r="L34" i="103"/>
  <c r="M33" i="103"/>
  <c r="W33" i="103" s="1"/>
  <c r="V32" i="103"/>
  <c r="N32" i="103"/>
  <c r="O32" i="103" s="1"/>
  <c r="U32" i="103"/>
  <c r="T32" i="103"/>
  <c r="S32" i="103"/>
  <c r="R32" i="103"/>
  <c r="Q32" i="103"/>
  <c r="P32" i="103"/>
  <c r="L32" i="103"/>
  <c r="M31" i="103"/>
  <c r="W31" i="103" s="1"/>
  <c r="M30" i="103"/>
  <c r="W30" i="103" s="1"/>
  <c r="M27" i="103"/>
  <c r="W27" i="103" s="1"/>
  <c r="M26" i="103"/>
  <c r="W26" i="103" s="1"/>
  <c r="M25" i="103"/>
  <c r="W25" i="103" s="1"/>
  <c r="M24" i="103"/>
  <c r="W24" i="103" s="1"/>
  <c r="V23" i="103"/>
  <c r="N23" i="103"/>
  <c r="O23" i="103" s="1"/>
  <c r="U23" i="103"/>
  <c r="T23" i="103"/>
  <c r="R23" i="103"/>
  <c r="Q23" i="103"/>
  <c r="S23" i="103"/>
  <c r="P23" i="103"/>
  <c r="L23" i="103"/>
  <c r="V22" i="103"/>
  <c r="N22" i="103"/>
  <c r="O22" i="103" s="1"/>
  <c r="U22" i="103"/>
  <c r="T22" i="103"/>
  <c r="R22" i="103"/>
  <c r="Q22" i="103"/>
  <c r="P22" i="103"/>
  <c r="S22" i="103"/>
  <c r="L22" i="103"/>
  <c r="V21" i="103"/>
  <c r="N21" i="103"/>
  <c r="O21" i="103" s="1"/>
  <c r="U21" i="103"/>
  <c r="T21" i="103"/>
  <c r="S21" i="103"/>
  <c r="R21" i="103"/>
  <c r="Q21" i="103"/>
  <c r="P21" i="103"/>
  <c r="L21" i="103"/>
  <c r="M20" i="103"/>
  <c r="W20" i="103" s="1"/>
  <c r="V19" i="103"/>
  <c r="N19" i="103"/>
  <c r="O19" i="103" s="1"/>
  <c r="R19" i="103"/>
  <c r="Q19" i="103"/>
  <c r="U19" i="103"/>
  <c r="T19" i="103"/>
  <c r="S19" i="103"/>
  <c r="P19" i="103"/>
  <c r="L19" i="103"/>
  <c r="V18" i="103"/>
  <c r="N18" i="103"/>
  <c r="O18" i="103" s="1"/>
  <c r="U18" i="103"/>
  <c r="S18" i="103"/>
  <c r="T18" i="103"/>
  <c r="R18" i="103"/>
  <c r="Q18" i="103"/>
  <c r="P18" i="103"/>
  <c r="L18" i="103"/>
  <c r="M17" i="103"/>
  <c r="W17" i="103" s="1"/>
  <c r="M16" i="103"/>
  <c r="W16" i="103" s="1"/>
  <c r="V15" i="103"/>
  <c r="N15" i="103"/>
  <c r="O15" i="103" s="1"/>
  <c r="U15" i="103"/>
  <c r="T15" i="103"/>
  <c r="R15" i="103"/>
  <c r="Q15" i="103"/>
  <c r="P15" i="103"/>
  <c r="S15" i="103"/>
  <c r="L15" i="103"/>
  <c r="V14" i="103"/>
  <c r="N14" i="103"/>
  <c r="O14" i="103" s="1"/>
  <c r="U14" i="103"/>
  <c r="R14" i="103"/>
  <c r="Q14" i="103"/>
  <c r="P14" i="103"/>
  <c r="T14" i="103"/>
  <c r="S14" i="103"/>
  <c r="L14" i="103"/>
  <c r="M13" i="103"/>
  <c r="W13" i="103" s="1"/>
  <c r="V12" i="103"/>
  <c r="N12" i="103"/>
  <c r="O12" i="103" s="1"/>
  <c r="U12" i="103"/>
  <c r="T12" i="103"/>
  <c r="Q12" i="103"/>
  <c r="P12" i="103"/>
  <c r="S12" i="103"/>
  <c r="R12" i="103"/>
  <c r="L12" i="103"/>
  <c r="M10" i="103"/>
  <c r="W10" i="103" s="1"/>
  <c r="M9" i="103"/>
  <c r="W9" i="103" s="1"/>
  <c r="V7" i="103"/>
  <c r="N7" i="103"/>
  <c r="O7" i="103" s="1"/>
  <c r="R7" i="103"/>
  <c r="P7" i="103"/>
  <c r="U7" i="103"/>
  <c r="S7" i="103"/>
  <c r="Q7" i="103"/>
  <c r="T7" i="103"/>
  <c r="L7" i="103"/>
  <c r="V6" i="103"/>
  <c r="N6" i="103"/>
  <c r="O6" i="103" s="1"/>
  <c r="U6" i="103"/>
  <c r="T6" i="103"/>
  <c r="P6" i="103"/>
  <c r="S6" i="103"/>
  <c r="R6" i="103"/>
  <c r="Q6" i="103"/>
  <c r="L6" i="103"/>
  <c r="V5" i="103"/>
  <c r="N5" i="103"/>
  <c r="O5" i="103" s="1"/>
  <c r="U5" i="103"/>
  <c r="R5" i="103"/>
  <c r="Q5" i="103"/>
  <c r="P5" i="103"/>
  <c r="T5" i="103"/>
  <c r="S5" i="103"/>
  <c r="L5" i="103"/>
  <c r="V4" i="103"/>
  <c r="N4" i="103"/>
  <c r="O4" i="103" s="1"/>
  <c r="S4" i="103"/>
  <c r="R4" i="103"/>
  <c r="P4" i="103"/>
  <c r="U4" i="103"/>
  <c r="T4" i="103"/>
  <c r="Q4" i="103"/>
  <c r="L4" i="103"/>
  <c r="L2" i="103"/>
  <c r="N28" i="103" l="1"/>
  <c r="O28" i="103" s="1"/>
  <c r="Q8" i="103"/>
  <c r="S11" i="103"/>
  <c r="V28" i="103"/>
  <c r="S8" i="103"/>
  <c r="P8" i="103"/>
  <c r="P29" i="103"/>
  <c r="N11" i="103"/>
  <c r="O11" i="103" s="1"/>
  <c r="Q28" i="103"/>
  <c r="T8" i="103"/>
  <c r="R28" i="103"/>
  <c r="U8" i="103"/>
  <c r="T28" i="103"/>
  <c r="S28" i="103"/>
  <c r="N8" i="103"/>
  <c r="O8" i="103" s="1"/>
  <c r="U28" i="103"/>
  <c r="R8" i="103"/>
  <c r="V8" i="103"/>
  <c r="P28" i="103"/>
  <c r="Q29" i="103"/>
  <c r="S29" i="103"/>
  <c r="T29" i="103"/>
  <c r="R11" i="103"/>
  <c r="R29" i="103"/>
  <c r="U29" i="103"/>
  <c r="N29" i="103"/>
  <c r="O29" i="103" s="1"/>
  <c r="V29" i="103"/>
  <c r="U37" i="103"/>
  <c r="V7" i="102"/>
  <c r="V11" i="103"/>
  <c r="Q7" i="102"/>
  <c r="S7" i="102"/>
  <c r="T7" i="102"/>
  <c r="U7" i="102"/>
  <c r="P7" i="102"/>
  <c r="R7" i="102"/>
  <c r="N7" i="102"/>
  <c r="O7" i="102" s="1"/>
  <c r="Q37" i="103"/>
  <c r="Q11" i="103"/>
  <c r="W11" i="103"/>
  <c r="L3" i="103"/>
  <c r="T37" i="103"/>
  <c r="W37" i="103"/>
  <c r="R37" i="103"/>
  <c r="T11" i="103"/>
  <c r="U11" i="103"/>
  <c r="N37" i="103"/>
  <c r="O37" i="103" s="1"/>
  <c r="S18" i="102"/>
  <c r="V18" i="102"/>
  <c r="N18" i="102"/>
  <c r="O18" i="102" s="1"/>
  <c r="U18" i="102"/>
  <c r="R18" i="102"/>
  <c r="Q18" i="102"/>
  <c r="T18" i="102"/>
  <c r="P18" i="102"/>
  <c r="P37" i="102"/>
  <c r="N37" i="102"/>
  <c r="O37" i="102" s="1"/>
  <c r="V37" i="102"/>
  <c r="R37" i="102"/>
  <c r="U37" i="102"/>
  <c r="T37" i="102"/>
  <c r="S37" i="102"/>
  <c r="Q37" i="102"/>
  <c r="M12" i="102"/>
  <c r="W12" i="102" s="1"/>
  <c r="L18" i="102"/>
  <c r="U46" i="102"/>
  <c r="S46" i="102"/>
  <c r="N46" i="102"/>
  <c r="O46" i="102" s="1"/>
  <c r="T46" i="102"/>
  <c r="R46" i="102"/>
  <c r="Q46" i="102"/>
  <c r="P46" i="102"/>
  <c r="V46" i="102"/>
  <c r="Q34" i="102"/>
  <c r="T34" i="102"/>
  <c r="P34" i="102"/>
  <c r="S34" i="102"/>
  <c r="V34" i="102"/>
  <c r="N34" i="102"/>
  <c r="O34" i="102" s="1"/>
  <c r="U34" i="102"/>
  <c r="R34" i="102"/>
  <c r="L37" i="102"/>
  <c r="T15" i="102"/>
  <c r="V15" i="102"/>
  <c r="N15" i="102"/>
  <c r="O15" i="102" s="1"/>
  <c r="S15" i="102"/>
  <c r="R15" i="102"/>
  <c r="U15" i="102"/>
  <c r="Q15" i="102"/>
  <c r="P15" i="102"/>
  <c r="P37" i="103"/>
  <c r="P3" i="103"/>
  <c r="V3" i="103"/>
  <c r="T3" i="103"/>
  <c r="Q3" i="103"/>
  <c r="S3" i="103"/>
  <c r="U3" i="103"/>
  <c r="N3" i="103"/>
  <c r="O3" i="103" s="1"/>
  <c r="R3" i="103"/>
  <c r="V37" i="103"/>
  <c r="V39" i="103"/>
  <c r="N39" i="103"/>
  <c r="O39" i="103" s="1"/>
  <c r="S39" i="103"/>
  <c r="U39" i="103"/>
  <c r="T39" i="103"/>
  <c r="R39" i="103"/>
  <c r="Q39" i="103"/>
  <c r="P39" i="103"/>
  <c r="V35" i="103"/>
  <c r="N35" i="103"/>
  <c r="O35" i="103" s="1"/>
  <c r="Q35" i="103"/>
  <c r="P35" i="103"/>
  <c r="U35" i="103"/>
  <c r="T35" i="103"/>
  <c r="R35" i="103"/>
  <c r="S35" i="103"/>
  <c r="V33" i="103"/>
  <c r="N33" i="103"/>
  <c r="O33" i="103" s="1"/>
  <c r="S33" i="103"/>
  <c r="U33" i="103"/>
  <c r="T33" i="103"/>
  <c r="R33" i="103"/>
  <c r="Q33" i="103"/>
  <c r="P33" i="103"/>
  <c r="V31" i="103"/>
  <c r="N31" i="103"/>
  <c r="O31" i="103" s="1"/>
  <c r="Q31" i="103"/>
  <c r="P31" i="103"/>
  <c r="U31" i="103"/>
  <c r="T31" i="103"/>
  <c r="S31" i="103"/>
  <c r="R31" i="103"/>
  <c r="V30" i="103"/>
  <c r="N30" i="103"/>
  <c r="O30" i="103" s="1"/>
  <c r="U30" i="103"/>
  <c r="T30" i="103"/>
  <c r="S30" i="103"/>
  <c r="R30" i="103"/>
  <c r="Q30" i="103"/>
  <c r="P30" i="103"/>
  <c r="V27" i="103"/>
  <c r="N27" i="103"/>
  <c r="O27" i="103" s="1"/>
  <c r="Q27" i="103"/>
  <c r="U27" i="103"/>
  <c r="T27" i="103"/>
  <c r="P27" i="103"/>
  <c r="S27" i="103"/>
  <c r="R27" i="103"/>
  <c r="V26" i="103"/>
  <c r="N26" i="103"/>
  <c r="O26" i="103" s="1"/>
  <c r="U26" i="103"/>
  <c r="T26" i="103"/>
  <c r="S26" i="103"/>
  <c r="R26" i="103"/>
  <c r="Q26" i="103"/>
  <c r="P26" i="103"/>
  <c r="V25" i="103"/>
  <c r="N25" i="103"/>
  <c r="O25" i="103" s="1"/>
  <c r="U25" i="103"/>
  <c r="T25" i="103"/>
  <c r="P25" i="103"/>
  <c r="S25" i="103"/>
  <c r="R25" i="103"/>
  <c r="Q25" i="103"/>
  <c r="V24" i="103"/>
  <c r="N24" i="103"/>
  <c r="O24" i="103" s="1"/>
  <c r="R24" i="103"/>
  <c r="Q24" i="103"/>
  <c r="P24" i="103"/>
  <c r="U24" i="103"/>
  <c r="T24" i="103"/>
  <c r="S24" i="103"/>
  <c r="V20" i="103"/>
  <c r="N20" i="103"/>
  <c r="O20" i="103" s="1"/>
  <c r="S20" i="103"/>
  <c r="U20" i="103"/>
  <c r="T20" i="103"/>
  <c r="R20" i="103"/>
  <c r="Q20" i="103"/>
  <c r="P20" i="103"/>
  <c r="V17" i="103"/>
  <c r="N17" i="103"/>
  <c r="O17" i="103" s="1"/>
  <c r="U17" i="103"/>
  <c r="T17" i="103"/>
  <c r="S17" i="103"/>
  <c r="R17" i="103"/>
  <c r="Q17" i="103"/>
  <c r="P17" i="103"/>
  <c r="V16" i="103"/>
  <c r="N16" i="103"/>
  <c r="O16" i="103" s="1"/>
  <c r="Q16" i="103"/>
  <c r="U16" i="103"/>
  <c r="T16" i="103"/>
  <c r="S16" i="103"/>
  <c r="R16" i="103"/>
  <c r="P16" i="103"/>
  <c r="V13" i="103"/>
  <c r="N13" i="103"/>
  <c r="O13" i="103" s="1"/>
  <c r="S13" i="103"/>
  <c r="U13" i="103"/>
  <c r="T13" i="103"/>
  <c r="R13" i="103"/>
  <c r="Q13" i="103"/>
  <c r="P13" i="103"/>
  <c r="V10" i="103"/>
  <c r="N10" i="103"/>
  <c r="O10" i="103" s="1"/>
  <c r="U10" i="103"/>
  <c r="T10" i="103"/>
  <c r="P10" i="103"/>
  <c r="S10" i="103"/>
  <c r="R10" i="103"/>
  <c r="Q10" i="103"/>
  <c r="V9" i="103"/>
  <c r="N9" i="103"/>
  <c r="O9" i="103" s="1"/>
  <c r="U9" i="103"/>
  <c r="T9" i="103"/>
  <c r="S9" i="103"/>
  <c r="R9" i="103"/>
  <c r="Q9" i="103"/>
  <c r="P9" i="103"/>
  <c r="M2" i="103"/>
  <c r="S2" i="103" l="1"/>
  <c r="W2" i="103"/>
  <c r="U12" i="102"/>
  <c r="T12" i="102"/>
  <c r="P12" i="102"/>
  <c r="N12" i="102"/>
  <c r="O12" i="102" s="1"/>
  <c r="S12" i="102"/>
  <c r="V12" i="102"/>
  <c r="R12" i="102"/>
  <c r="Q12" i="102"/>
  <c r="T2" i="103"/>
  <c r="U2" i="103"/>
  <c r="V2" i="103"/>
  <c r="N2" i="103"/>
  <c r="O2" i="103" s="1"/>
  <c r="P2" i="103"/>
  <c r="Q2" i="103"/>
  <c r="R2" i="103"/>
  <c r="J2" i="102" l="1"/>
  <c r="G2" i="102"/>
  <c r="I10" i="18"/>
  <c r="B10" i="18"/>
  <c r="D10" i="18" s="1"/>
  <c r="I8" i="18"/>
  <c r="B8" i="18"/>
  <c r="D8" i="18" s="1"/>
  <c r="I6" i="18"/>
  <c r="B6" i="18"/>
  <c r="D6" i="18" s="1"/>
  <c r="I4" i="18"/>
  <c r="B4" i="18"/>
  <c r="D4" i="18" s="1"/>
  <c r="I13" i="18"/>
  <c r="B13" i="18"/>
  <c r="D13" i="18" s="1"/>
  <c r="I16" i="18"/>
  <c r="B16" i="18"/>
  <c r="D16" i="18" s="1"/>
  <c r="I38" i="18"/>
  <c r="B38" i="18"/>
  <c r="C38" i="18" s="1"/>
  <c r="G38" i="18" s="1"/>
  <c r="I35" i="18"/>
  <c r="B35" i="18"/>
  <c r="C35" i="18" s="1"/>
  <c r="G35" i="18" s="1"/>
  <c r="I33" i="18"/>
  <c r="B33" i="18"/>
  <c r="D33" i="18" s="1"/>
  <c r="I28" i="18"/>
  <c r="B28" i="18"/>
  <c r="D28" i="18" s="1"/>
  <c r="I25" i="18"/>
  <c r="B25" i="18"/>
  <c r="D25" i="18" s="1"/>
  <c r="I22" i="18"/>
  <c r="B22" i="18"/>
  <c r="D22" i="18" s="1"/>
  <c r="I19" i="18"/>
  <c r="B19" i="18"/>
  <c r="C19" i="18" s="1"/>
  <c r="G19" i="18" s="1"/>
  <c r="I39" i="18"/>
  <c r="B39" i="18"/>
  <c r="D39" i="18" s="1"/>
  <c r="I36" i="18"/>
  <c r="B36" i="18"/>
  <c r="C36" i="18" s="1"/>
  <c r="G36" i="18" s="1"/>
  <c r="I34" i="18"/>
  <c r="B34" i="18"/>
  <c r="D34" i="18" s="1"/>
  <c r="I29" i="18"/>
  <c r="B29" i="18"/>
  <c r="D29" i="18" s="1"/>
  <c r="I26" i="18"/>
  <c r="B26" i="18"/>
  <c r="C26" i="18" s="1"/>
  <c r="G26" i="18" s="1"/>
  <c r="I23" i="18"/>
  <c r="B23" i="18"/>
  <c r="D23" i="18" s="1"/>
  <c r="I20" i="18"/>
  <c r="B20" i="18"/>
  <c r="C20" i="18" s="1"/>
  <c r="G20" i="18" s="1"/>
  <c r="I17" i="18"/>
  <c r="B17" i="18"/>
  <c r="D17" i="18" s="1"/>
  <c r="I14" i="18"/>
  <c r="B14" i="18"/>
  <c r="D14" i="18" s="1"/>
  <c r="I11" i="18"/>
  <c r="B11" i="18"/>
  <c r="D11" i="18" s="1"/>
  <c r="I9" i="18"/>
  <c r="B9" i="18"/>
  <c r="C9" i="18" s="1"/>
  <c r="G9" i="18" s="1"/>
  <c r="I7" i="18"/>
  <c r="B7" i="18"/>
  <c r="D7" i="18" s="1"/>
  <c r="I5" i="18"/>
  <c r="B5" i="18"/>
  <c r="D5" i="18" s="1"/>
  <c r="I5" i="12"/>
  <c r="B5" i="12"/>
  <c r="D5" i="12" s="1"/>
  <c r="I6" i="12"/>
  <c r="B6" i="12"/>
  <c r="D6" i="12" s="1"/>
  <c r="I47" i="12"/>
  <c r="B47" i="12"/>
  <c r="D47" i="12" s="1"/>
  <c r="I43" i="12"/>
  <c r="B43" i="12"/>
  <c r="D43" i="12" s="1"/>
  <c r="I39" i="12"/>
  <c r="B39" i="12"/>
  <c r="D39" i="12" s="1"/>
  <c r="I35" i="12"/>
  <c r="B35" i="12"/>
  <c r="C35" i="12" s="1"/>
  <c r="G35" i="12" s="1"/>
  <c r="I31" i="12"/>
  <c r="B31" i="12"/>
  <c r="D31" i="12" s="1"/>
  <c r="I27" i="12"/>
  <c r="B27" i="12"/>
  <c r="D27" i="12" s="1"/>
  <c r="I23" i="12"/>
  <c r="B23" i="12"/>
  <c r="C23" i="12" s="1"/>
  <c r="G23" i="12" s="1"/>
  <c r="I20" i="12"/>
  <c r="B20" i="12"/>
  <c r="D20" i="12" s="1"/>
  <c r="I16" i="12"/>
  <c r="B16" i="12"/>
  <c r="D16" i="12" s="1"/>
  <c r="I12" i="12"/>
  <c r="B12" i="12"/>
  <c r="D12" i="12" s="1"/>
  <c r="I8" i="12"/>
  <c r="B8" i="12"/>
  <c r="D8" i="12" s="1"/>
  <c r="D38" i="18" l="1"/>
  <c r="H38" i="18" s="1"/>
  <c r="M38" i="18" s="1"/>
  <c r="D42" i="106" s="1"/>
  <c r="C16" i="18"/>
  <c r="G16" i="18" s="1"/>
  <c r="C25" i="18"/>
  <c r="G25" i="18" s="1"/>
  <c r="H25" i="18" s="1"/>
  <c r="M25" i="18" s="1"/>
  <c r="D29" i="106" s="1"/>
  <c r="D36" i="18"/>
  <c r="H36" i="18" s="1"/>
  <c r="M36" i="18" s="1"/>
  <c r="D40" i="106" s="1"/>
  <c r="D19" i="18"/>
  <c r="H19" i="18" s="1"/>
  <c r="M19" i="18" s="1"/>
  <c r="D23" i="106" s="1"/>
  <c r="C13" i="18"/>
  <c r="G13" i="18" s="1"/>
  <c r="H13" i="18" s="1"/>
  <c r="M13" i="18" s="1"/>
  <c r="D17" i="106" s="1"/>
  <c r="C33" i="18"/>
  <c r="G33" i="18" s="1"/>
  <c r="H33" i="18" s="1"/>
  <c r="M33" i="18" s="1"/>
  <c r="D37" i="106" s="1"/>
  <c r="C7" i="18"/>
  <c r="G7" i="18" s="1"/>
  <c r="H7" i="18" s="1"/>
  <c r="M7" i="18" s="1"/>
  <c r="D11" i="106" s="1"/>
  <c r="C4" i="18"/>
  <c r="G4" i="18" s="1"/>
  <c r="H4" i="18" s="1"/>
  <c r="M4" i="18" s="1"/>
  <c r="D8" i="106" s="1"/>
  <c r="C8" i="18"/>
  <c r="G8" i="18" s="1"/>
  <c r="H8" i="18" s="1"/>
  <c r="M8" i="18" s="1"/>
  <c r="D12" i="106" s="1"/>
  <c r="D20" i="18"/>
  <c r="H20" i="18" s="1"/>
  <c r="M20" i="18" s="1"/>
  <c r="D24" i="106" s="1"/>
  <c r="C34" i="18"/>
  <c r="G34" i="18" s="1"/>
  <c r="H34" i="18" s="1"/>
  <c r="M34" i="18" s="1"/>
  <c r="D38" i="106" s="1"/>
  <c r="C39" i="18"/>
  <c r="G39" i="18" s="1"/>
  <c r="H39" i="18" s="1"/>
  <c r="M39" i="18" s="1"/>
  <c r="D43" i="106" s="1"/>
  <c r="C22" i="18"/>
  <c r="G22" i="18" s="1"/>
  <c r="H22" i="18" s="1"/>
  <c r="L22" i="18" s="1"/>
  <c r="C26" i="106" s="1"/>
  <c r="C28" i="18"/>
  <c r="G28" i="18" s="1"/>
  <c r="H28" i="18" s="1"/>
  <c r="M28" i="18" s="1"/>
  <c r="D32" i="106" s="1"/>
  <c r="D35" i="18"/>
  <c r="H35" i="18" s="1"/>
  <c r="M35" i="18" s="1"/>
  <c r="D39" i="106" s="1"/>
  <c r="D26" i="18"/>
  <c r="H26" i="18" s="1"/>
  <c r="M26" i="18" s="1"/>
  <c r="D30" i="106" s="1"/>
  <c r="C31" i="12"/>
  <c r="G31" i="12" s="1"/>
  <c r="H31" i="12" s="1"/>
  <c r="M31" i="12" s="1"/>
  <c r="D23" i="12"/>
  <c r="H23" i="12" s="1"/>
  <c r="M23" i="12" s="1"/>
  <c r="D35" i="12"/>
  <c r="H35" i="12" s="1"/>
  <c r="M35" i="12" s="1"/>
  <c r="D2" i="102"/>
  <c r="H2" i="102" s="1"/>
  <c r="C10" i="18"/>
  <c r="G10" i="18" s="1"/>
  <c r="C6" i="18"/>
  <c r="G6" i="18" s="1"/>
  <c r="H16" i="18"/>
  <c r="M16" i="18" s="1"/>
  <c r="D20" i="106" s="1"/>
  <c r="C29" i="18"/>
  <c r="G29" i="18" s="1"/>
  <c r="C23" i="18"/>
  <c r="G23" i="18" s="1"/>
  <c r="C17" i="18"/>
  <c r="G17" i="18" s="1"/>
  <c r="C14" i="18"/>
  <c r="G14" i="18" s="1"/>
  <c r="C11" i="18"/>
  <c r="G11" i="18" s="1"/>
  <c r="D9" i="18"/>
  <c r="H9" i="18" s="1"/>
  <c r="C5" i="18"/>
  <c r="G5" i="18" s="1"/>
  <c r="C5" i="12"/>
  <c r="G5" i="12" s="1"/>
  <c r="C6" i="12"/>
  <c r="G6" i="12" s="1"/>
  <c r="C47" i="12"/>
  <c r="G47" i="12" s="1"/>
  <c r="C43" i="12"/>
  <c r="G43" i="12" s="1"/>
  <c r="C39" i="12"/>
  <c r="G39" i="12" s="1"/>
  <c r="C27" i="12"/>
  <c r="G27" i="12" s="1"/>
  <c r="C20" i="12"/>
  <c r="G20" i="12" s="1"/>
  <c r="C16" i="12"/>
  <c r="G16" i="12" s="1"/>
  <c r="C12" i="12"/>
  <c r="G12" i="12" s="1"/>
  <c r="C8" i="12"/>
  <c r="G8" i="12" s="1"/>
  <c r="M22" i="18" l="1"/>
  <c r="M2" i="102"/>
  <c r="L2" i="102"/>
  <c r="H10" i="18"/>
  <c r="L10" i="18" s="1"/>
  <c r="C14" i="106" s="1"/>
  <c r="V8" i="18"/>
  <c r="M12" i="106" s="1"/>
  <c r="N8" i="18"/>
  <c r="R8" i="18"/>
  <c r="I12" i="106" s="1"/>
  <c r="Q8" i="18"/>
  <c r="H12" i="106" s="1"/>
  <c r="P8" i="18"/>
  <c r="G12" i="106" s="1"/>
  <c r="U8" i="18"/>
  <c r="L12" i="106" s="1"/>
  <c r="T8" i="18"/>
  <c r="K12" i="106" s="1"/>
  <c r="S8" i="18"/>
  <c r="J12" i="106" s="1"/>
  <c r="L8" i="18"/>
  <c r="C12" i="106" s="1"/>
  <c r="H6" i="18"/>
  <c r="M6" i="18" s="1"/>
  <c r="D10" i="106" s="1"/>
  <c r="V4" i="18"/>
  <c r="M8" i="106" s="1"/>
  <c r="N4" i="18"/>
  <c r="Q4" i="18"/>
  <c r="H8" i="106" s="1"/>
  <c r="U4" i="18"/>
  <c r="L8" i="106" s="1"/>
  <c r="T4" i="18"/>
  <c r="K8" i="106" s="1"/>
  <c r="S4" i="18"/>
  <c r="J8" i="106" s="1"/>
  <c r="R4" i="18"/>
  <c r="I8" i="106" s="1"/>
  <c r="P4" i="18"/>
  <c r="G8" i="106" s="1"/>
  <c r="L4" i="18"/>
  <c r="C8" i="106" s="1"/>
  <c r="V13" i="18"/>
  <c r="M17" i="106" s="1"/>
  <c r="N13" i="18"/>
  <c r="U13" i="18"/>
  <c r="L17" i="106" s="1"/>
  <c r="R13" i="18"/>
  <c r="I17" i="106" s="1"/>
  <c r="T13" i="18"/>
  <c r="K17" i="106" s="1"/>
  <c r="S13" i="18"/>
  <c r="J17" i="106" s="1"/>
  <c r="Q13" i="18"/>
  <c r="H17" i="106" s="1"/>
  <c r="P13" i="18"/>
  <c r="G17" i="106" s="1"/>
  <c r="L13" i="18"/>
  <c r="C17" i="106" s="1"/>
  <c r="V16" i="18"/>
  <c r="M20" i="106" s="1"/>
  <c r="N16" i="18"/>
  <c r="U16" i="18"/>
  <c r="L20" i="106" s="1"/>
  <c r="T16" i="18"/>
  <c r="K20" i="106" s="1"/>
  <c r="S16" i="18"/>
  <c r="J20" i="106" s="1"/>
  <c r="R16" i="18"/>
  <c r="I20" i="106" s="1"/>
  <c r="Q16" i="18"/>
  <c r="H20" i="106" s="1"/>
  <c r="P16" i="18"/>
  <c r="G20" i="106" s="1"/>
  <c r="L16" i="18"/>
  <c r="C20" i="106" s="1"/>
  <c r="V38" i="18"/>
  <c r="M42" i="106" s="1"/>
  <c r="N38" i="18"/>
  <c r="U38" i="18"/>
  <c r="L42" i="106" s="1"/>
  <c r="R38" i="18"/>
  <c r="I42" i="106" s="1"/>
  <c r="Q38" i="18"/>
  <c r="H42" i="106" s="1"/>
  <c r="P38" i="18"/>
  <c r="G42" i="106" s="1"/>
  <c r="T38" i="18"/>
  <c r="K42" i="106" s="1"/>
  <c r="S38" i="18"/>
  <c r="J42" i="106" s="1"/>
  <c r="L38" i="18"/>
  <c r="C42" i="106" s="1"/>
  <c r="V35" i="18"/>
  <c r="M39" i="106" s="1"/>
  <c r="N35" i="18"/>
  <c r="T35" i="18"/>
  <c r="K39" i="106" s="1"/>
  <c r="U35" i="18"/>
  <c r="L39" i="106" s="1"/>
  <c r="S35" i="18"/>
  <c r="J39" i="106" s="1"/>
  <c r="R35" i="18"/>
  <c r="I39" i="106" s="1"/>
  <c r="Q35" i="18"/>
  <c r="H39" i="106" s="1"/>
  <c r="P35" i="18"/>
  <c r="G39" i="106" s="1"/>
  <c r="L35" i="18"/>
  <c r="C39" i="106" s="1"/>
  <c r="V33" i="18"/>
  <c r="M37" i="106" s="1"/>
  <c r="N33" i="18"/>
  <c r="U33" i="18"/>
  <c r="L37" i="106" s="1"/>
  <c r="T33" i="18"/>
  <c r="K37" i="106" s="1"/>
  <c r="R33" i="18"/>
  <c r="I37" i="106" s="1"/>
  <c r="Q33" i="18"/>
  <c r="H37" i="106" s="1"/>
  <c r="S33" i="18"/>
  <c r="J37" i="106" s="1"/>
  <c r="P33" i="18"/>
  <c r="G37" i="106" s="1"/>
  <c r="L33" i="18"/>
  <c r="C37" i="106" s="1"/>
  <c r="V28" i="18"/>
  <c r="M32" i="106" s="1"/>
  <c r="N28" i="18"/>
  <c r="U28" i="18"/>
  <c r="L32" i="106" s="1"/>
  <c r="T28" i="18"/>
  <c r="K32" i="106" s="1"/>
  <c r="S28" i="18"/>
  <c r="J32" i="106" s="1"/>
  <c r="R28" i="18"/>
  <c r="I32" i="106" s="1"/>
  <c r="Q28" i="18"/>
  <c r="H32" i="106" s="1"/>
  <c r="P28" i="18"/>
  <c r="G32" i="106" s="1"/>
  <c r="L28" i="18"/>
  <c r="C32" i="106" s="1"/>
  <c r="V25" i="18"/>
  <c r="M29" i="106" s="1"/>
  <c r="N25" i="18"/>
  <c r="Q25" i="18"/>
  <c r="H29" i="106" s="1"/>
  <c r="P25" i="18"/>
  <c r="G29" i="106" s="1"/>
  <c r="U25" i="18"/>
  <c r="L29" i="106" s="1"/>
  <c r="T25" i="18"/>
  <c r="K29" i="106" s="1"/>
  <c r="S25" i="18"/>
  <c r="J29" i="106" s="1"/>
  <c r="R25" i="18"/>
  <c r="I29" i="106" s="1"/>
  <c r="L25" i="18"/>
  <c r="C29" i="106" s="1"/>
  <c r="N22" i="18"/>
  <c r="R22" i="18"/>
  <c r="I26" i="106" s="1"/>
  <c r="P22" i="18"/>
  <c r="G26" i="106" s="1"/>
  <c r="V19" i="18"/>
  <c r="M23" i="106" s="1"/>
  <c r="N19" i="18"/>
  <c r="U19" i="18"/>
  <c r="L23" i="106" s="1"/>
  <c r="T19" i="18"/>
  <c r="K23" i="106" s="1"/>
  <c r="S19" i="18"/>
  <c r="J23" i="106" s="1"/>
  <c r="R19" i="18"/>
  <c r="I23" i="106" s="1"/>
  <c r="Q19" i="18"/>
  <c r="H23" i="106" s="1"/>
  <c r="P19" i="18"/>
  <c r="G23" i="106" s="1"/>
  <c r="L19" i="18"/>
  <c r="C23" i="106" s="1"/>
  <c r="V39" i="18"/>
  <c r="M43" i="106" s="1"/>
  <c r="N39" i="18"/>
  <c r="Q39" i="18"/>
  <c r="H43" i="106" s="1"/>
  <c r="P39" i="18"/>
  <c r="G43" i="106" s="1"/>
  <c r="U39" i="18"/>
  <c r="L43" i="106" s="1"/>
  <c r="T39" i="18"/>
  <c r="K43" i="106" s="1"/>
  <c r="R39" i="18"/>
  <c r="I43" i="106" s="1"/>
  <c r="S39" i="18"/>
  <c r="J43" i="106" s="1"/>
  <c r="L39" i="18"/>
  <c r="C43" i="106" s="1"/>
  <c r="V36" i="18"/>
  <c r="M40" i="106" s="1"/>
  <c r="N36" i="18"/>
  <c r="Q36" i="18"/>
  <c r="H40" i="106" s="1"/>
  <c r="U36" i="18"/>
  <c r="L40" i="106" s="1"/>
  <c r="T36" i="18"/>
  <c r="K40" i="106" s="1"/>
  <c r="R36" i="18"/>
  <c r="I40" i="106" s="1"/>
  <c r="P36" i="18"/>
  <c r="G40" i="106" s="1"/>
  <c r="S36" i="18"/>
  <c r="J40" i="106" s="1"/>
  <c r="L36" i="18"/>
  <c r="C40" i="106" s="1"/>
  <c r="V34" i="18"/>
  <c r="M38" i="106" s="1"/>
  <c r="N34" i="18"/>
  <c r="U34" i="18"/>
  <c r="L38" i="106" s="1"/>
  <c r="T34" i="18"/>
  <c r="K38" i="106" s="1"/>
  <c r="S34" i="18"/>
  <c r="J38" i="106" s="1"/>
  <c r="R34" i="18"/>
  <c r="I38" i="106" s="1"/>
  <c r="Q34" i="18"/>
  <c r="H38" i="106" s="1"/>
  <c r="P34" i="18"/>
  <c r="G38" i="106" s="1"/>
  <c r="L34" i="18"/>
  <c r="C38" i="106" s="1"/>
  <c r="H29" i="18"/>
  <c r="L29" i="18" s="1"/>
  <c r="C33" i="106" s="1"/>
  <c r="V26" i="18"/>
  <c r="M30" i="106" s="1"/>
  <c r="N26" i="18"/>
  <c r="U26" i="18"/>
  <c r="L30" i="106" s="1"/>
  <c r="T26" i="18"/>
  <c r="K30" i="106" s="1"/>
  <c r="S26" i="18"/>
  <c r="J30" i="106" s="1"/>
  <c r="R26" i="18"/>
  <c r="I30" i="106" s="1"/>
  <c r="Q26" i="18"/>
  <c r="H30" i="106" s="1"/>
  <c r="P26" i="18"/>
  <c r="G30" i="106" s="1"/>
  <c r="L26" i="18"/>
  <c r="C30" i="106" s="1"/>
  <c r="H23" i="18"/>
  <c r="M23" i="18" s="1"/>
  <c r="D27" i="106" s="1"/>
  <c r="V20" i="18"/>
  <c r="M24" i="106" s="1"/>
  <c r="N20" i="18"/>
  <c r="U20" i="18"/>
  <c r="L24" i="106" s="1"/>
  <c r="T20" i="18"/>
  <c r="K24" i="106" s="1"/>
  <c r="S20" i="18"/>
  <c r="J24" i="106" s="1"/>
  <c r="R20" i="18"/>
  <c r="I24" i="106" s="1"/>
  <c r="Q20" i="18"/>
  <c r="H24" i="106" s="1"/>
  <c r="P20" i="18"/>
  <c r="G24" i="106" s="1"/>
  <c r="L20" i="18"/>
  <c r="C24" i="106" s="1"/>
  <c r="H17" i="18"/>
  <c r="M17" i="18" s="1"/>
  <c r="D21" i="106" s="1"/>
  <c r="H14" i="18"/>
  <c r="L14" i="18" s="1"/>
  <c r="C18" i="106" s="1"/>
  <c r="H11" i="18"/>
  <c r="L11" i="18" s="1"/>
  <c r="C15" i="106" s="1"/>
  <c r="L9" i="18"/>
  <c r="C13" i="106" s="1"/>
  <c r="M9" i="18"/>
  <c r="D13" i="106" s="1"/>
  <c r="V7" i="18"/>
  <c r="M11" i="106" s="1"/>
  <c r="N7" i="18"/>
  <c r="U7" i="18"/>
  <c r="L11" i="106" s="1"/>
  <c r="T7" i="18"/>
  <c r="K11" i="106" s="1"/>
  <c r="R7" i="18"/>
  <c r="I11" i="106" s="1"/>
  <c r="Q7" i="18"/>
  <c r="H11" i="106" s="1"/>
  <c r="P7" i="18"/>
  <c r="G11" i="106" s="1"/>
  <c r="S7" i="18"/>
  <c r="J11" i="106" s="1"/>
  <c r="L7" i="18"/>
  <c r="C11" i="106" s="1"/>
  <c r="H5" i="18"/>
  <c r="M5" i="18" s="1"/>
  <c r="D9" i="106" s="1"/>
  <c r="H5" i="12"/>
  <c r="M5" i="12" s="1"/>
  <c r="H6" i="12"/>
  <c r="M6" i="12" s="1"/>
  <c r="H47" i="12"/>
  <c r="M47" i="12" s="1"/>
  <c r="H43" i="12"/>
  <c r="M43" i="12" s="1"/>
  <c r="H39" i="12"/>
  <c r="M39" i="12" s="1"/>
  <c r="W35" i="12"/>
  <c r="N35" i="12"/>
  <c r="O35" i="12" s="1"/>
  <c r="V35" i="12"/>
  <c r="R35" i="12"/>
  <c r="Q35" i="12"/>
  <c r="P35" i="12"/>
  <c r="T35" i="12"/>
  <c r="U35" i="12" s="1"/>
  <c r="S35" i="12"/>
  <c r="L35" i="12"/>
  <c r="W31" i="12"/>
  <c r="N31" i="12"/>
  <c r="O31" i="12" s="1"/>
  <c r="V31" i="12"/>
  <c r="R31" i="12"/>
  <c r="Q31" i="12"/>
  <c r="P31" i="12"/>
  <c r="T31" i="12"/>
  <c r="U31" i="12" s="1"/>
  <c r="S31" i="12"/>
  <c r="L31" i="12"/>
  <c r="H27" i="12"/>
  <c r="M27" i="12" s="1"/>
  <c r="W23" i="12"/>
  <c r="N23" i="12"/>
  <c r="O23" i="12" s="1"/>
  <c r="V23" i="12"/>
  <c r="T23" i="12"/>
  <c r="U23" i="12" s="1"/>
  <c r="R23" i="12"/>
  <c r="Q23" i="12"/>
  <c r="P23" i="12"/>
  <c r="S23" i="12"/>
  <c r="L23" i="12"/>
  <c r="H20" i="12"/>
  <c r="M20" i="12" s="1"/>
  <c r="H16" i="12"/>
  <c r="M16" i="12" s="1"/>
  <c r="H12" i="12"/>
  <c r="M12" i="12" s="1"/>
  <c r="H8" i="12"/>
  <c r="M8" i="12" s="1"/>
  <c r="I20" i="69"/>
  <c r="E20" i="69"/>
  <c r="B20" i="69"/>
  <c r="C20" i="69" s="1"/>
  <c r="G20" i="69" s="1"/>
  <c r="O22" i="18" l="1"/>
  <c r="F26" i="106" s="1"/>
  <c r="E26" i="106"/>
  <c r="O25" i="18"/>
  <c r="F29" i="106" s="1"/>
  <c r="E29" i="106"/>
  <c r="O34" i="18"/>
  <c r="F38" i="106" s="1"/>
  <c r="E38" i="106"/>
  <c r="O28" i="18"/>
  <c r="F32" i="106" s="1"/>
  <c r="E32" i="106"/>
  <c r="O8" i="18"/>
  <c r="F12" i="106" s="1"/>
  <c r="E12" i="106"/>
  <c r="O4" i="18"/>
  <c r="F8" i="106" s="1"/>
  <c r="E8" i="106"/>
  <c r="O36" i="18"/>
  <c r="F40" i="106" s="1"/>
  <c r="E40" i="106"/>
  <c r="O33" i="18"/>
  <c r="F37" i="106" s="1"/>
  <c r="E37" i="106"/>
  <c r="O26" i="18"/>
  <c r="F30" i="106" s="1"/>
  <c r="E30" i="106"/>
  <c r="O39" i="18"/>
  <c r="F43" i="106" s="1"/>
  <c r="E43" i="106"/>
  <c r="O35" i="18"/>
  <c r="F39" i="106" s="1"/>
  <c r="E39" i="106"/>
  <c r="O7" i="18"/>
  <c r="F11" i="106" s="1"/>
  <c r="E11" i="106"/>
  <c r="O19" i="18"/>
  <c r="F23" i="106" s="1"/>
  <c r="E23" i="106"/>
  <c r="O38" i="18"/>
  <c r="F42" i="106" s="1"/>
  <c r="E42" i="106"/>
  <c r="O20" i="18"/>
  <c r="F24" i="106" s="1"/>
  <c r="E24" i="106"/>
  <c r="O16" i="18"/>
  <c r="F20" i="106" s="1"/>
  <c r="E20" i="106"/>
  <c r="O13" i="18"/>
  <c r="F17" i="106" s="1"/>
  <c r="E17" i="106"/>
  <c r="Q22" i="18"/>
  <c r="H26" i="106" s="1"/>
  <c r="D26" i="106"/>
  <c r="V22" i="18"/>
  <c r="M26" i="106" s="1"/>
  <c r="M14" i="18"/>
  <c r="S22" i="18"/>
  <c r="J26" i="106" s="1"/>
  <c r="T22" i="18"/>
  <c r="K26" i="106" s="1"/>
  <c r="U22" i="18"/>
  <c r="L26" i="106" s="1"/>
  <c r="L8" i="12"/>
  <c r="R2" i="102"/>
  <c r="W2" i="102"/>
  <c r="D20" i="69"/>
  <c r="H20" i="69" s="1"/>
  <c r="M20" i="69" s="1"/>
  <c r="S2" i="102"/>
  <c r="P2" i="102"/>
  <c r="T2" i="102"/>
  <c r="U2" i="102"/>
  <c r="N2" i="102"/>
  <c r="O2" i="102" s="1"/>
  <c r="V2" i="102"/>
  <c r="Q2" i="102"/>
  <c r="M10" i="18"/>
  <c r="D14" i="106" s="1"/>
  <c r="U6" i="18"/>
  <c r="L10" i="106" s="1"/>
  <c r="T6" i="18"/>
  <c r="K10" i="106" s="1"/>
  <c r="S6" i="18"/>
  <c r="J10" i="106" s="1"/>
  <c r="R6" i="18"/>
  <c r="I10" i="106" s="1"/>
  <c r="Q6" i="18"/>
  <c r="H10" i="106" s="1"/>
  <c r="P6" i="18"/>
  <c r="G10" i="106" s="1"/>
  <c r="V6" i="18"/>
  <c r="M10" i="106" s="1"/>
  <c r="N6" i="18"/>
  <c r="L6" i="18"/>
  <c r="C10" i="106" s="1"/>
  <c r="M29" i="18"/>
  <c r="D33" i="106" s="1"/>
  <c r="V23" i="18"/>
  <c r="M27" i="106" s="1"/>
  <c r="N23" i="18"/>
  <c r="U23" i="18"/>
  <c r="L27" i="106" s="1"/>
  <c r="T23" i="18"/>
  <c r="K27" i="106" s="1"/>
  <c r="S23" i="18"/>
  <c r="J27" i="106" s="1"/>
  <c r="R23" i="18"/>
  <c r="I27" i="106" s="1"/>
  <c r="Q23" i="18"/>
  <c r="H27" i="106" s="1"/>
  <c r="P23" i="18"/>
  <c r="G27" i="106" s="1"/>
  <c r="L23" i="18"/>
  <c r="C27" i="106" s="1"/>
  <c r="V17" i="18"/>
  <c r="M21" i="106" s="1"/>
  <c r="N17" i="18"/>
  <c r="U17" i="18"/>
  <c r="L21" i="106" s="1"/>
  <c r="T17" i="18"/>
  <c r="K21" i="106" s="1"/>
  <c r="S17" i="18"/>
  <c r="J21" i="106" s="1"/>
  <c r="R17" i="18"/>
  <c r="I21" i="106" s="1"/>
  <c r="Q17" i="18"/>
  <c r="H21" i="106" s="1"/>
  <c r="P17" i="18"/>
  <c r="G21" i="106" s="1"/>
  <c r="L17" i="18"/>
  <c r="C21" i="106" s="1"/>
  <c r="M11" i="18"/>
  <c r="D15" i="106" s="1"/>
  <c r="V9" i="18"/>
  <c r="M13" i="106" s="1"/>
  <c r="N9" i="18"/>
  <c r="U9" i="18"/>
  <c r="L13" i="106" s="1"/>
  <c r="R9" i="18"/>
  <c r="I13" i="106" s="1"/>
  <c r="P9" i="18"/>
  <c r="G13" i="106" s="1"/>
  <c r="T9" i="18"/>
  <c r="K13" i="106" s="1"/>
  <c r="Q9" i="18"/>
  <c r="H13" i="106" s="1"/>
  <c r="S9" i="18"/>
  <c r="J13" i="106" s="1"/>
  <c r="U5" i="18"/>
  <c r="L9" i="106" s="1"/>
  <c r="S5" i="18"/>
  <c r="J9" i="106" s="1"/>
  <c r="T5" i="18"/>
  <c r="K9" i="106" s="1"/>
  <c r="R5" i="18"/>
  <c r="I9" i="106" s="1"/>
  <c r="Q5" i="18"/>
  <c r="H9" i="106" s="1"/>
  <c r="P5" i="18"/>
  <c r="G9" i="106" s="1"/>
  <c r="V5" i="18"/>
  <c r="M9" i="106" s="1"/>
  <c r="N5" i="18"/>
  <c r="L5" i="18"/>
  <c r="C9" i="106" s="1"/>
  <c r="W5" i="12"/>
  <c r="N5" i="12"/>
  <c r="O5" i="12" s="1"/>
  <c r="V5" i="12"/>
  <c r="T5" i="12"/>
  <c r="U5" i="12" s="1"/>
  <c r="S5" i="12"/>
  <c r="R5" i="12"/>
  <c r="Q5" i="12"/>
  <c r="P5" i="12"/>
  <c r="L5" i="12"/>
  <c r="W6" i="12"/>
  <c r="N6" i="12"/>
  <c r="O6" i="12" s="1"/>
  <c r="V6" i="12"/>
  <c r="T6" i="12"/>
  <c r="U6" i="12" s="1"/>
  <c r="S6" i="12"/>
  <c r="R6" i="12"/>
  <c r="Q6" i="12"/>
  <c r="P6" i="12"/>
  <c r="L6" i="12"/>
  <c r="W47" i="12"/>
  <c r="N47" i="12"/>
  <c r="O47" i="12" s="1"/>
  <c r="V47" i="12"/>
  <c r="T47" i="12"/>
  <c r="U47" i="12" s="1"/>
  <c r="S47" i="12"/>
  <c r="R47" i="12"/>
  <c r="Q47" i="12"/>
  <c r="P47" i="12"/>
  <c r="L47" i="12"/>
  <c r="W43" i="12"/>
  <c r="N43" i="12"/>
  <c r="O43" i="12" s="1"/>
  <c r="V43" i="12"/>
  <c r="T43" i="12"/>
  <c r="U43" i="12" s="1"/>
  <c r="S43" i="12"/>
  <c r="R43" i="12"/>
  <c r="Q43" i="12"/>
  <c r="P43" i="12"/>
  <c r="L43" i="12"/>
  <c r="W39" i="12"/>
  <c r="N39" i="12"/>
  <c r="O39" i="12" s="1"/>
  <c r="V39" i="12"/>
  <c r="T39" i="12"/>
  <c r="U39" i="12" s="1"/>
  <c r="S39" i="12"/>
  <c r="R39" i="12"/>
  <c r="Q39" i="12"/>
  <c r="P39" i="12"/>
  <c r="L39" i="12"/>
  <c r="W27" i="12"/>
  <c r="N27" i="12"/>
  <c r="O27" i="12" s="1"/>
  <c r="V27" i="12"/>
  <c r="T27" i="12"/>
  <c r="U27" i="12" s="1"/>
  <c r="S27" i="12"/>
  <c r="R27" i="12"/>
  <c r="Q27" i="12"/>
  <c r="P27" i="12"/>
  <c r="L27" i="12"/>
  <c r="W20" i="12"/>
  <c r="N20" i="12"/>
  <c r="O20" i="12" s="1"/>
  <c r="V20" i="12"/>
  <c r="T20" i="12"/>
  <c r="U20" i="12" s="1"/>
  <c r="S20" i="12"/>
  <c r="R20" i="12"/>
  <c r="Q20" i="12"/>
  <c r="P20" i="12"/>
  <c r="L20" i="12"/>
  <c r="W16" i="12"/>
  <c r="N16" i="12"/>
  <c r="O16" i="12" s="1"/>
  <c r="V16" i="12"/>
  <c r="T16" i="12"/>
  <c r="U16" i="12" s="1"/>
  <c r="S16" i="12"/>
  <c r="R16" i="12"/>
  <c r="Q16" i="12"/>
  <c r="P16" i="12"/>
  <c r="L16" i="12"/>
  <c r="W12" i="12"/>
  <c r="N12" i="12"/>
  <c r="O12" i="12" s="1"/>
  <c r="V12" i="12"/>
  <c r="T12" i="12"/>
  <c r="U12" i="12" s="1"/>
  <c r="S12" i="12"/>
  <c r="R12" i="12"/>
  <c r="Q12" i="12"/>
  <c r="P12" i="12"/>
  <c r="L12" i="12"/>
  <c r="R8" i="12"/>
  <c r="Q8" i="12"/>
  <c r="P8" i="12"/>
  <c r="N8" i="12"/>
  <c r="O8" i="12" s="1"/>
  <c r="V8" i="12"/>
  <c r="T8" i="12"/>
  <c r="U8" i="12" s="1"/>
  <c r="S8" i="12"/>
  <c r="W8" i="12"/>
  <c r="R14" i="18" l="1"/>
  <c r="I18" i="106" s="1"/>
  <c r="D18" i="106"/>
  <c r="O6" i="18"/>
  <c r="F10" i="106" s="1"/>
  <c r="E10" i="106"/>
  <c r="O9" i="18"/>
  <c r="F13" i="106" s="1"/>
  <c r="E13" i="106"/>
  <c r="O5" i="18"/>
  <c r="F9" i="106" s="1"/>
  <c r="E9" i="106"/>
  <c r="S14" i="18"/>
  <c r="J18" i="106" s="1"/>
  <c r="O17" i="18"/>
  <c r="F21" i="106" s="1"/>
  <c r="E21" i="106"/>
  <c r="O23" i="18"/>
  <c r="F27" i="106" s="1"/>
  <c r="E27" i="106"/>
  <c r="T14" i="18"/>
  <c r="K18" i="106" s="1"/>
  <c r="U14" i="18"/>
  <c r="L18" i="106" s="1"/>
  <c r="N14" i="18"/>
  <c r="P14" i="18"/>
  <c r="G18" i="106" s="1"/>
  <c r="V14" i="18"/>
  <c r="M18" i="106" s="1"/>
  <c r="Q14" i="18"/>
  <c r="H18" i="106" s="1"/>
  <c r="V10" i="18"/>
  <c r="M14" i="106" s="1"/>
  <c r="N10" i="18"/>
  <c r="T10" i="18"/>
  <c r="K14" i="106" s="1"/>
  <c r="S10" i="18"/>
  <c r="J14" i="106" s="1"/>
  <c r="R10" i="18"/>
  <c r="I14" i="106" s="1"/>
  <c r="Q10" i="18"/>
  <c r="H14" i="106" s="1"/>
  <c r="P10" i="18"/>
  <c r="G14" i="106" s="1"/>
  <c r="U10" i="18"/>
  <c r="L14" i="106" s="1"/>
  <c r="V29" i="18"/>
  <c r="M33" i="106" s="1"/>
  <c r="N29" i="18"/>
  <c r="U29" i="18"/>
  <c r="L33" i="106" s="1"/>
  <c r="T29" i="18"/>
  <c r="K33" i="106" s="1"/>
  <c r="S29" i="18"/>
  <c r="J33" i="106" s="1"/>
  <c r="R29" i="18"/>
  <c r="I33" i="106" s="1"/>
  <c r="Q29" i="18"/>
  <c r="H33" i="106" s="1"/>
  <c r="P29" i="18"/>
  <c r="G33" i="106" s="1"/>
  <c r="V11" i="18"/>
  <c r="M15" i="106" s="1"/>
  <c r="N11" i="18"/>
  <c r="U11" i="18"/>
  <c r="L15" i="106" s="1"/>
  <c r="T11" i="18"/>
  <c r="K15" i="106" s="1"/>
  <c r="S11" i="18"/>
  <c r="J15" i="106" s="1"/>
  <c r="R11" i="18"/>
  <c r="I15" i="106" s="1"/>
  <c r="Q11" i="18"/>
  <c r="H15" i="106" s="1"/>
  <c r="P11" i="18"/>
  <c r="G15" i="106" s="1"/>
  <c r="V20" i="69"/>
  <c r="N20" i="69"/>
  <c r="O20" i="69" s="1"/>
  <c r="P20" i="69"/>
  <c r="U20" i="69"/>
  <c r="T20" i="69"/>
  <c r="R20" i="69"/>
  <c r="Q20" i="69"/>
  <c r="S20" i="69"/>
  <c r="L20" i="69"/>
  <c r="O11" i="18" l="1"/>
  <c r="F15" i="106" s="1"/>
  <c r="E15" i="106"/>
  <c r="O14" i="18"/>
  <c r="F18" i="106" s="1"/>
  <c r="E18" i="106"/>
  <c r="O29" i="18"/>
  <c r="F33" i="106" s="1"/>
  <c r="E33" i="106"/>
  <c r="O10" i="18"/>
  <c r="F14" i="106" s="1"/>
  <c r="E14" i="106"/>
  <c r="I22" i="69"/>
  <c r="E22" i="69"/>
  <c r="B22" i="69"/>
  <c r="C22" i="69" s="1"/>
  <c r="G22" i="69" s="1"/>
  <c r="I23" i="69"/>
  <c r="E23" i="69"/>
  <c r="B23" i="69"/>
  <c r="C23" i="69" s="1"/>
  <c r="G23" i="69" s="1"/>
  <c r="I15" i="69"/>
  <c r="E15" i="69"/>
  <c r="B15" i="69"/>
  <c r="C15" i="69" s="1"/>
  <c r="G15" i="69" s="1"/>
  <c r="I16" i="69"/>
  <c r="E16" i="69"/>
  <c r="B16" i="69"/>
  <c r="C16" i="69" s="1"/>
  <c r="G16" i="69" s="1"/>
  <c r="I17" i="69"/>
  <c r="E17" i="69"/>
  <c r="B17" i="69"/>
  <c r="C17" i="69" s="1"/>
  <c r="G17" i="69" s="1"/>
  <c r="I13" i="69"/>
  <c r="E13" i="69"/>
  <c r="B13" i="69"/>
  <c r="C13" i="69" s="1"/>
  <c r="G13" i="69" s="1"/>
  <c r="I12" i="69"/>
  <c r="E12" i="69"/>
  <c r="B12" i="69"/>
  <c r="C12" i="69" s="1"/>
  <c r="G12" i="69" s="1"/>
  <c r="I11" i="69"/>
  <c r="E11" i="69"/>
  <c r="B11" i="69"/>
  <c r="C11" i="69" s="1"/>
  <c r="G11" i="69" s="1"/>
  <c r="I10" i="69"/>
  <c r="E10" i="69"/>
  <c r="B10" i="69"/>
  <c r="C10" i="69" s="1"/>
  <c r="G10" i="69" s="1"/>
  <c r="I9" i="69"/>
  <c r="E9" i="69"/>
  <c r="B9" i="69"/>
  <c r="C9" i="69" s="1"/>
  <c r="G9" i="69" s="1"/>
  <c r="I8" i="69"/>
  <c r="E8" i="69"/>
  <c r="B8" i="69"/>
  <c r="C8" i="69" s="1"/>
  <c r="G8" i="69" s="1"/>
  <c r="I7" i="69"/>
  <c r="E7" i="69"/>
  <c r="B7" i="69"/>
  <c r="C7" i="69" s="1"/>
  <c r="G7" i="69" s="1"/>
  <c r="I6" i="69"/>
  <c r="E6" i="69"/>
  <c r="B6" i="69"/>
  <c r="C6" i="69" s="1"/>
  <c r="G6" i="69" s="1"/>
  <c r="I25" i="69"/>
  <c r="E25" i="69"/>
  <c r="B25" i="69"/>
  <c r="C25" i="69" s="1"/>
  <c r="G25" i="69" s="1"/>
  <c r="I24" i="69"/>
  <c r="E24" i="69"/>
  <c r="B24" i="69"/>
  <c r="C24" i="69" s="1"/>
  <c r="G24" i="69" s="1"/>
  <c r="I21" i="69"/>
  <c r="E21" i="69"/>
  <c r="B21" i="69"/>
  <c r="C21" i="69" s="1"/>
  <c r="G21" i="69" s="1"/>
  <c r="I19" i="69"/>
  <c r="E19" i="69"/>
  <c r="B19" i="69"/>
  <c r="C19" i="69" s="1"/>
  <c r="G19" i="69" s="1"/>
  <c r="I18" i="69"/>
  <c r="E18" i="69"/>
  <c r="B18" i="69"/>
  <c r="C18" i="69" s="1"/>
  <c r="G18" i="69" s="1"/>
  <c r="D17" i="69" l="1"/>
  <c r="D25" i="69"/>
  <c r="D15" i="69"/>
  <c r="H15" i="69" s="1"/>
  <c r="M15" i="69" s="1"/>
  <c r="D8" i="69"/>
  <c r="H8" i="69" s="1"/>
  <c r="M8" i="69" s="1"/>
  <c r="D10" i="69"/>
  <c r="H10" i="69" s="1"/>
  <c r="M10" i="69" s="1"/>
  <c r="D24" i="69"/>
  <c r="H24" i="69" s="1"/>
  <c r="L24" i="69" s="1"/>
  <c r="D13" i="69"/>
  <c r="H13" i="69" s="1"/>
  <c r="D7" i="69"/>
  <c r="H7" i="69" s="1"/>
  <c r="M7" i="69" s="1"/>
  <c r="D9" i="69"/>
  <c r="H9" i="69" s="1"/>
  <c r="L9" i="69" s="1"/>
  <c r="D11" i="69"/>
  <c r="H11" i="69" s="1"/>
  <c r="L11" i="69" s="1"/>
  <c r="D21" i="69"/>
  <c r="H21" i="69" s="1"/>
  <c r="M21" i="69" s="1"/>
  <c r="D22" i="69"/>
  <c r="H22" i="69" s="1"/>
  <c r="M22" i="69" s="1"/>
  <c r="D23" i="69"/>
  <c r="H23" i="69" s="1"/>
  <c r="D16" i="69"/>
  <c r="H16" i="69" s="1"/>
  <c r="M16" i="69" s="1"/>
  <c r="H17" i="69"/>
  <c r="M17" i="69" s="1"/>
  <c r="D12" i="69"/>
  <c r="H12" i="69" s="1"/>
  <c r="D6" i="69"/>
  <c r="H6" i="69" s="1"/>
  <c r="H25" i="69"/>
  <c r="M25" i="69" s="1"/>
  <c r="D19" i="69"/>
  <c r="H19" i="69" s="1"/>
  <c r="D18" i="69"/>
  <c r="H18" i="69" s="1"/>
  <c r="M13" i="69" l="1"/>
  <c r="R13" i="69" s="1"/>
  <c r="L13" i="69"/>
  <c r="L7" i="69"/>
  <c r="V22" i="69"/>
  <c r="N22" i="69"/>
  <c r="O22" i="69" s="1"/>
  <c r="U22" i="69"/>
  <c r="T22" i="69"/>
  <c r="S22" i="69"/>
  <c r="R22" i="69"/>
  <c r="Q22" i="69"/>
  <c r="P22" i="69"/>
  <c r="L22" i="69"/>
  <c r="M23" i="69"/>
  <c r="L23" i="69"/>
  <c r="V15" i="69"/>
  <c r="N15" i="69"/>
  <c r="O15" i="69" s="1"/>
  <c r="U15" i="69"/>
  <c r="T15" i="69"/>
  <c r="S15" i="69"/>
  <c r="R15" i="69"/>
  <c r="Q15" i="69"/>
  <c r="P15" i="69"/>
  <c r="L15" i="69"/>
  <c r="V16" i="69"/>
  <c r="N16" i="69"/>
  <c r="O16" i="69" s="1"/>
  <c r="U16" i="69"/>
  <c r="Q16" i="69"/>
  <c r="P16" i="69"/>
  <c r="T16" i="69"/>
  <c r="S16" i="69"/>
  <c r="R16" i="69"/>
  <c r="L16" i="69"/>
  <c r="V17" i="69"/>
  <c r="N17" i="69"/>
  <c r="O17" i="69" s="1"/>
  <c r="U17" i="69"/>
  <c r="P17" i="69"/>
  <c r="T17" i="69"/>
  <c r="S17" i="69"/>
  <c r="R17" i="69"/>
  <c r="Q17" i="69"/>
  <c r="L17" i="69"/>
  <c r="V13" i="69"/>
  <c r="M12" i="69"/>
  <c r="L12" i="69"/>
  <c r="M11" i="69"/>
  <c r="V10" i="69"/>
  <c r="N10" i="69"/>
  <c r="O10" i="69" s="1"/>
  <c r="R10" i="69"/>
  <c r="U10" i="69"/>
  <c r="T10" i="69"/>
  <c r="S10" i="69"/>
  <c r="Q10" i="69"/>
  <c r="P10" i="69"/>
  <c r="L10" i="69"/>
  <c r="M9" i="69"/>
  <c r="V8" i="69"/>
  <c r="N8" i="69"/>
  <c r="O8" i="69" s="1"/>
  <c r="U8" i="69"/>
  <c r="S8" i="69"/>
  <c r="T8" i="69"/>
  <c r="R8" i="69"/>
  <c r="Q8" i="69"/>
  <c r="P8" i="69"/>
  <c r="L8" i="69"/>
  <c r="V7" i="69"/>
  <c r="N7" i="69"/>
  <c r="O7" i="69" s="1"/>
  <c r="R7" i="69"/>
  <c r="U7" i="69"/>
  <c r="T7" i="69"/>
  <c r="S7" i="69"/>
  <c r="Q7" i="69"/>
  <c r="P7" i="69"/>
  <c r="M6" i="69"/>
  <c r="L6" i="69"/>
  <c r="V25" i="69"/>
  <c r="N25" i="69"/>
  <c r="O25" i="69" s="1"/>
  <c r="U25" i="69"/>
  <c r="T25" i="69"/>
  <c r="S25" i="69"/>
  <c r="R25" i="69"/>
  <c r="Q25" i="69"/>
  <c r="P25" i="69"/>
  <c r="L25" i="69"/>
  <c r="M24" i="69"/>
  <c r="V21" i="69"/>
  <c r="N21" i="69"/>
  <c r="O21" i="69" s="1"/>
  <c r="U21" i="69"/>
  <c r="T21" i="69"/>
  <c r="S21" i="69"/>
  <c r="R21" i="69"/>
  <c r="Q21" i="69"/>
  <c r="P21" i="69"/>
  <c r="L21" i="69"/>
  <c r="M19" i="69"/>
  <c r="L19" i="69"/>
  <c r="M18" i="69"/>
  <c r="L18" i="69"/>
  <c r="P13" i="69" l="1"/>
  <c r="T13" i="69"/>
  <c r="U13" i="69"/>
  <c r="S13" i="69"/>
  <c r="N13" i="69"/>
  <c r="O13" i="69" s="1"/>
  <c r="Q13" i="69"/>
  <c r="V23" i="69"/>
  <c r="N23" i="69"/>
  <c r="O23" i="69" s="1"/>
  <c r="U23" i="69"/>
  <c r="S23" i="69"/>
  <c r="T23" i="69"/>
  <c r="R23" i="69"/>
  <c r="Q23" i="69"/>
  <c r="P23" i="69"/>
  <c r="V12" i="69"/>
  <c r="N12" i="69"/>
  <c r="O12" i="69" s="1"/>
  <c r="U12" i="69"/>
  <c r="T12" i="69"/>
  <c r="S12" i="69"/>
  <c r="Q12" i="69"/>
  <c r="P12" i="69"/>
  <c r="R12" i="69"/>
  <c r="V11" i="69"/>
  <c r="N11" i="69"/>
  <c r="O11" i="69" s="1"/>
  <c r="U11" i="69"/>
  <c r="T11" i="69"/>
  <c r="S11" i="69"/>
  <c r="R11" i="69"/>
  <c r="Q11" i="69"/>
  <c r="P11" i="69"/>
  <c r="V9" i="69"/>
  <c r="N9" i="69"/>
  <c r="O9" i="69" s="1"/>
  <c r="T9" i="69"/>
  <c r="S9" i="69"/>
  <c r="U9" i="69"/>
  <c r="R9" i="69"/>
  <c r="Q9" i="69"/>
  <c r="P9" i="69"/>
  <c r="V6" i="69"/>
  <c r="N6" i="69"/>
  <c r="O6" i="69" s="1"/>
  <c r="U6" i="69"/>
  <c r="R6" i="69"/>
  <c r="Q6" i="69"/>
  <c r="P6" i="69"/>
  <c r="T6" i="69"/>
  <c r="S6" i="69"/>
  <c r="V24" i="69"/>
  <c r="N24" i="69"/>
  <c r="O24" i="69" s="1"/>
  <c r="T24" i="69"/>
  <c r="S24" i="69"/>
  <c r="U24" i="69"/>
  <c r="R24" i="69"/>
  <c r="Q24" i="69"/>
  <c r="P24" i="69"/>
  <c r="V19" i="69"/>
  <c r="N19" i="69"/>
  <c r="O19" i="69" s="1"/>
  <c r="U19" i="69"/>
  <c r="T19" i="69"/>
  <c r="R19" i="69"/>
  <c r="Q19" i="69"/>
  <c r="P19" i="69"/>
  <c r="S19" i="69"/>
  <c r="V18" i="69"/>
  <c r="N18" i="69"/>
  <c r="O18" i="69" s="1"/>
  <c r="U18" i="69"/>
  <c r="S18" i="69"/>
  <c r="Q18" i="69"/>
  <c r="P18" i="69"/>
  <c r="T18" i="69"/>
  <c r="R18" i="69"/>
  <c r="H11" i="50" l="1"/>
  <c r="B11" i="50"/>
  <c r="D11" i="50" s="1"/>
  <c r="H10" i="50"/>
  <c r="B10" i="50"/>
  <c r="C10" i="50" s="1"/>
  <c r="E10" i="50" s="1"/>
  <c r="H9" i="50"/>
  <c r="B9" i="50"/>
  <c r="D9" i="50" s="1"/>
  <c r="H8" i="50"/>
  <c r="B8" i="50"/>
  <c r="H7" i="50"/>
  <c r="B7" i="50"/>
  <c r="C7" i="50" s="1"/>
  <c r="E7" i="50" s="1"/>
  <c r="H6" i="50"/>
  <c r="B6" i="50"/>
  <c r="C6" i="50" s="1"/>
  <c r="E6" i="50" s="1"/>
  <c r="H5" i="50"/>
  <c r="B5" i="50"/>
  <c r="H4" i="50"/>
  <c r="B4" i="50"/>
  <c r="D4" i="50" s="1"/>
  <c r="H3" i="50"/>
  <c r="B3" i="50"/>
  <c r="D3" i="50" s="1"/>
  <c r="C62" i="106" l="1"/>
  <c r="C63" i="106"/>
  <c r="C58" i="106"/>
  <c r="D7" i="50"/>
  <c r="F7" i="50" s="1"/>
  <c r="M7" i="50" s="1"/>
  <c r="W7" i="50" s="1"/>
  <c r="D10" i="50"/>
  <c r="F10" i="50" s="1"/>
  <c r="L10" i="50" s="1"/>
  <c r="C11" i="50"/>
  <c r="E11" i="50" s="1"/>
  <c r="C3" i="50"/>
  <c r="E3" i="50" s="1"/>
  <c r="F3" i="50" s="1"/>
  <c r="D6" i="50"/>
  <c r="F6" i="50" s="1"/>
  <c r="L6" i="50" s="1"/>
  <c r="D8" i="50"/>
  <c r="C8" i="50"/>
  <c r="E8" i="50" s="1"/>
  <c r="C4" i="50"/>
  <c r="E4" i="50" s="1"/>
  <c r="C9" i="50"/>
  <c r="E9" i="50" s="1"/>
  <c r="D5" i="50"/>
  <c r="C5" i="50"/>
  <c r="E5" i="50" s="1"/>
  <c r="H18" i="49"/>
  <c r="B18" i="49"/>
  <c r="D18" i="49" s="1"/>
  <c r="H118" i="49"/>
  <c r="B118" i="49"/>
  <c r="D118" i="49" s="1"/>
  <c r="H119" i="49"/>
  <c r="B119" i="49"/>
  <c r="D119" i="49" s="1"/>
  <c r="H120" i="49"/>
  <c r="B120" i="49"/>
  <c r="D120" i="49" s="1"/>
  <c r="H121" i="49"/>
  <c r="B121" i="49"/>
  <c r="D121" i="49" s="1"/>
  <c r="H68" i="49"/>
  <c r="B68" i="49"/>
  <c r="D68" i="49" s="1"/>
  <c r="H74" i="49"/>
  <c r="B74" i="49"/>
  <c r="D74" i="49" s="1"/>
  <c r="H99" i="49"/>
  <c r="B99" i="49"/>
  <c r="D99" i="49" s="1"/>
  <c r="H100" i="49"/>
  <c r="B100" i="49"/>
  <c r="D100" i="49" s="1"/>
  <c r="H58" i="49"/>
  <c r="B58" i="49"/>
  <c r="D58" i="49" s="1"/>
  <c r="H93" i="49"/>
  <c r="B93" i="49"/>
  <c r="D93" i="49" s="1"/>
  <c r="H86" i="49"/>
  <c r="B86" i="49"/>
  <c r="D86" i="49" s="1"/>
  <c r="H87" i="49"/>
  <c r="B87" i="49"/>
  <c r="D87" i="49" s="1"/>
  <c r="H63" i="49"/>
  <c r="B63" i="49"/>
  <c r="D63" i="49" s="1"/>
  <c r="H54" i="49"/>
  <c r="B54" i="49"/>
  <c r="D54" i="49" s="1"/>
  <c r="H80" i="49"/>
  <c r="B80" i="49"/>
  <c r="D80" i="49" s="1"/>
  <c r="H50" i="49"/>
  <c r="B50" i="49"/>
  <c r="D50" i="49" s="1"/>
  <c r="H69" i="49"/>
  <c r="B69" i="49"/>
  <c r="D69" i="49" s="1"/>
  <c r="H76" i="49"/>
  <c r="B76" i="49"/>
  <c r="D76" i="49" s="1"/>
  <c r="H75" i="49"/>
  <c r="B75" i="49"/>
  <c r="C75" i="49" s="1"/>
  <c r="E75" i="49" s="1"/>
  <c r="H59" i="49"/>
  <c r="B59" i="49"/>
  <c r="D59" i="49" s="1"/>
  <c r="H64" i="49"/>
  <c r="B64" i="49"/>
  <c r="D64" i="49" s="1"/>
  <c r="H113" i="49"/>
  <c r="B113" i="49"/>
  <c r="D113" i="49" s="1"/>
  <c r="H114" i="49"/>
  <c r="B114" i="49"/>
  <c r="D114" i="49" s="1"/>
  <c r="H94" i="49"/>
  <c r="B94" i="49"/>
  <c r="D94" i="49" s="1"/>
  <c r="H81" i="49"/>
  <c r="B81" i="49"/>
  <c r="D81" i="49" s="1"/>
  <c r="H105" i="49"/>
  <c r="B105" i="49"/>
  <c r="D105" i="49" s="1"/>
  <c r="H70" i="49"/>
  <c r="B70" i="49"/>
  <c r="D70" i="49" s="1"/>
  <c r="H82" i="49"/>
  <c r="B82" i="49"/>
  <c r="D82" i="49" s="1"/>
  <c r="H101" i="49"/>
  <c r="B101" i="49"/>
  <c r="D101" i="49" s="1"/>
  <c r="H95" i="49"/>
  <c r="B95" i="49"/>
  <c r="D95" i="49" s="1"/>
  <c r="H88" i="49"/>
  <c r="B88" i="49"/>
  <c r="D88" i="49" s="1"/>
  <c r="N64" i="106" l="1"/>
  <c r="D64" i="106"/>
  <c r="N61" i="106"/>
  <c r="D61" i="106"/>
  <c r="C54" i="49"/>
  <c r="E54" i="49" s="1"/>
  <c r="F54" i="49" s="1"/>
  <c r="L54" i="49" s="1"/>
  <c r="D75" i="49"/>
  <c r="C68" i="49"/>
  <c r="E68" i="49" s="1"/>
  <c r="C119" i="49"/>
  <c r="E119" i="49" s="1"/>
  <c r="F119" i="49" s="1"/>
  <c r="M119" i="49" s="1"/>
  <c r="C100" i="49"/>
  <c r="E100" i="49" s="1"/>
  <c r="F100" i="49" s="1"/>
  <c r="M100" i="49" s="1"/>
  <c r="C74" i="49"/>
  <c r="E74" i="49" s="1"/>
  <c r="F74" i="49" s="1"/>
  <c r="L74" i="49" s="1"/>
  <c r="C121" i="49"/>
  <c r="E121" i="49" s="1"/>
  <c r="F121" i="49" s="1"/>
  <c r="L121" i="49" s="1"/>
  <c r="C18" i="49"/>
  <c r="E18" i="49" s="1"/>
  <c r="F18" i="49" s="1"/>
  <c r="M18" i="49" s="1"/>
  <c r="C66" i="106"/>
  <c r="F11" i="50"/>
  <c r="L11" i="50" s="1"/>
  <c r="M3" i="50"/>
  <c r="W3" i="50" s="1"/>
  <c r="C64" i="106"/>
  <c r="L7" i="50"/>
  <c r="L3" i="50"/>
  <c r="M6" i="50"/>
  <c r="W6" i="50" s="1"/>
  <c r="V7" i="50"/>
  <c r="N7" i="50"/>
  <c r="O7" i="50" s="1"/>
  <c r="U7" i="50"/>
  <c r="R7" i="50"/>
  <c r="S7" i="50"/>
  <c r="Q7" i="50"/>
  <c r="P7" i="50"/>
  <c r="T7" i="50"/>
  <c r="K64" i="106"/>
  <c r="J64" i="106"/>
  <c r="I64" i="106"/>
  <c r="G64" i="106"/>
  <c r="L64" i="106"/>
  <c r="H64" i="106"/>
  <c r="M64" i="106"/>
  <c r="L61" i="106"/>
  <c r="K61" i="106"/>
  <c r="J61" i="106"/>
  <c r="H61" i="106"/>
  <c r="I61" i="106"/>
  <c r="G61" i="106"/>
  <c r="M61" i="106"/>
  <c r="C59" i="106"/>
  <c r="F5" i="50"/>
  <c r="L5" i="50" s="1"/>
  <c r="F9" i="50"/>
  <c r="L9" i="50" s="1"/>
  <c r="F8" i="50"/>
  <c r="M8" i="50" s="1"/>
  <c r="W8" i="50" s="1"/>
  <c r="F4" i="50"/>
  <c r="M4" i="50" s="1"/>
  <c r="W4" i="50" s="1"/>
  <c r="M10" i="50"/>
  <c r="W10" i="50" s="1"/>
  <c r="C61" i="106"/>
  <c r="C118" i="49"/>
  <c r="E118" i="49" s="1"/>
  <c r="C120" i="49"/>
  <c r="E120" i="49" s="1"/>
  <c r="F68" i="49"/>
  <c r="M68" i="49" s="1"/>
  <c r="C99" i="49"/>
  <c r="E99" i="49" s="1"/>
  <c r="C58" i="49"/>
  <c r="E58" i="49" s="1"/>
  <c r="C93" i="49"/>
  <c r="E93" i="49" s="1"/>
  <c r="C86" i="49"/>
  <c r="E86" i="49" s="1"/>
  <c r="C87" i="49"/>
  <c r="E87" i="49" s="1"/>
  <c r="C63" i="49"/>
  <c r="E63" i="49" s="1"/>
  <c r="C80" i="49"/>
  <c r="E80" i="49" s="1"/>
  <c r="C50" i="49"/>
  <c r="E50" i="49" s="1"/>
  <c r="C69" i="49"/>
  <c r="E69" i="49" s="1"/>
  <c r="C76" i="49"/>
  <c r="E76" i="49" s="1"/>
  <c r="F75" i="49"/>
  <c r="L75" i="49" s="1"/>
  <c r="C59" i="49"/>
  <c r="E59" i="49" s="1"/>
  <c r="C64" i="49"/>
  <c r="E64" i="49" s="1"/>
  <c r="C113" i="49"/>
  <c r="E113" i="49" s="1"/>
  <c r="C114" i="49"/>
  <c r="E114" i="49" s="1"/>
  <c r="C94" i="49"/>
  <c r="E94" i="49" s="1"/>
  <c r="C81" i="49"/>
  <c r="E81" i="49" s="1"/>
  <c r="C105" i="49"/>
  <c r="E105" i="49" s="1"/>
  <c r="C70" i="49"/>
  <c r="E70" i="49" s="1"/>
  <c r="C82" i="49"/>
  <c r="E82" i="49" s="1"/>
  <c r="C101" i="49"/>
  <c r="E101" i="49" s="1"/>
  <c r="C95" i="49"/>
  <c r="E95" i="49" s="1"/>
  <c r="C88" i="49"/>
  <c r="E88" i="49" s="1"/>
  <c r="H43" i="49"/>
  <c r="B43" i="49"/>
  <c r="D43" i="49" s="1"/>
  <c r="H5" i="49"/>
  <c r="B5" i="49"/>
  <c r="D5" i="49" s="1"/>
  <c r="H4" i="49"/>
  <c r="B4" i="49"/>
  <c r="D4" i="49" s="1"/>
  <c r="H3" i="49"/>
  <c r="B3" i="49"/>
  <c r="D3" i="49" s="1"/>
  <c r="H6" i="49"/>
  <c r="B6" i="49"/>
  <c r="C6" i="49" s="1"/>
  <c r="E6" i="49" s="1"/>
  <c r="H7" i="49"/>
  <c r="B7" i="49"/>
  <c r="D7" i="49" s="1"/>
  <c r="H8" i="49"/>
  <c r="B8" i="49"/>
  <c r="D8" i="49" s="1"/>
  <c r="H34" i="49"/>
  <c r="B34" i="49"/>
  <c r="D34" i="49" s="1"/>
  <c r="H31" i="49"/>
  <c r="B31" i="49"/>
  <c r="C31" i="49" s="1"/>
  <c r="E31" i="49" s="1"/>
  <c r="H28" i="49"/>
  <c r="B28" i="49"/>
  <c r="D28" i="49" s="1"/>
  <c r="H25" i="49"/>
  <c r="B25" i="49"/>
  <c r="C25" i="49" s="1"/>
  <c r="E25" i="49" s="1"/>
  <c r="H22" i="49"/>
  <c r="B22" i="49"/>
  <c r="C22" i="49" s="1"/>
  <c r="E22" i="49" s="1"/>
  <c r="H19" i="49"/>
  <c r="B19" i="49"/>
  <c r="C19" i="49" s="1"/>
  <c r="E19" i="49" s="1"/>
  <c r="H15" i="49"/>
  <c r="B15" i="49"/>
  <c r="D15" i="49" s="1"/>
  <c r="H12" i="49"/>
  <c r="B12" i="49"/>
  <c r="C12" i="49" s="1"/>
  <c r="E12" i="49" s="1"/>
  <c r="H9" i="49"/>
  <c r="B9" i="49"/>
  <c r="D9" i="49" s="1"/>
  <c r="H115" i="49"/>
  <c r="B115" i="49"/>
  <c r="D115" i="49" s="1"/>
  <c r="H106" i="49"/>
  <c r="B106" i="49"/>
  <c r="D106" i="49" s="1"/>
  <c r="H102" i="49"/>
  <c r="B102" i="49"/>
  <c r="D102" i="49" s="1"/>
  <c r="H96" i="49"/>
  <c r="B96" i="49"/>
  <c r="C96" i="49" s="1"/>
  <c r="E96" i="49" s="1"/>
  <c r="H89" i="49"/>
  <c r="B89" i="49"/>
  <c r="D89" i="49" s="1"/>
  <c r="H83" i="49"/>
  <c r="B83" i="49"/>
  <c r="D83" i="49" s="1"/>
  <c r="H77" i="49"/>
  <c r="B77" i="49"/>
  <c r="D77" i="49" s="1"/>
  <c r="H71" i="49"/>
  <c r="B71" i="49"/>
  <c r="D71" i="49" s="1"/>
  <c r="H65" i="49"/>
  <c r="B65" i="49"/>
  <c r="C65" i="49" s="1"/>
  <c r="E65" i="49" s="1"/>
  <c r="H60" i="49"/>
  <c r="B60" i="49"/>
  <c r="D60" i="49" s="1"/>
  <c r="H55" i="49"/>
  <c r="B55" i="49"/>
  <c r="C55" i="49" s="1"/>
  <c r="E55" i="49" s="1"/>
  <c r="H51" i="49"/>
  <c r="B51" i="49"/>
  <c r="D51" i="49" s="1"/>
  <c r="H47" i="49"/>
  <c r="B47" i="49"/>
  <c r="C47" i="49" s="1"/>
  <c r="E47" i="49" s="1"/>
  <c r="H44" i="49"/>
  <c r="B44" i="49"/>
  <c r="D44" i="49" s="1"/>
  <c r="H40" i="49"/>
  <c r="B40" i="49"/>
  <c r="C40" i="49" s="1"/>
  <c r="E40" i="49" s="1"/>
  <c r="H37" i="49"/>
  <c r="B37" i="49"/>
  <c r="D37" i="49" s="1"/>
  <c r="H116" i="49"/>
  <c r="B116" i="49"/>
  <c r="D116" i="49" s="1"/>
  <c r="H107" i="49"/>
  <c r="B107" i="49"/>
  <c r="D107" i="49" s="1"/>
  <c r="H103" i="49"/>
  <c r="B103" i="49"/>
  <c r="D103" i="49" s="1"/>
  <c r="H97" i="49"/>
  <c r="B97" i="49"/>
  <c r="D97" i="49" s="1"/>
  <c r="H90" i="49"/>
  <c r="B90" i="49"/>
  <c r="C90" i="49" s="1"/>
  <c r="E90" i="49" s="1"/>
  <c r="H16" i="49"/>
  <c r="B16" i="49"/>
  <c r="C16" i="49" s="1"/>
  <c r="E16" i="49" s="1"/>
  <c r="H10" i="49"/>
  <c r="B10" i="49"/>
  <c r="D10" i="49" s="1"/>
  <c r="H13" i="49"/>
  <c r="B13" i="49"/>
  <c r="D13" i="49" s="1"/>
  <c r="H20" i="49"/>
  <c r="B20" i="49"/>
  <c r="D20" i="49" s="1"/>
  <c r="H23" i="49"/>
  <c r="B23" i="49"/>
  <c r="D23" i="49" s="1"/>
  <c r="H26" i="49"/>
  <c r="B26" i="49"/>
  <c r="D26" i="49" s="1"/>
  <c r="H29" i="49"/>
  <c r="B29" i="49"/>
  <c r="D29" i="49" s="1"/>
  <c r="H32" i="49"/>
  <c r="B32" i="49"/>
  <c r="D32" i="49" s="1"/>
  <c r="H35" i="49"/>
  <c r="B35" i="49"/>
  <c r="D35" i="49" s="1"/>
  <c r="H38" i="49"/>
  <c r="B38" i="49"/>
  <c r="D38" i="49" s="1"/>
  <c r="H41" i="49"/>
  <c r="B41" i="49"/>
  <c r="D41" i="49" s="1"/>
  <c r="H48" i="49"/>
  <c r="B48" i="49"/>
  <c r="D48" i="49" s="1"/>
  <c r="H52" i="49"/>
  <c r="B52" i="49"/>
  <c r="D52" i="49" s="1"/>
  <c r="H56" i="49"/>
  <c r="B56" i="49"/>
  <c r="D56" i="49" s="1"/>
  <c r="H61" i="49"/>
  <c r="B61" i="49"/>
  <c r="D61" i="49" s="1"/>
  <c r="H66" i="49"/>
  <c r="B66" i="49"/>
  <c r="D66" i="49" s="1"/>
  <c r="H72" i="49"/>
  <c r="B72" i="49"/>
  <c r="D72" i="49" s="1"/>
  <c r="H78" i="49"/>
  <c r="B78" i="49"/>
  <c r="D78" i="49" s="1"/>
  <c r="H84" i="49"/>
  <c r="B84" i="49"/>
  <c r="D84" i="49" s="1"/>
  <c r="B45" i="49"/>
  <c r="C45" i="49" s="1"/>
  <c r="E45" i="49" s="1"/>
  <c r="H45" i="49"/>
  <c r="N66" i="106" l="1"/>
  <c r="D66" i="106"/>
  <c r="N65" i="106"/>
  <c r="D65" i="106"/>
  <c r="F64" i="106"/>
  <c r="E64" i="106"/>
  <c r="N63" i="106"/>
  <c r="D63" i="106"/>
  <c r="N62" i="106"/>
  <c r="D62" i="106"/>
  <c r="F61" i="106"/>
  <c r="E61" i="106"/>
  <c r="N60" i="106"/>
  <c r="D60" i="106"/>
  <c r="N59" i="106"/>
  <c r="D59" i="106"/>
  <c r="N58" i="106"/>
  <c r="D58" i="106"/>
  <c r="L62" i="106"/>
  <c r="J62" i="106"/>
  <c r="M62" i="106"/>
  <c r="AC18" i="49"/>
  <c r="AB18" i="49"/>
  <c r="AA18" i="49"/>
  <c r="Z18" i="49"/>
  <c r="Y18" i="49"/>
  <c r="AC119" i="49"/>
  <c r="AB119" i="49"/>
  <c r="Y119" i="49"/>
  <c r="AA119" i="49"/>
  <c r="Z119" i="49"/>
  <c r="AC68" i="49"/>
  <c r="AB68" i="49"/>
  <c r="AA68" i="49"/>
  <c r="Z68" i="49"/>
  <c r="Y68" i="49"/>
  <c r="AC100" i="49"/>
  <c r="AB100" i="49"/>
  <c r="Z100" i="49"/>
  <c r="Y100" i="49"/>
  <c r="AA100" i="49"/>
  <c r="K62" i="106"/>
  <c r="H62" i="106"/>
  <c r="D31" i="49"/>
  <c r="G62" i="106"/>
  <c r="I62" i="106"/>
  <c r="L119" i="49"/>
  <c r="L68" i="49"/>
  <c r="J66" i="106"/>
  <c r="M9" i="50"/>
  <c r="W9" i="50" s="1"/>
  <c r="G66" i="106"/>
  <c r="K66" i="106"/>
  <c r="Q6" i="50"/>
  <c r="H66" i="106"/>
  <c r="I66" i="106"/>
  <c r="L66" i="106"/>
  <c r="T6" i="50"/>
  <c r="M66" i="106"/>
  <c r="M11" i="50"/>
  <c r="U11" i="50" s="1"/>
  <c r="L4" i="50"/>
  <c r="R6" i="50"/>
  <c r="M5" i="50"/>
  <c r="W5" i="50" s="1"/>
  <c r="U6" i="50"/>
  <c r="T3" i="50"/>
  <c r="S6" i="50"/>
  <c r="Q3" i="50"/>
  <c r="P3" i="50"/>
  <c r="N6" i="50"/>
  <c r="O6" i="50" s="1"/>
  <c r="R3" i="50"/>
  <c r="S3" i="50"/>
  <c r="V6" i="50"/>
  <c r="N3" i="50"/>
  <c r="O3" i="50" s="1"/>
  <c r="V3" i="50"/>
  <c r="U3" i="50"/>
  <c r="P6" i="50"/>
  <c r="G60" i="106"/>
  <c r="K60" i="106"/>
  <c r="L60" i="106"/>
  <c r="J60" i="106"/>
  <c r="I60" i="106"/>
  <c r="H60" i="106"/>
  <c r="M60" i="106"/>
  <c r="U8" i="50"/>
  <c r="T8" i="50"/>
  <c r="Q8" i="50"/>
  <c r="N8" i="50"/>
  <c r="O8" i="50" s="1"/>
  <c r="V8" i="50"/>
  <c r="S8" i="50"/>
  <c r="P8" i="50"/>
  <c r="R8" i="50"/>
  <c r="H65" i="106"/>
  <c r="G65" i="106"/>
  <c r="L65" i="106"/>
  <c r="K65" i="106"/>
  <c r="M65" i="106"/>
  <c r="I65" i="106"/>
  <c r="J65" i="106"/>
  <c r="L8" i="50"/>
  <c r="L63" i="106"/>
  <c r="M63" i="106"/>
  <c r="J63" i="106"/>
  <c r="H63" i="106"/>
  <c r="K63" i="106"/>
  <c r="I63" i="106"/>
  <c r="G63" i="106"/>
  <c r="C60" i="106"/>
  <c r="S10" i="50"/>
  <c r="R10" i="50"/>
  <c r="P10" i="50"/>
  <c r="N10" i="50"/>
  <c r="O10" i="50" s="1"/>
  <c r="V10" i="50"/>
  <c r="U10" i="50"/>
  <c r="Q10" i="50"/>
  <c r="T10" i="50"/>
  <c r="C65" i="106"/>
  <c r="Q4" i="50"/>
  <c r="P4" i="50"/>
  <c r="U4" i="50"/>
  <c r="V4" i="50"/>
  <c r="T4" i="50"/>
  <c r="S4" i="50"/>
  <c r="R4" i="50"/>
  <c r="N4" i="50"/>
  <c r="O4" i="50" s="1"/>
  <c r="M58" i="106"/>
  <c r="J58" i="106"/>
  <c r="I58" i="106"/>
  <c r="H58" i="106"/>
  <c r="G58" i="106"/>
  <c r="K58" i="106"/>
  <c r="L58" i="106"/>
  <c r="J59" i="106"/>
  <c r="I59" i="106"/>
  <c r="M59" i="106"/>
  <c r="K59" i="106"/>
  <c r="H59" i="106"/>
  <c r="L59" i="106"/>
  <c r="G59" i="106"/>
  <c r="V18" i="49"/>
  <c r="N18" i="49"/>
  <c r="O18" i="49" s="1"/>
  <c r="R18" i="49"/>
  <c r="Q18" i="49"/>
  <c r="U18" i="49"/>
  <c r="T18" i="49"/>
  <c r="W18" i="49" s="1"/>
  <c r="S18" i="49"/>
  <c r="P18" i="49"/>
  <c r="L18" i="49"/>
  <c r="F118" i="49"/>
  <c r="M118" i="49" s="1"/>
  <c r="V119" i="49"/>
  <c r="N119" i="49"/>
  <c r="O119" i="49" s="1"/>
  <c r="R119" i="49"/>
  <c r="Q119" i="49"/>
  <c r="U119" i="49"/>
  <c r="T119" i="49"/>
  <c r="W119" i="49" s="1"/>
  <c r="S119" i="49"/>
  <c r="P119" i="49"/>
  <c r="F120" i="49"/>
  <c r="M120" i="49" s="1"/>
  <c r="M121" i="49"/>
  <c r="V68" i="49"/>
  <c r="N68" i="49"/>
  <c r="O68" i="49" s="1"/>
  <c r="R68" i="49"/>
  <c r="U68" i="49"/>
  <c r="T68" i="49"/>
  <c r="W68" i="49" s="1"/>
  <c r="S68" i="49"/>
  <c r="Q68" i="49"/>
  <c r="P68" i="49"/>
  <c r="M74" i="49"/>
  <c r="F99" i="49"/>
  <c r="M99" i="49" s="1"/>
  <c r="V100" i="49"/>
  <c r="N100" i="49"/>
  <c r="O100" i="49" s="1"/>
  <c r="U100" i="49"/>
  <c r="T100" i="49"/>
  <c r="W100" i="49" s="1"/>
  <c r="R100" i="49"/>
  <c r="Q100" i="49"/>
  <c r="P100" i="49"/>
  <c r="S100" i="49"/>
  <c r="L100" i="49"/>
  <c r="F58" i="49"/>
  <c r="M58" i="49" s="1"/>
  <c r="F93" i="49"/>
  <c r="M93" i="49" s="1"/>
  <c r="F86" i="49"/>
  <c r="M86" i="49" s="1"/>
  <c r="F87" i="49"/>
  <c r="M87" i="49" s="1"/>
  <c r="F63" i="49"/>
  <c r="M63" i="49" s="1"/>
  <c r="M54" i="49"/>
  <c r="F80" i="49"/>
  <c r="M80" i="49" s="1"/>
  <c r="F50" i="49"/>
  <c r="M50" i="49" s="1"/>
  <c r="F69" i="49"/>
  <c r="M69" i="49" s="1"/>
  <c r="F76" i="49"/>
  <c r="M76" i="49" s="1"/>
  <c r="M75" i="49"/>
  <c r="F59" i="49"/>
  <c r="M59" i="49" s="1"/>
  <c r="F64" i="49"/>
  <c r="M64" i="49" s="1"/>
  <c r="F113" i="49"/>
  <c r="M113" i="49" s="1"/>
  <c r="F114" i="49"/>
  <c r="M114" i="49" s="1"/>
  <c r="F94" i="49"/>
  <c r="M94" i="49" s="1"/>
  <c r="F81" i="49"/>
  <c r="M81" i="49" s="1"/>
  <c r="F105" i="49"/>
  <c r="M105" i="49" s="1"/>
  <c r="F70" i="49"/>
  <c r="M70" i="49" s="1"/>
  <c r="F82" i="49"/>
  <c r="M82" i="49" s="1"/>
  <c r="F101" i="49"/>
  <c r="M101" i="49" s="1"/>
  <c r="F95" i="49"/>
  <c r="M95" i="49" s="1"/>
  <c r="F88" i="49"/>
  <c r="L88" i="49" s="1"/>
  <c r="D55" i="49"/>
  <c r="F55" i="49" s="1"/>
  <c r="M55" i="49" s="1"/>
  <c r="D96" i="49"/>
  <c r="F96" i="49" s="1"/>
  <c r="M96" i="49" s="1"/>
  <c r="D19" i="49"/>
  <c r="F19" i="49" s="1"/>
  <c r="L19" i="49" s="1"/>
  <c r="D65" i="49"/>
  <c r="F65" i="49" s="1"/>
  <c r="L65" i="49" s="1"/>
  <c r="D25" i="49"/>
  <c r="F25" i="49" s="1"/>
  <c r="M25" i="49" s="1"/>
  <c r="D90" i="49"/>
  <c r="F90" i="49" s="1"/>
  <c r="M90" i="49" s="1"/>
  <c r="D12" i="49"/>
  <c r="F12" i="49" s="1"/>
  <c r="M12" i="49" s="1"/>
  <c r="D40" i="49"/>
  <c r="F40" i="49" s="1"/>
  <c r="M40" i="49" s="1"/>
  <c r="D47" i="49"/>
  <c r="F47" i="49" s="1"/>
  <c r="M47" i="49" s="1"/>
  <c r="C103" i="49"/>
  <c r="E103" i="49" s="1"/>
  <c r="C60" i="49"/>
  <c r="E60" i="49" s="1"/>
  <c r="F60" i="49" s="1"/>
  <c r="M60" i="49" s="1"/>
  <c r="C71" i="49"/>
  <c r="E71" i="49" s="1"/>
  <c r="F71" i="49" s="1"/>
  <c r="L71" i="49" s="1"/>
  <c r="C89" i="49"/>
  <c r="E89" i="49" s="1"/>
  <c r="F89" i="49" s="1"/>
  <c r="M89" i="49" s="1"/>
  <c r="C15" i="49"/>
  <c r="E15" i="49" s="1"/>
  <c r="F15" i="49" s="1"/>
  <c r="M15" i="49" s="1"/>
  <c r="D22" i="49"/>
  <c r="F22" i="49" s="1"/>
  <c r="M22" i="49" s="1"/>
  <c r="C43" i="49"/>
  <c r="E43" i="49" s="1"/>
  <c r="F43" i="49" s="1"/>
  <c r="M43" i="49" s="1"/>
  <c r="C37" i="49"/>
  <c r="E37" i="49" s="1"/>
  <c r="F37" i="49" s="1"/>
  <c r="M37" i="49" s="1"/>
  <c r="C44" i="49"/>
  <c r="E44" i="49" s="1"/>
  <c r="F44" i="49" s="1"/>
  <c r="L44" i="49" s="1"/>
  <c r="C106" i="49"/>
  <c r="E106" i="49" s="1"/>
  <c r="F106" i="49" s="1"/>
  <c r="L106" i="49" s="1"/>
  <c r="C3" i="49"/>
  <c r="E3" i="49" s="1"/>
  <c r="F3" i="49" s="1"/>
  <c r="M3" i="49" s="1"/>
  <c r="C5" i="49"/>
  <c r="E5" i="49" s="1"/>
  <c r="F5" i="49" s="1"/>
  <c r="M5" i="49" s="1"/>
  <c r="C8" i="49"/>
  <c r="E8" i="49" s="1"/>
  <c r="F8" i="49" s="1"/>
  <c r="M8" i="49" s="1"/>
  <c r="C4" i="49"/>
  <c r="E4" i="49" s="1"/>
  <c r="F4" i="49" s="1"/>
  <c r="M4" i="49" s="1"/>
  <c r="C34" i="49"/>
  <c r="E34" i="49" s="1"/>
  <c r="F34" i="49" s="1"/>
  <c r="M34" i="49" s="1"/>
  <c r="C116" i="49"/>
  <c r="E116" i="49" s="1"/>
  <c r="F116" i="49" s="1"/>
  <c r="M116" i="49" s="1"/>
  <c r="C115" i="49"/>
  <c r="E115" i="49" s="1"/>
  <c r="F115" i="49" s="1"/>
  <c r="M115" i="49" s="1"/>
  <c r="C28" i="49"/>
  <c r="E28" i="49" s="1"/>
  <c r="F28" i="49" s="1"/>
  <c r="M28" i="49" s="1"/>
  <c r="D6" i="49"/>
  <c r="F6" i="49" s="1"/>
  <c r="M6" i="49" s="1"/>
  <c r="C7" i="49"/>
  <c r="E7" i="49" s="1"/>
  <c r="F31" i="49"/>
  <c r="M31" i="49" s="1"/>
  <c r="C9" i="49"/>
  <c r="E9" i="49" s="1"/>
  <c r="C102" i="49"/>
  <c r="E102" i="49" s="1"/>
  <c r="C83" i="49"/>
  <c r="E83" i="49" s="1"/>
  <c r="C77" i="49"/>
  <c r="E77" i="49" s="1"/>
  <c r="C51" i="49"/>
  <c r="E51" i="49" s="1"/>
  <c r="C107" i="49"/>
  <c r="E107" i="49" s="1"/>
  <c r="F107" i="49" s="1"/>
  <c r="L107" i="49" s="1"/>
  <c r="F103" i="49"/>
  <c r="M103" i="49" s="1"/>
  <c r="C97" i="49"/>
  <c r="E97" i="49" s="1"/>
  <c r="D16" i="49"/>
  <c r="F16" i="49" s="1"/>
  <c r="C10" i="49"/>
  <c r="E10" i="49" s="1"/>
  <c r="C13" i="49"/>
  <c r="E13" i="49" s="1"/>
  <c r="C20" i="49"/>
  <c r="E20" i="49" s="1"/>
  <c r="C23" i="49"/>
  <c r="E23" i="49" s="1"/>
  <c r="C26" i="49"/>
  <c r="E26" i="49" s="1"/>
  <c r="C29" i="49"/>
  <c r="E29" i="49" s="1"/>
  <c r="C32" i="49"/>
  <c r="E32" i="49" s="1"/>
  <c r="C35" i="49"/>
  <c r="E35" i="49" s="1"/>
  <c r="C38" i="49"/>
  <c r="E38" i="49" s="1"/>
  <c r="C41" i="49"/>
  <c r="E41" i="49" s="1"/>
  <c r="C48" i="49"/>
  <c r="E48" i="49" s="1"/>
  <c r="C52" i="49"/>
  <c r="E52" i="49" s="1"/>
  <c r="C56" i="49"/>
  <c r="E56" i="49" s="1"/>
  <c r="C61" i="49"/>
  <c r="E61" i="49" s="1"/>
  <c r="C66" i="49"/>
  <c r="E66" i="49" s="1"/>
  <c r="C72" i="49"/>
  <c r="E72" i="49" s="1"/>
  <c r="C78" i="49"/>
  <c r="E78" i="49" s="1"/>
  <c r="C84" i="49"/>
  <c r="E84" i="49" s="1"/>
  <c r="D45" i="49"/>
  <c r="F45" i="49" s="1"/>
  <c r="L45" i="49" s="1"/>
  <c r="F66" i="106" l="1"/>
  <c r="E66" i="106"/>
  <c r="F65" i="106"/>
  <c r="E65" i="106"/>
  <c r="F63" i="106"/>
  <c r="E63" i="106"/>
  <c r="F62" i="106"/>
  <c r="E62" i="106"/>
  <c r="F60" i="106"/>
  <c r="E60" i="106"/>
  <c r="F59" i="106"/>
  <c r="E59" i="106"/>
  <c r="F58" i="106"/>
  <c r="E58" i="106"/>
  <c r="AC5" i="49"/>
  <c r="AB5" i="49"/>
  <c r="Z5" i="49"/>
  <c r="Y5" i="49"/>
  <c r="AA5" i="49"/>
  <c r="AC59" i="49"/>
  <c r="AB59" i="49"/>
  <c r="Z59" i="49"/>
  <c r="Y59" i="49"/>
  <c r="AA59" i="49"/>
  <c r="AC103" i="49"/>
  <c r="AB103" i="49"/>
  <c r="Y103" i="49"/>
  <c r="AA103" i="49"/>
  <c r="Z103" i="49"/>
  <c r="AC31" i="49"/>
  <c r="AB31" i="49"/>
  <c r="AA31" i="49"/>
  <c r="Z31" i="49"/>
  <c r="Y31" i="49"/>
  <c r="AC4" i="49"/>
  <c r="AB4" i="49"/>
  <c r="AA4" i="49"/>
  <c r="Z4" i="49"/>
  <c r="Y4" i="49"/>
  <c r="AC22" i="49"/>
  <c r="AB22" i="49"/>
  <c r="Y22" i="49"/>
  <c r="AA22" i="49"/>
  <c r="Z22" i="49"/>
  <c r="AC12" i="49"/>
  <c r="AB12" i="49"/>
  <c r="AA12" i="49"/>
  <c r="Z12" i="49"/>
  <c r="Y12" i="49"/>
  <c r="AC95" i="49"/>
  <c r="AB95" i="49"/>
  <c r="Y95" i="49"/>
  <c r="AA95" i="49"/>
  <c r="Z95" i="49"/>
  <c r="AC113" i="49"/>
  <c r="AB113" i="49"/>
  <c r="AA113" i="49"/>
  <c r="Z113" i="49"/>
  <c r="Y113" i="49"/>
  <c r="AC54" i="49"/>
  <c r="AB54" i="49"/>
  <c r="Y54" i="49"/>
  <c r="AA54" i="49"/>
  <c r="Z54" i="49"/>
  <c r="AC74" i="49"/>
  <c r="AB74" i="49"/>
  <c r="AA74" i="49"/>
  <c r="Z74" i="49"/>
  <c r="Y74" i="49"/>
  <c r="AC8" i="49"/>
  <c r="AB8" i="49"/>
  <c r="AA8" i="49"/>
  <c r="Y8" i="49"/>
  <c r="Z8" i="49"/>
  <c r="AC15" i="49"/>
  <c r="AB15" i="49"/>
  <c r="AA15" i="49"/>
  <c r="Z15" i="49"/>
  <c r="Y15" i="49"/>
  <c r="AC90" i="49"/>
  <c r="AB90" i="49"/>
  <c r="AA90" i="49"/>
  <c r="Z90" i="49"/>
  <c r="Y90" i="49"/>
  <c r="AC101" i="49"/>
  <c r="AB101" i="49"/>
  <c r="AA101" i="49"/>
  <c r="Z101" i="49"/>
  <c r="Y101" i="49"/>
  <c r="AC64" i="49"/>
  <c r="AB64" i="49"/>
  <c r="AA64" i="49"/>
  <c r="Z64" i="49"/>
  <c r="Y64" i="49"/>
  <c r="AC63" i="49"/>
  <c r="AB63" i="49"/>
  <c r="AA63" i="49"/>
  <c r="Z63" i="49"/>
  <c r="Y63" i="49"/>
  <c r="AC121" i="49"/>
  <c r="AB121" i="49"/>
  <c r="AA121" i="49"/>
  <c r="Z121" i="49"/>
  <c r="Y121" i="49"/>
  <c r="AC82" i="49"/>
  <c r="AB82" i="49"/>
  <c r="AA82" i="49"/>
  <c r="Z82" i="49"/>
  <c r="Y82" i="49"/>
  <c r="AC3" i="49"/>
  <c r="AB3" i="49"/>
  <c r="Z3" i="49"/>
  <c r="Y3" i="49"/>
  <c r="AA3" i="49"/>
  <c r="AC70" i="49"/>
  <c r="AB70" i="49"/>
  <c r="Y70" i="49"/>
  <c r="AA70" i="49"/>
  <c r="Z70" i="49"/>
  <c r="AC75" i="49"/>
  <c r="AB75" i="49"/>
  <c r="Z75" i="49"/>
  <c r="Y75" i="49"/>
  <c r="AA75" i="49"/>
  <c r="AC105" i="49"/>
  <c r="AB105" i="49"/>
  <c r="AA105" i="49"/>
  <c r="Z105" i="49"/>
  <c r="Y105" i="49"/>
  <c r="AC81" i="49"/>
  <c r="AB81" i="49"/>
  <c r="AA81" i="49"/>
  <c r="Z81" i="49"/>
  <c r="Y81" i="49"/>
  <c r="AC69" i="49"/>
  <c r="AB69" i="49"/>
  <c r="AA69" i="49"/>
  <c r="Z69" i="49"/>
  <c r="Y69" i="49"/>
  <c r="AC58" i="49"/>
  <c r="AB58" i="49"/>
  <c r="AA58" i="49"/>
  <c r="Z58" i="49"/>
  <c r="Y58" i="49"/>
  <c r="AC89" i="49"/>
  <c r="AB89" i="49"/>
  <c r="AA89" i="49"/>
  <c r="Z89" i="49"/>
  <c r="Y89" i="49"/>
  <c r="AC87" i="49"/>
  <c r="AB87" i="49"/>
  <c r="AA87" i="49"/>
  <c r="Z87" i="49"/>
  <c r="Y87" i="49"/>
  <c r="AC86" i="49"/>
  <c r="AB86" i="49"/>
  <c r="Y86" i="49"/>
  <c r="AA86" i="49"/>
  <c r="Z86" i="49"/>
  <c r="AC93" i="49"/>
  <c r="AB93" i="49"/>
  <c r="AA93" i="49"/>
  <c r="Z93" i="49"/>
  <c r="Y93" i="49"/>
  <c r="AC96" i="49"/>
  <c r="AB96" i="49"/>
  <c r="AA96" i="49"/>
  <c r="Z96" i="49"/>
  <c r="Y96" i="49"/>
  <c r="AC116" i="49"/>
  <c r="AB116" i="49"/>
  <c r="Z116" i="49"/>
  <c r="Y116" i="49"/>
  <c r="AA116" i="49"/>
  <c r="AC37" i="49"/>
  <c r="AB37" i="49"/>
  <c r="AA37" i="49"/>
  <c r="Z37" i="49"/>
  <c r="Y37" i="49"/>
  <c r="AC47" i="49"/>
  <c r="AB47" i="49"/>
  <c r="AA47" i="49"/>
  <c r="Z47" i="49"/>
  <c r="Y47" i="49"/>
  <c r="AC55" i="49"/>
  <c r="AB55" i="49"/>
  <c r="AA55" i="49"/>
  <c r="Z55" i="49"/>
  <c r="Y55" i="49"/>
  <c r="AC94" i="49"/>
  <c r="AB94" i="49"/>
  <c r="AA94" i="49"/>
  <c r="Z94" i="49"/>
  <c r="Y94" i="49"/>
  <c r="AC50" i="49"/>
  <c r="AB50" i="49"/>
  <c r="AA50" i="49"/>
  <c r="Z50" i="49"/>
  <c r="Y50" i="49"/>
  <c r="AC25" i="49"/>
  <c r="AB25" i="49"/>
  <c r="AA25" i="49"/>
  <c r="Z25" i="49"/>
  <c r="Y25" i="49"/>
  <c r="AC120" i="49"/>
  <c r="AB120" i="49"/>
  <c r="AA120" i="49"/>
  <c r="Z120" i="49"/>
  <c r="Y120" i="49"/>
  <c r="AC6" i="49"/>
  <c r="AB6" i="49"/>
  <c r="Y6" i="49"/>
  <c r="AA6" i="49"/>
  <c r="Z6" i="49"/>
  <c r="AC118" i="49"/>
  <c r="AB118" i="49"/>
  <c r="AA118" i="49"/>
  <c r="Z118" i="49"/>
  <c r="Y118" i="49"/>
  <c r="AC28" i="49"/>
  <c r="AB28" i="49"/>
  <c r="AA28" i="49"/>
  <c r="Z28" i="49"/>
  <c r="Y28" i="49"/>
  <c r="AC60" i="49"/>
  <c r="AB60" i="49"/>
  <c r="AA60" i="49"/>
  <c r="Z60" i="49"/>
  <c r="Y60" i="49"/>
  <c r="AC76" i="49"/>
  <c r="AB76" i="49"/>
  <c r="AA76" i="49"/>
  <c r="Z76" i="49"/>
  <c r="Y76" i="49"/>
  <c r="AC115" i="49"/>
  <c r="AB115" i="49"/>
  <c r="AA115" i="49"/>
  <c r="Z115" i="49"/>
  <c r="Y115" i="49"/>
  <c r="AC34" i="49"/>
  <c r="AB34" i="49"/>
  <c r="AA34" i="49"/>
  <c r="Z34" i="49"/>
  <c r="Y34" i="49"/>
  <c r="AC43" i="49"/>
  <c r="AB43" i="49"/>
  <c r="Z43" i="49"/>
  <c r="Y43" i="49"/>
  <c r="AA43" i="49"/>
  <c r="AC40" i="49"/>
  <c r="AB40" i="49"/>
  <c r="AA40" i="49"/>
  <c r="Z40" i="49"/>
  <c r="Y40" i="49"/>
  <c r="AC114" i="49"/>
  <c r="AB114" i="49"/>
  <c r="AA114" i="49"/>
  <c r="Z114" i="49"/>
  <c r="Y114" i="49"/>
  <c r="AC80" i="49"/>
  <c r="AB80" i="49"/>
  <c r="AA80" i="49"/>
  <c r="Z80" i="49"/>
  <c r="Y80" i="49"/>
  <c r="AC99" i="49"/>
  <c r="AB99" i="49"/>
  <c r="AA99" i="49"/>
  <c r="Z99" i="49"/>
  <c r="Y99" i="49"/>
  <c r="L63" i="49"/>
  <c r="L50" i="49"/>
  <c r="L93" i="49"/>
  <c r="M88" i="49"/>
  <c r="L94" i="49"/>
  <c r="L82" i="49"/>
  <c r="N9" i="50"/>
  <c r="O9" i="50" s="1"/>
  <c r="P9" i="50"/>
  <c r="Q9" i="50"/>
  <c r="V9" i="50"/>
  <c r="S9" i="50"/>
  <c r="T9" i="50"/>
  <c r="R9" i="50"/>
  <c r="U9" i="50"/>
  <c r="Q11" i="50"/>
  <c r="R11" i="50"/>
  <c r="R5" i="50"/>
  <c r="S5" i="50"/>
  <c r="T5" i="50"/>
  <c r="P5" i="50"/>
  <c r="U5" i="50"/>
  <c r="W11" i="50"/>
  <c r="V5" i="50"/>
  <c r="N11" i="50"/>
  <c r="O11" i="50" s="1"/>
  <c r="N5" i="50"/>
  <c r="O5" i="50" s="1"/>
  <c r="P11" i="50"/>
  <c r="T11" i="50"/>
  <c r="Q5" i="50"/>
  <c r="S11" i="50"/>
  <c r="V11" i="50"/>
  <c r="V118" i="49"/>
  <c r="N118" i="49"/>
  <c r="O118" i="49" s="1"/>
  <c r="U118" i="49"/>
  <c r="T118" i="49"/>
  <c r="W118" i="49" s="1"/>
  <c r="S118" i="49"/>
  <c r="R118" i="49"/>
  <c r="Q118" i="49"/>
  <c r="P118" i="49"/>
  <c r="L118" i="49"/>
  <c r="V120" i="49"/>
  <c r="N120" i="49"/>
  <c r="O120" i="49" s="1"/>
  <c r="U120" i="49"/>
  <c r="T120" i="49"/>
  <c r="W120" i="49" s="1"/>
  <c r="S120" i="49"/>
  <c r="Q120" i="49"/>
  <c r="P120" i="49"/>
  <c r="R120" i="49"/>
  <c r="L120" i="49"/>
  <c r="V121" i="49"/>
  <c r="N121" i="49"/>
  <c r="O121" i="49" s="1"/>
  <c r="U121" i="49"/>
  <c r="T121" i="49"/>
  <c r="W121" i="49" s="1"/>
  <c r="S121" i="49"/>
  <c r="R121" i="49"/>
  <c r="Q121" i="49"/>
  <c r="P121" i="49"/>
  <c r="V74" i="49"/>
  <c r="N74" i="49"/>
  <c r="O74" i="49" s="1"/>
  <c r="S74" i="49"/>
  <c r="U74" i="49"/>
  <c r="T74" i="49"/>
  <c r="W74" i="49" s="1"/>
  <c r="R74" i="49"/>
  <c r="Q74" i="49"/>
  <c r="P74" i="49"/>
  <c r="V99" i="49"/>
  <c r="N99" i="49"/>
  <c r="O99" i="49" s="1"/>
  <c r="U99" i="49"/>
  <c r="T99" i="49"/>
  <c r="W99" i="49" s="1"/>
  <c r="S99" i="49"/>
  <c r="Q99" i="49"/>
  <c r="P99" i="49"/>
  <c r="R99" i="49"/>
  <c r="L99" i="49"/>
  <c r="V58" i="49"/>
  <c r="N58" i="49"/>
  <c r="O58" i="49" s="1"/>
  <c r="U58" i="49"/>
  <c r="R58" i="49"/>
  <c r="Q58" i="49"/>
  <c r="P58" i="49"/>
  <c r="T58" i="49"/>
  <c r="W58" i="49" s="1"/>
  <c r="S58" i="49"/>
  <c r="L58" i="49"/>
  <c r="V93" i="49"/>
  <c r="N93" i="49"/>
  <c r="O93" i="49" s="1"/>
  <c r="R93" i="49"/>
  <c r="Q93" i="49"/>
  <c r="P93" i="49"/>
  <c r="U93" i="49"/>
  <c r="T93" i="49"/>
  <c r="W93" i="49" s="1"/>
  <c r="S93" i="49"/>
  <c r="V86" i="49"/>
  <c r="N86" i="49"/>
  <c r="O86" i="49" s="1"/>
  <c r="U86" i="49"/>
  <c r="S86" i="49"/>
  <c r="T86" i="49"/>
  <c r="W86" i="49" s="1"/>
  <c r="R86" i="49"/>
  <c r="Q86" i="49"/>
  <c r="P86" i="49"/>
  <c r="L86" i="49"/>
  <c r="V87" i="49"/>
  <c r="N87" i="49"/>
  <c r="O87" i="49" s="1"/>
  <c r="U87" i="49"/>
  <c r="T87" i="49"/>
  <c r="W87" i="49" s="1"/>
  <c r="S87" i="49"/>
  <c r="R87" i="49"/>
  <c r="Q87" i="49"/>
  <c r="P87" i="49"/>
  <c r="L87" i="49"/>
  <c r="V63" i="49"/>
  <c r="N63" i="49"/>
  <c r="O63" i="49" s="1"/>
  <c r="R63" i="49"/>
  <c r="Q63" i="49"/>
  <c r="P63" i="49"/>
  <c r="U63" i="49"/>
  <c r="T63" i="49"/>
  <c r="W63" i="49" s="1"/>
  <c r="S63" i="49"/>
  <c r="V54" i="49"/>
  <c r="N54" i="49"/>
  <c r="O54" i="49" s="1"/>
  <c r="U54" i="49"/>
  <c r="T54" i="49"/>
  <c r="W54" i="49" s="1"/>
  <c r="S54" i="49"/>
  <c r="R54" i="49"/>
  <c r="Q54" i="49"/>
  <c r="P54" i="49"/>
  <c r="V80" i="49"/>
  <c r="N80" i="49"/>
  <c r="O80" i="49" s="1"/>
  <c r="U80" i="49"/>
  <c r="T80" i="49"/>
  <c r="W80" i="49" s="1"/>
  <c r="S80" i="49"/>
  <c r="R80" i="49"/>
  <c r="Q80" i="49"/>
  <c r="P80" i="49"/>
  <c r="L80" i="49"/>
  <c r="V50" i="49"/>
  <c r="N50" i="49"/>
  <c r="O50" i="49" s="1"/>
  <c r="R50" i="49"/>
  <c r="Q50" i="49"/>
  <c r="P50" i="49"/>
  <c r="U50" i="49"/>
  <c r="T50" i="49"/>
  <c r="W50" i="49" s="1"/>
  <c r="S50" i="49"/>
  <c r="V69" i="49"/>
  <c r="N69" i="49"/>
  <c r="O69" i="49" s="1"/>
  <c r="U69" i="49"/>
  <c r="T69" i="49"/>
  <c r="W69" i="49" s="1"/>
  <c r="S69" i="49"/>
  <c r="Q69" i="49"/>
  <c r="P69" i="49"/>
  <c r="R69" i="49"/>
  <c r="L69" i="49"/>
  <c r="V76" i="49"/>
  <c r="N76" i="49"/>
  <c r="O76" i="49" s="1"/>
  <c r="U76" i="49"/>
  <c r="T76" i="49"/>
  <c r="W76" i="49" s="1"/>
  <c r="S76" i="49"/>
  <c r="R76" i="49"/>
  <c r="Q76" i="49"/>
  <c r="P76" i="49"/>
  <c r="L76" i="49"/>
  <c r="V75" i="49"/>
  <c r="N75" i="49"/>
  <c r="O75" i="49" s="1"/>
  <c r="Q75" i="49"/>
  <c r="U75" i="49"/>
  <c r="T75" i="49"/>
  <c r="W75" i="49" s="1"/>
  <c r="R75" i="49"/>
  <c r="P75" i="49"/>
  <c r="S75" i="49"/>
  <c r="V59" i="49"/>
  <c r="N59" i="49"/>
  <c r="O59" i="49" s="1"/>
  <c r="U59" i="49"/>
  <c r="S59" i="49"/>
  <c r="T59" i="49"/>
  <c r="W59" i="49" s="1"/>
  <c r="R59" i="49"/>
  <c r="Q59" i="49"/>
  <c r="P59" i="49"/>
  <c r="L59" i="49"/>
  <c r="V64" i="49"/>
  <c r="N64" i="49"/>
  <c r="O64" i="49" s="1"/>
  <c r="U64" i="49"/>
  <c r="T64" i="49"/>
  <c r="W64" i="49" s="1"/>
  <c r="S64" i="49"/>
  <c r="R64" i="49"/>
  <c r="Q64" i="49"/>
  <c r="P64" i="49"/>
  <c r="L64" i="49"/>
  <c r="V113" i="49"/>
  <c r="N113" i="49"/>
  <c r="O113" i="49" s="1"/>
  <c r="U113" i="49"/>
  <c r="T113" i="49"/>
  <c r="W113" i="49" s="1"/>
  <c r="S113" i="49"/>
  <c r="Q113" i="49"/>
  <c r="P113" i="49"/>
  <c r="R113" i="49"/>
  <c r="L113" i="49"/>
  <c r="V114" i="49"/>
  <c r="N114" i="49"/>
  <c r="O114" i="49" s="1"/>
  <c r="R114" i="49"/>
  <c r="Q114" i="49"/>
  <c r="P114" i="49"/>
  <c r="U114" i="49"/>
  <c r="T114" i="49"/>
  <c r="W114" i="49" s="1"/>
  <c r="S114" i="49"/>
  <c r="L114" i="49"/>
  <c r="V94" i="49"/>
  <c r="N94" i="49"/>
  <c r="O94" i="49" s="1"/>
  <c r="R94" i="49"/>
  <c r="Q94" i="49"/>
  <c r="P94" i="49"/>
  <c r="U94" i="49"/>
  <c r="T94" i="49"/>
  <c r="W94" i="49" s="1"/>
  <c r="S94" i="49"/>
  <c r="V81" i="49"/>
  <c r="N81" i="49"/>
  <c r="O81" i="49" s="1"/>
  <c r="U81" i="49"/>
  <c r="T81" i="49"/>
  <c r="W81" i="49" s="1"/>
  <c r="S81" i="49"/>
  <c r="Q81" i="49"/>
  <c r="P81" i="49"/>
  <c r="R81" i="49"/>
  <c r="L81" i="49"/>
  <c r="V105" i="49"/>
  <c r="N105" i="49"/>
  <c r="O105" i="49" s="1"/>
  <c r="R105" i="49"/>
  <c r="U105" i="49"/>
  <c r="Q105" i="49"/>
  <c r="P105" i="49"/>
  <c r="T105" i="49"/>
  <c r="W105" i="49" s="1"/>
  <c r="S105" i="49"/>
  <c r="L105" i="49"/>
  <c r="V70" i="49"/>
  <c r="N70" i="49"/>
  <c r="O70" i="49" s="1"/>
  <c r="U70" i="49"/>
  <c r="T70" i="49"/>
  <c r="W70" i="49" s="1"/>
  <c r="S70" i="49"/>
  <c r="Q70" i="49"/>
  <c r="P70" i="49"/>
  <c r="R70" i="49"/>
  <c r="L70" i="49"/>
  <c r="V82" i="49"/>
  <c r="N82" i="49"/>
  <c r="O82" i="49" s="1"/>
  <c r="U82" i="49"/>
  <c r="T82" i="49"/>
  <c r="W82" i="49" s="1"/>
  <c r="S82" i="49"/>
  <c r="Q82" i="49"/>
  <c r="P82" i="49"/>
  <c r="R82" i="49"/>
  <c r="V101" i="49"/>
  <c r="N101" i="49"/>
  <c r="O101" i="49" s="1"/>
  <c r="U101" i="49"/>
  <c r="T101" i="49"/>
  <c r="W101" i="49" s="1"/>
  <c r="S101" i="49"/>
  <c r="Q101" i="49"/>
  <c r="P101" i="49"/>
  <c r="R101" i="49"/>
  <c r="L101" i="49"/>
  <c r="V95" i="49"/>
  <c r="N95" i="49"/>
  <c r="O95" i="49" s="1"/>
  <c r="U95" i="49"/>
  <c r="T95" i="49"/>
  <c r="W95" i="49" s="1"/>
  <c r="S95" i="49"/>
  <c r="Q95" i="49"/>
  <c r="P95" i="49"/>
  <c r="R95" i="49"/>
  <c r="L95" i="49"/>
  <c r="M71" i="49"/>
  <c r="L34" i="49"/>
  <c r="L25" i="49"/>
  <c r="V43" i="49"/>
  <c r="N43" i="49"/>
  <c r="O43" i="49" s="1"/>
  <c r="U43" i="49"/>
  <c r="T43" i="49"/>
  <c r="W43" i="49" s="1"/>
  <c r="S43" i="49"/>
  <c r="R43" i="49"/>
  <c r="Q43" i="49"/>
  <c r="P43" i="49"/>
  <c r="L43" i="49"/>
  <c r="V5" i="49"/>
  <c r="N5" i="49"/>
  <c r="O5" i="49" s="1"/>
  <c r="U5" i="49"/>
  <c r="T5" i="49"/>
  <c r="W5" i="49" s="1"/>
  <c r="S5" i="49"/>
  <c r="R5" i="49"/>
  <c r="Q5" i="49"/>
  <c r="P5" i="49"/>
  <c r="L5" i="49"/>
  <c r="V4" i="49"/>
  <c r="N4" i="49"/>
  <c r="O4" i="49" s="1"/>
  <c r="U4" i="49"/>
  <c r="R4" i="49"/>
  <c r="Q4" i="49"/>
  <c r="P4" i="49"/>
  <c r="T4" i="49"/>
  <c r="W4" i="49" s="1"/>
  <c r="S4" i="49"/>
  <c r="L4" i="49"/>
  <c r="V3" i="49"/>
  <c r="N3" i="49"/>
  <c r="O3" i="49" s="1"/>
  <c r="R3" i="49"/>
  <c r="P3" i="49"/>
  <c r="U3" i="49"/>
  <c r="T3" i="49"/>
  <c r="W3" i="49" s="1"/>
  <c r="S3" i="49"/>
  <c r="Q3" i="49"/>
  <c r="L3" i="49"/>
  <c r="V6" i="49"/>
  <c r="N6" i="49"/>
  <c r="O6" i="49" s="1"/>
  <c r="U6" i="49"/>
  <c r="T6" i="49"/>
  <c r="W6" i="49" s="1"/>
  <c r="R6" i="49"/>
  <c r="Q6" i="49"/>
  <c r="P6" i="49"/>
  <c r="S6" i="49"/>
  <c r="L6" i="49"/>
  <c r="F7" i="49"/>
  <c r="L7" i="49" s="1"/>
  <c r="V8" i="49"/>
  <c r="N8" i="49"/>
  <c r="O8" i="49" s="1"/>
  <c r="P8" i="49"/>
  <c r="U8" i="49"/>
  <c r="T8" i="49"/>
  <c r="W8" i="49" s="1"/>
  <c r="S8" i="49"/>
  <c r="R8" i="49"/>
  <c r="Q8" i="49"/>
  <c r="L8" i="49"/>
  <c r="V34" i="49"/>
  <c r="N34" i="49"/>
  <c r="O34" i="49" s="1"/>
  <c r="U34" i="49"/>
  <c r="Q34" i="49"/>
  <c r="P34" i="49"/>
  <c r="T34" i="49"/>
  <c r="W34" i="49" s="1"/>
  <c r="S34" i="49"/>
  <c r="R34" i="49"/>
  <c r="V31" i="49"/>
  <c r="N31" i="49"/>
  <c r="O31" i="49" s="1"/>
  <c r="U31" i="49"/>
  <c r="T31" i="49"/>
  <c r="W31" i="49" s="1"/>
  <c r="S31" i="49"/>
  <c r="R31" i="49"/>
  <c r="Q31" i="49"/>
  <c r="P31" i="49"/>
  <c r="L31" i="49"/>
  <c r="V28" i="49"/>
  <c r="N28" i="49"/>
  <c r="O28" i="49" s="1"/>
  <c r="Q28" i="49"/>
  <c r="U28" i="49"/>
  <c r="T28" i="49"/>
  <c r="W28" i="49" s="1"/>
  <c r="S28" i="49"/>
  <c r="R28" i="49"/>
  <c r="P28" i="49"/>
  <c r="L28" i="49"/>
  <c r="V25" i="49"/>
  <c r="N25" i="49"/>
  <c r="O25" i="49" s="1"/>
  <c r="U25" i="49"/>
  <c r="T25" i="49"/>
  <c r="W25" i="49" s="1"/>
  <c r="R25" i="49"/>
  <c r="Q25" i="49"/>
  <c r="P25" i="49"/>
  <c r="S25" i="49"/>
  <c r="V22" i="49"/>
  <c r="N22" i="49"/>
  <c r="O22" i="49" s="1"/>
  <c r="U22" i="49"/>
  <c r="Q22" i="49"/>
  <c r="T22" i="49"/>
  <c r="W22" i="49" s="1"/>
  <c r="S22" i="49"/>
  <c r="R22" i="49"/>
  <c r="P22" i="49"/>
  <c r="L22" i="49"/>
  <c r="M19" i="49"/>
  <c r="V15" i="49"/>
  <c r="N15" i="49"/>
  <c r="O15" i="49" s="1"/>
  <c r="U15" i="49"/>
  <c r="P15" i="49"/>
  <c r="T15" i="49"/>
  <c r="W15" i="49" s="1"/>
  <c r="S15" i="49"/>
  <c r="R15" i="49"/>
  <c r="Q15" i="49"/>
  <c r="L15" i="49"/>
  <c r="V12" i="49"/>
  <c r="N12" i="49"/>
  <c r="O12" i="49" s="1"/>
  <c r="U12" i="49"/>
  <c r="T12" i="49"/>
  <c r="W12" i="49" s="1"/>
  <c r="S12" i="49"/>
  <c r="R12" i="49"/>
  <c r="Q12" i="49"/>
  <c r="P12" i="49"/>
  <c r="L12" i="49"/>
  <c r="F9" i="49"/>
  <c r="M9" i="49" s="1"/>
  <c r="V115" i="49"/>
  <c r="N115" i="49"/>
  <c r="O115" i="49" s="1"/>
  <c r="R115" i="49"/>
  <c r="U115" i="49"/>
  <c r="T115" i="49"/>
  <c r="W115" i="49" s="1"/>
  <c r="S115" i="49"/>
  <c r="Q115" i="49"/>
  <c r="P115" i="49"/>
  <c r="L115" i="49"/>
  <c r="M106" i="49"/>
  <c r="F102" i="49"/>
  <c r="M102" i="49" s="1"/>
  <c r="V96" i="49"/>
  <c r="N96" i="49"/>
  <c r="O96" i="49" s="1"/>
  <c r="R96" i="49"/>
  <c r="Q96" i="49"/>
  <c r="P96" i="49"/>
  <c r="U96" i="49"/>
  <c r="T96" i="49"/>
  <c r="W96" i="49" s="1"/>
  <c r="S96" i="49"/>
  <c r="L96" i="49"/>
  <c r="V89" i="49"/>
  <c r="N89" i="49"/>
  <c r="O89" i="49" s="1"/>
  <c r="Q89" i="49"/>
  <c r="P89" i="49"/>
  <c r="U89" i="49"/>
  <c r="T89" i="49"/>
  <c r="W89" i="49" s="1"/>
  <c r="S89" i="49"/>
  <c r="R89" i="49"/>
  <c r="L89" i="49"/>
  <c r="F83" i="49"/>
  <c r="M83" i="49" s="1"/>
  <c r="F77" i="49"/>
  <c r="M77" i="49" s="1"/>
  <c r="V71" i="49"/>
  <c r="M65" i="49"/>
  <c r="V60" i="49"/>
  <c r="N60" i="49"/>
  <c r="O60" i="49" s="1"/>
  <c r="U60" i="49"/>
  <c r="T60" i="49"/>
  <c r="W60" i="49" s="1"/>
  <c r="S60" i="49"/>
  <c r="R60" i="49"/>
  <c r="Q60" i="49"/>
  <c r="P60" i="49"/>
  <c r="L60" i="49"/>
  <c r="V55" i="49"/>
  <c r="N55" i="49"/>
  <c r="O55" i="49" s="1"/>
  <c r="P55" i="49"/>
  <c r="U55" i="49"/>
  <c r="T55" i="49"/>
  <c r="W55" i="49" s="1"/>
  <c r="R55" i="49"/>
  <c r="Q55" i="49"/>
  <c r="S55" i="49"/>
  <c r="L55" i="49"/>
  <c r="F51" i="49"/>
  <c r="M51" i="49" s="1"/>
  <c r="V47" i="49"/>
  <c r="N47" i="49"/>
  <c r="O47" i="49" s="1"/>
  <c r="U47" i="49"/>
  <c r="T47" i="49"/>
  <c r="W47" i="49" s="1"/>
  <c r="S47" i="49"/>
  <c r="R47" i="49"/>
  <c r="Q47" i="49"/>
  <c r="P47" i="49"/>
  <c r="L47" i="49"/>
  <c r="M44" i="49"/>
  <c r="V40" i="49"/>
  <c r="N40" i="49"/>
  <c r="O40" i="49" s="1"/>
  <c r="U40" i="49"/>
  <c r="T40" i="49"/>
  <c r="W40" i="49" s="1"/>
  <c r="S40" i="49"/>
  <c r="R40" i="49"/>
  <c r="Q40" i="49"/>
  <c r="P40" i="49"/>
  <c r="L40" i="49"/>
  <c r="V37" i="49"/>
  <c r="N37" i="49"/>
  <c r="O37" i="49" s="1"/>
  <c r="U37" i="49"/>
  <c r="T37" i="49"/>
  <c r="W37" i="49" s="1"/>
  <c r="S37" i="49"/>
  <c r="R37" i="49"/>
  <c r="Q37" i="49"/>
  <c r="P37" i="49"/>
  <c r="L37" i="49"/>
  <c r="V116" i="49"/>
  <c r="N116" i="49"/>
  <c r="O116" i="49" s="1"/>
  <c r="U116" i="49"/>
  <c r="T116" i="49"/>
  <c r="W116" i="49" s="1"/>
  <c r="S116" i="49"/>
  <c r="R116" i="49"/>
  <c r="Q116" i="49"/>
  <c r="P116" i="49"/>
  <c r="L116" i="49"/>
  <c r="M107" i="49"/>
  <c r="V103" i="49"/>
  <c r="N103" i="49"/>
  <c r="O103" i="49" s="1"/>
  <c r="R103" i="49"/>
  <c r="Q103" i="49"/>
  <c r="U103" i="49"/>
  <c r="T103" i="49"/>
  <c r="W103" i="49" s="1"/>
  <c r="P103" i="49"/>
  <c r="S103" i="49"/>
  <c r="L103" i="49"/>
  <c r="F97" i="49"/>
  <c r="M97" i="49" s="1"/>
  <c r="V90" i="49"/>
  <c r="N90" i="49"/>
  <c r="O90" i="49" s="1"/>
  <c r="U90" i="49"/>
  <c r="Q90" i="49"/>
  <c r="T90" i="49"/>
  <c r="W90" i="49" s="1"/>
  <c r="R90" i="49"/>
  <c r="P90" i="49"/>
  <c r="S90" i="49"/>
  <c r="L90" i="49"/>
  <c r="M16" i="49"/>
  <c r="L16" i="49"/>
  <c r="F10" i="49"/>
  <c r="L10" i="49" s="1"/>
  <c r="F13" i="49"/>
  <c r="L13" i="49" s="1"/>
  <c r="F20" i="49"/>
  <c r="M20" i="49" s="1"/>
  <c r="F23" i="49"/>
  <c r="M23" i="49" s="1"/>
  <c r="F26" i="49"/>
  <c r="M26" i="49" s="1"/>
  <c r="F29" i="49"/>
  <c r="M29" i="49" s="1"/>
  <c r="F32" i="49"/>
  <c r="M32" i="49" s="1"/>
  <c r="F35" i="49"/>
  <c r="M35" i="49" s="1"/>
  <c r="F38" i="49"/>
  <c r="M38" i="49" s="1"/>
  <c r="F41" i="49"/>
  <c r="L41" i="49" s="1"/>
  <c r="F48" i="49"/>
  <c r="M48" i="49" s="1"/>
  <c r="F52" i="49"/>
  <c r="M52" i="49" s="1"/>
  <c r="F56" i="49"/>
  <c r="M56" i="49" s="1"/>
  <c r="F61" i="49"/>
  <c r="M61" i="49" s="1"/>
  <c r="F66" i="49"/>
  <c r="M66" i="49" s="1"/>
  <c r="F72" i="49"/>
  <c r="L72" i="49" s="1"/>
  <c r="F78" i="49"/>
  <c r="M78" i="49" s="1"/>
  <c r="F84" i="49"/>
  <c r="M84" i="49" s="1"/>
  <c r="M45" i="49"/>
  <c r="AC35" i="49" l="1"/>
  <c r="AB35" i="49"/>
  <c r="Z35" i="49"/>
  <c r="Y35" i="49"/>
  <c r="AA35" i="49"/>
  <c r="AC66" i="49"/>
  <c r="AB66" i="49"/>
  <c r="AA66" i="49"/>
  <c r="Z66" i="49"/>
  <c r="Y66" i="49"/>
  <c r="AC32" i="49"/>
  <c r="AB32" i="49"/>
  <c r="AA32" i="49"/>
  <c r="Z32" i="49"/>
  <c r="Y32" i="49"/>
  <c r="AC16" i="49"/>
  <c r="AB16" i="49"/>
  <c r="AA16" i="49"/>
  <c r="Y16" i="49"/>
  <c r="Z16" i="49"/>
  <c r="AC44" i="49"/>
  <c r="AB44" i="49"/>
  <c r="AA44" i="49"/>
  <c r="Z44" i="49"/>
  <c r="Y44" i="49"/>
  <c r="AC77" i="49"/>
  <c r="AB77" i="49"/>
  <c r="AA77" i="49"/>
  <c r="Z77" i="49"/>
  <c r="Y77" i="49"/>
  <c r="AC9" i="49"/>
  <c r="AB9" i="49"/>
  <c r="AA9" i="49"/>
  <c r="Z9" i="49"/>
  <c r="Y9" i="49"/>
  <c r="AC29" i="49"/>
  <c r="AB29" i="49"/>
  <c r="AA29" i="49"/>
  <c r="Z29" i="49"/>
  <c r="Y29" i="49"/>
  <c r="AC56" i="49"/>
  <c r="AB56" i="49"/>
  <c r="AA56" i="49"/>
  <c r="Z56" i="49"/>
  <c r="Y56" i="49"/>
  <c r="AC26" i="49"/>
  <c r="AB26" i="49"/>
  <c r="AA26" i="49"/>
  <c r="Z26" i="49"/>
  <c r="Y26" i="49"/>
  <c r="AC97" i="49"/>
  <c r="AB97" i="49"/>
  <c r="AA97" i="49"/>
  <c r="Z97" i="49"/>
  <c r="Y97" i="49"/>
  <c r="AC51" i="49"/>
  <c r="AB51" i="49"/>
  <c r="Z51" i="49"/>
  <c r="Y51" i="49"/>
  <c r="AA51" i="49"/>
  <c r="AC19" i="49"/>
  <c r="AB19" i="49"/>
  <c r="Z19" i="49"/>
  <c r="Y19" i="49"/>
  <c r="AA19" i="49"/>
  <c r="AC52" i="49"/>
  <c r="AB52" i="49"/>
  <c r="AA52" i="49"/>
  <c r="Z52" i="49"/>
  <c r="Y52" i="49"/>
  <c r="AC23" i="49"/>
  <c r="AB23" i="49"/>
  <c r="AA23" i="49"/>
  <c r="Z23" i="49"/>
  <c r="Y23" i="49"/>
  <c r="AC61" i="49"/>
  <c r="AB61" i="49"/>
  <c r="AA61" i="49"/>
  <c r="Z61" i="49"/>
  <c r="Y61" i="49"/>
  <c r="AC83" i="49"/>
  <c r="AB83" i="49"/>
  <c r="Z83" i="49"/>
  <c r="Y83" i="49"/>
  <c r="AA83" i="49"/>
  <c r="T83" i="49"/>
  <c r="W83" i="49" s="1"/>
  <c r="AC48" i="49"/>
  <c r="AB48" i="49"/>
  <c r="AA48" i="49"/>
  <c r="Z48" i="49"/>
  <c r="Y48" i="49"/>
  <c r="AC20" i="49"/>
  <c r="AB20" i="49"/>
  <c r="AA20" i="49"/>
  <c r="Z20" i="49"/>
  <c r="Y20" i="49"/>
  <c r="AC107" i="49"/>
  <c r="AB107" i="49"/>
  <c r="AA107" i="49"/>
  <c r="Z107" i="49"/>
  <c r="Y107" i="49"/>
  <c r="AC102" i="49"/>
  <c r="AB102" i="49"/>
  <c r="AA102" i="49"/>
  <c r="Z102" i="49"/>
  <c r="Y102" i="49"/>
  <c r="U88" i="49"/>
  <c r="AC88" i="49"/>
  <c r="AB88" i="49"/>
  <c r="AA88" i="49"/>
  <c r="Z88" i="49"/>
  <c r="Y88" i="49"/>
  <c r="AC84" i="49"/>
  <c r="AB84" i="49"/>
  <c r="AA84" i="49"/>
  <c r="Z84" i="49"/>
  <c r="Y84" i="49"/>
  <c r="AC65" i="49"/>
  <c r="AB65" i="49"/>
  <c r="AA65" i="49"/>
  <c r="Z65" i="49"/>
  <c r="Y65" i="49"/>
  <c r="AC106" i="49"/>
  <c r="AB106" i="49"/>
  <c r="AA106" i="49"/>
  <c r="Z106" i="49"/>
  <c r="Y106" i="49"/>
  <c r="T71" i="49"/>
  <c r="W71" i="49" s="1"/>
  <c r="AC71" i="49"/>
  <c r="AB71" i="49"/>
  <c r="AA71" i="49"/>
  <c r="Z71" i="49"/>
  <c r="Y71" i="49"/>
  <c r="AC45" i="49"/>
  <c r="AB45" i="49"/>
  <c r="AA45" i="49"/>
  <c r="Z45" i="49"/>
  <c r="Y45" i="49"/>
  <c r="AC78" i="49"/>
  <c r="AB78" i="49"/>
  <c r="Y78" i="49"/>
  <c r="AA78" i="49"/>
  <c r="Z78" i="49"/>
  <c r="AC38" i="49"/>
  <c r="AB38" i="49"/>
  <c r="Y38" i="49"/>
  <c r="AA38" i="49"/>
  <c r="Z38" i="49"/>
  <c r="U71" i="49"/>
  <c r="N88" i="49"/>
  <c r="O88" i="49" s="1"/>
  <c r="Q71" i="49"/>
  <c r="N71" i="49"/>
  <c r="O71" i="49" s="1"/>
  <c r="R71" i="49"/>
  <c r="V88" i="49"/>
  <c r="P71" i="49"/>
  <c r="S71" i="49"/>
  <c r="P88" i="49"/>
  <c r="S88" i="49"/>
  <c r="Q88" i="49"/>
  <c r="T88" i="49"/>
  <c r="W88" i="49" s="1"/>
  <c r="R88" i="49"/>
  <c r="M7" i="49"/>
  <c r="V19" i="49"/>
  <c r="N19" i="49"/>
  <c r="O19" i="49" s="1"/>
  <c r="U19" i="49"/>
  <c r="T19" i="49"/>
  <c r="W19" i="49" s="1"/>
  <c r="S19" i="49"/>
  <c r="R19" i="49"/>
  <c r="Q19" i="49"/>
  <c r="P19" i="49"/>
  <c r="V9" i="49"/>
  <c r="N9" i="49"/>
  <c r="O9" i="49" s="1"/>
  <c r="U9" i="49"/>
  <c r="T9" i="49"/>
  <c r="W9" i="49" s="1"/>
  <c r="S9" i="49"/>
  <c r="R9" i="49"/>
  <c r="Q9" i="49"/>
  <c r="P9" i="49"/>
  <c r="L9" i="49"/>
  <c r="V106" i="49"/>
  <c r="N106" i="49"/>
  <c r="O106" i="49" s="1"/>
  <c r="R106" i="49"/>
  <c r="Q106" i="49"/>
  <c r="P106" i="49"/>
  <c r="U106" i="49"/>
  <c r="T106" i="49"/>
  <c r="W106" i="49" s="1"/>
  <c r="S106" i="49"/>
  <c r="V102" i="49"/>
  <c r="N102" i="49"/>
  <c r="O102" i="49" s="1"/>
  <c r="U102" i="49"/>
  <c r="T102" i="49"/>
  <c r="W102" i="49" s="1"/>
  <c r="S102" i="49"/>
  <c r="R102" i="49"/>
  <c r="Q102" i="49"/>
  <c r="P102" i="49"/>
  <c r="L102" i="49"/>
  <c r="V83" i="49"/>
  <c r="N83" i="49"/>
  <c r="O83" i="49" s="1"/>
  <c r="U83" i="49"/>
  <c r="S83" i="49"/>
  <c r="R83" i="49"/>
  <c r="Q83" i="49"/>
  <c r="P83" i="49"/>
  <c r="L83" i="49"/>
  <c r="V77" i="49"/>
  <c r="N77" i="49"/>
  <c r="O77" i="49" s="1"/>
  <c r="U77" i="49"/>
  <c r="T77" i="49"/>
  <c r="W77" i="49" s="1"/>
  <c r="S77" i="49"/>
  <c r="R77" i="49"/>
  <c r="Q77" i="49"/>
  <c r="P77" i="49"/>
  <c r="L77" i="49"/>
  <c r="V65" i="49"/>
  <c r="N65" i="49"/>
  <c r="O65" i="49" s="1"/>
  <c r="U65" i="49"/>
  <c r="T65" i="49"/>
  <c r="W65" i="49" s="1"/>
  <c r="S65" i="49"/>
  <c r="R65" i="49"/>
  <c r="Q65" i="49"/>
  <c r="P65" i="49"/>
  <c r="V51" i="49"/>
  <c r="N51" i="49"/>
  <c r="O51" i="49" s="1"/>
  <c r="U51" i="49"/>
  <c r="T51" i="49"/>
  <c r="W51" i="49" s="1"/>
  <c r="S51" i="49"/>
  <c r="R51" i="49"/>
  <c r="Q51" i="49"/>
  <c r="P51" i="49"/>
  <c r="L51" i="49"/>
  <c r="V44" i="49"/>
  <c r="N44" i="49"/>
  <c r="O44" i="49" s="1"/>
  <c r="U44" i="49"/>
  <c r="T44" i="49"/>
  <c r="W44" i="49" s="1"/>
  <c r="S44" i="49"/>
  <c r="R44" i="49"/>
  <c r="Q44" i="49"/>
  <c r="P44" i="49"/>
  <c r="M13" i="49"/>
  <c r="V107" i="49"/>
  <c r="N107" i="49"/>
  <c r="O107" i="49" s="1"/>
  <c r="U107" i="49"/>
  <c r="T107" i="49"/>
  <c r="W107" i="49" s="1"/>
  <c r="S107" i="49"/>
  <c r="R107" i="49"/>
  <c r="Q107" i="49"/>
  <c r="P107" i="49"/>
  <c r="V97" i="49"/>
  <c r="N97" i="49"/>
  <c r="O97" i="49" s="1"/>
  <c r="U97" i="49"/>
  <c r="T97" i="49"/>
  <c r="W97" i="49" s="1"/>
  <c r="S97" i="49"/>
  <c r="R97" i="49"/>
  <c r="Q97" i="49"/>
  <c r="P97" i="49"/>
  <c r="L97" i="49"/>
  <c r="V16" i="49"/>
  <c r="N16" i="49"/>
  <c r="O16" i="49" s="1"/>
  <c r="T16" i="49"/>
  <c r="W16" i="49" s="1"/>
  <c r="S16" i="49"/>
  <c r="R16" i="49"/>
  <c r="Q16" i="49"/>
  <c r="P16" i="49"/>
  <c r="U16" i="49"/>
  <c r="M10" i="49"/>
  <c r="V20" i="49"/>
  <c r="N20" i="49"/>
  <c r="O20" i="49" s="1"/>
  <c r="U20" i="49"/>
  <c r="S20" i="49"/>
  <c r="T20" i="49"/>
  <c r="W20" i="49" s="1"/>
  <c r="Q20" i="49"/>
  <c r="P20" i="49"/>
  <c r="L20" i="49"/>
  <c r="V23" i="49"/>
  <c r="N23" i="49"/>
  <c r="O23" i="49" s="1"/>
  <c r="U23" i="49"/>
  <c r="S23" i="49"/>
  <c r="T23" i="49"/>
  <c r="W23" i="49" s="1"/>
  <c r="R23" i="49"/>
  <c r="Q23" i="49"/>
  <c r="P23" i="49"/>
  <c r="L23" i="49"/>
  <c r="V26" i="49"/>
  <c r="N26" i="49"/>
  <c r="O26" i="49" s="1"/>
  <c r="U26" i="49"/>
  <c r="T26" i="49"/>
  <c r="W26" i="49" s="1"/>
  <c r="S26" i="49"/>
  <c r="R26" i="49"/>
  <c r="Q26" i="49"/>
  <c r="P26" i="49"/>
  <c r="L26" i="49"/>
  <c r="V29" i="49"/>
  <c r="N29" i="49"/>
  <c r="O29" i="49" s="1"/>
  <c r="U29" i="49"/>
  <c r="S29" i="49"/>
  <c r="T29" i="49"/>
  <c r="W29" i="49" s="1"/>
  <c r="R29" i="49"/>
  <c r="Q29" i="49"/>
  <c r="P29" i="49"/>
  <c r="L29" i="49"/>
  <c r="V32" i="49"/>
  <c r="N32" i="49"/>
  <c r="O32" i="49" s="1"/>
  <c r="U32" i="49"/>
  <c r="T32" i="49"/>
  <c r="W32" i="49" s="1"/>
  <c r="S32" i="49"/>
  <c r="R32" i="49"/>
  <c r="Q32" i="49"/>
  <c r="P32" i="49"/>
  <c r="L32" i="49"/>
  <c r="V35" i="49"/>
  <c r="N35" i="49"/>
  <c r="O35" i="49" s="1"/>
  <c r="U35" i="49"/>
  <c r="T35" i="49"/>
  <c r="W35" i="49" s="1"/>
  <c r="S35" i="49"/>
  <c r="R35" i="49"/>
  <c r="Q35" i="49"/>
  <c r="P35" i="49"/>
  <c r="L35" i="49"/>
  <c r="M72" i="49"/>
  <c r="V72" i="49" s="1"/>
  <c r="V38" i="49"/>
  <c r="N38" i="49"/>
  <c r="O38" i="49" s="1"/>
  <c r="U38" i="49"/>
  <c r="T38" i="49"/>
  <c r="W38" i="49" s="1"/>
  <c r="S38" i="49"/>
  <c r="R38" i="49"/>
  <c r="Q38" i="49"/>
  <c r="P38" i="49"/>
  <c r="L38" i="49"/>
  <c r="M41" i="49"/>
  <c r="V48" i="49"/>
  <c r="N48" i="49"/>
  <c r="O48" i="49" s="1"/>
  <c r="U48" i="49"/>
  <c r="T48" i="49"/>
  <c r="W48" i="49" s="1"/>
  <c r="S48" i="49"/>
  <c r="R48" i="49"/>
  <c r="Q48" i="49"/>
  <c r="P48" i="49"/>
  <c r="L48" i="49"/>
  <c r="V52" i="49"/>
  <c r="N52" i="49"/>
  <c r="O52" i="49" s="1"/>
  <c r="U52" i="49"/>
  <c r="T52" i="49"/>
  <c r="W52" i="49" s="1"/>
  <c r="S52" i="49"/>
  <c r="R52" i="49"/>
  <c r="Q52" i="49"/>
  <c r="P52" i="49"/>
  <c r="L52" i="49"/>
  <c r="V56" i="49"/>
  <c r="N56" i="49"/>
  <c r="O56" i="49" s="1"/>
  <c r="U56" i="49"/>
  <c r="T56" i="49"/>
  <c r="W56" i="49" s="1"/>
  <c r="S56" i="49"/>
  <c r="R56" i="49"/>
  <c r="Q56" i="49"/>
  <c r="P56" i="49"/>
  <c r="L56" i="49"/>
  <c r="V61" i="49"/>
  <c r="N61" i="49"/>
  <c r="O61" i="49" s="1"/>
  <c r="U61" i="49"/>
  <c r="T61" i="49"/>
  <c r="W61" i="49" s="1"/>
  <c r="S61" i="49"/>
  <c r="R61" i="49"/>
  <c r="Q61" i="49"/>
  <c r="P61" i="49"/>
  <c r="L61" i="49"/>
  <c r="V66" i="49"/>
  <c r="N66" i="49"/>
  <c r="O66" i="49" s="1"/>
  <c r="U66" i="49"/>
  <c r="T66" i="49"/>
  <c r="W66" i="49" s="1"/>
  <c r="S66" i="49"/>
  <c r="R66" i="49"/>
  <c r="Q66" i="49"/>
  <c r="P66" i="49"/>
  <c r="L66" i="49"/>
  <c r="V78" i="49"/>
  <c r="N78" i="49"/>
  <c r="O78" i="49" s="1"/>
  <c r="U78" i="49"/>
  <c r="T78" i="49"/>
  <c r="W78" i="49" s="1"/>
  <c r="S78" i="49"/>
  <c r="R78" i="49"/>
  <c r="Q78" i="49"/>
  <c r="P78" i="49"/>
  <c r="L78" i="49"/>
  <c r="V84" i="49"/>
  <c r="N84" i="49"/>
  <c r="O84" i="49" s="1"/>
  <c r="U84" i="49"/>
  <c r="T84" i="49"/>
  <c r="W84" i="49" s="1"/>
  <c r="S84" i="49"/>
  <c r="R84" i="49"/>
  <c r="Q84" i="49"/>
  <c r="P84" i="49"/>
  <c r="L84" i="49"/>
  <c r="V45" i="49"/>
  <c r="T45" i="49"/>
  <c r="W45" i="49" s="1"/>
  <c r="S45" i="49"/>
  <c r="R45" i="49"/>
  <c r="Q45" i="49"/>
  <c r="P45" i="49"/>
  <c r="U45" i="49"/>
  <c r="N45" i="49"/>
  <c r="O45" i="49" s="1"/>
  <c r="N13" i="49" l="1"/>
  <c r="O13" i="49" s="1"/>
  <c r="AC13" i="49"/>
  <c r="AB13" i="49"/>
  <c r="Z13" i="49"/>
  <c r="Y13" i="49"/>
  <c r="AA13" i="49"/>
  <c r="AC41" i="49"/>
  <c r="AB41" i="49"/>
  <c r="Y41" i="49"/>
  <c r="AA41" i="49"/>
  <c r="Z41" i="49"/>
  <c r="AC7" i="49"/>
  <c r="AB7" i="49"/>
  <c r="AA7" i="49"/>
  <c r="Z7" i="49"/>
  <c r="Y7" i="49"/>
  <c r="N72" i="49"/>
  <c r="O72" i="49" s="1"/>
  <c r="AC72" i="49"/>
  <c r="AB72" i="49"/>
  <c r="AA72" i="49"/>
  <c r="Z72" i="49"/>
  <c r="Y72" i="49"/>
  <c r="AC10" i="49"/>
  <c r="AB10" i="49"/>
  <c r="AA10" i="49"/>
  <c r="Z10" i="49"/>
  <c r="Y10" i="49"/>
  <c r="T72" i="49"/>
  <c r="W72" i="49" s="1"/>
  <c r="S13" i="49"/>
  <c r="T13" i="49"/>
  <c r="W13" i="49" s="1"/>
  <c r="U13" i="49"/>
  <c r="Q13" i="49"/>
  <c r="Q72" i="49"/>
  <c r="R13" i="49"/>
  <c r="R72" i="49"/>
  <c r="V13" i="49"/>
  <c r="P13" i="49"/>
  <c r="P72" i="49"/>
  <c r="S72" i="49"/>
  <c r="V7" i="49"/>
  <c r="N7" i="49"/>
  <c r="O7" i="49" s="1"/>
  <c r="T7" i="49"/>
  <c r="W7" i="49" s="1"/>
  <c r="S7" i="49"/>
  <c r="R7" i="49"/>
  <c r="Q7" i="49"/>
  <c r="P7" i="49"/>
  <c r="U7" i="49"/>
  <c r="U72" i="49"/>
  <c r="V10" i="49"/>
  <c r="N10" i="49"/>
  <c r="O10" i="49" s="1"/>
  <c r="U10" i="49"/>
  <c r="T10" i="49"/>
  <c r="W10" i="49" s="1"/>
  <c r="S10" i="49"/>
  <c r="R10" i="49"/>
  <c r="Q10" i="49"/>
  <c r="P10" i="49"/>
  <c r="V41" i="49"/>
  <c r="N41" i="49"/>
  <c r="O41" i="49" s="1"/>
  <c r="U41" i="49"/>
  <c r="T41" i="49"/>
  <c r="W41" i="49" s="1"/>
  <c r="R41" i="49"/>
  <c r="Q41" i="49"/>
  <c r="P41" i="49"/>
  <c r="S41" i="49"/>
  <c r="H117" i="49" l="1"/>
  <c r="B117" i="49"/>
  <c r="C117" i="49" s="1"/>
  <c r="E117" i="49" s="1"/>
  <c r="H108" i="49"/>
  <c r="B108" i="49"/>
  <c r="C108" i="49" s="1"/>
  <c r="E108" i="49" s="1"/>
  <c r="H104" i="49"/>
  <c r="B104" i="49"/>
  <c r="D104" i="49" s="1"/>
  <c r="H98" i="49"/>
  <c r="B98" i="49"/>
  <c r="D98" i="49" s="1"/>
  <c r="H91" i="49"/>
  <c r="B91" i="49"/>
  <c r="D91" i="49" s="1"/>
  <c r="H85" i="49"/>
  <c r="B85" i="49"/>
  <c r="H79" i="49"/>
  <c r="B79" i="49"/>
  <c r="D79" i="49" s="1"/>
  <c r="H73" i="49"/>
  <c r="B73" i="49"/>
  <c r="C73" i="49" s="1"/>
  <c r="E73" i="49" s="1"/>
  <c r="H67" i="49"/>
  <c r="B67" i="49"/>
  <c r="C67" i="49" s="1"/>
  <c r="E67" i="49" s="1"/>
  <c r="H62" i="49"/>
  <c r="B62" i="49"/>
  <c r="D62" i="49" s="1"/>
  <c r="H57" i="49"/>
  <c r="B57" i="49"/>
  <c r="C57" i="49" s="1"/>
  <c r="E57" i="49" s="1"/>
  <c r="H53" i="49"/>
  <c r="B53" i="49"/>
  <c r="D53" i="49" s="1"/>
  <c r="H49" i="49"/>
  <c r="B49" i="49"/>
  <c r="H46" i="49"/>
  <c r="B46" i="49"/>
  <c r="D46" i="49" s="1"/>
  <c r="H42" i="49"/>
  <c r="B42" i="49"/>
  <c r="D42" i="49" s="1"/>
  <c r="H39" i="49"/>
  <c r="B39" i="49"/>
  <c r="C39" i="49" s="1"/>
  <c r="E39" i="49" s="1"/>
  <c r="H36" i="49"/>
  <c r="B36" i="49"/>
  <c r="C36" i="49" s="1"/>
  <c r="E36" i="49" s="1"/>
  <c r="H33" i="49"/>
  <c r="B33" i="49"/>
  <c r="C33" i="49" s="1"/>
  <c r="E33" i="49" s="1"/>
  <c r="H30" i="49"/>
  <c r="B30" i="49"/>
  <c r="D30" i="49" s="1"/>
  <c r="H27" i="49"/>
  <c r="B27" i="49"/>
  <c r="D27" i="49" s="1"/>
  <c r="H24" i="49"/>
  <c r="B24" i="49"/>
  <c r="H21" i="49"/>
  <c r="B21" i="49"/>
  <c r="D21" i="49" s="1"/>
  <c r="H17" i="49"/>
  <c r="B17" i="49"/>
  <c r="C17" i="49" s="1"/>
  <c r="E17" i="49" s="1"/>
  <c r="H14" i="49"/>
  <c r="B14" i="49"/>
  <c r="C14" i="49" s="1"/>
  <c r="E14" i="49" s="1"/>
  <c r="H11" i="49"/>
  <c r="B11" i="49"/>
  <c r="C11" i="49" s="1"/>
  <c r="E11" i="49" s="1"/>
  <c r="C62" i="49" l="1"/>
  <c r="E62" i="49" s="1"/>
  <c r="D108" i="49"/>
  <c r="F108" i="49" s="1"/>
  <c r="C30" i="49"/>
  <c r="E30" i="49" s="1"/>
  <c r="F30" i="49" s="1"/>
  <c r="M30" i="49" s="1"/>
  <c r="D39" i="49"/>
  <c r="F39" i="49" s="1"/>
  <c r="L39" i="49" s="1"/>
  <c r="D17" i="49"/>
  <c r="F17" i="49" s="1"/>
  <c r="M17" i="49" s="1"/>
  <c r="D33" i="49"/>
  <c r="F33" i="49" s="1"/>
  <c r="L33" i="49" s="1"/>
  <c r="D73" i="49"/>
  <c r="F73" i="49" s="1"/>
  <c r="L73" i="49" s="1"/>
  <c r="C104" i="49"/>
  <c r="E104" i="49" s="1"/>
  <c r="F104" i="49" s="1"/>
  <c r="D14" i="49"/>
  <c r="F14" i="49" s="1"/>
  <c r="L14" i="49" s="1"/>
  <c r="C46" i="49"/>
  <c r="E46" i="49" s="1"/>
  <c r="F46" i="49" s="1"/>
  <c r="M46" i="49" s="1"/>
  <c r="D57" i="49"/>
  <c r="F57" i="49" s="1"/>
  <c r="M57" i="49" s="1"/>
  <c r="D117" i="49"/>
  <c r="F117" i="49" s="1"/>
  <c r="L117" i="49" s="1"/>
  <c r="D36" i="49"/>
  <c r="F36" i="49" s="1"/>
  <c r="M36" i="49" s="1"/>
  <c r="F62" i="49"/>
  <c r="M62" i="49" s="1"/>
  <c r="D11" i="49"/>
  <c r="F11" i="49" s="1"/>
  <c r="C85" i="49"/>
  <c r="E85" i="49" s="1"/>
  <c r="D85" i="49"/>
  <c r="C79" i="49"/>
  <c r="E79" i="49" s="1"/>
  <c r="D49" i="49"/>
  <c r="C49" i="49"/>
  <c r="E49" i="49" s="1"/>
  <c r="D67" i="49"/>
  <c r="F67" i="49" s="1"/>
  <c r="C42" i="49"/>
  <c r="E42" i="49" s="1"/>
  <c r="C21" i="49"/>
  <c r="E21" i="49" s="1"/>
  <c r="C24" i="49"/>
  <c r="E24" i="49" s="1"/>
  <c r="D24" i="49"/>
  <c r="C91" i="49"/>
  <c r="E91" i="49" s="1"/>
  <c r="C27" i="49"/>
  <c r="E27" i="49" s="1"/>
  <c r="C53" i="49"/>
  <c r="E53" i="49" s="1"/>
  <c r="C98" i="49"/>
  <c r="E98" i="49" s="1"/>
  <c r="AC62" i="49" l="1"/>
  <c r="AB62" i="49"/>
  <c r="Y62" i="49"/>
  <c r="AA62" i="49"/>
  <c r="Z62" i="49"/>
  <c r="AC36" i="49"/>
  <c r="AB36" i="49"/>
  <c r="AA36" i="49"/>
  <c r="Z36" i="49"/>
  <c r="Y36" i="49"/>
  <c r="AC17" i="49"/>
  <c r="AB17" i="49"/>
  <c r="AA17" i="49"/>
  <c r="Z17" i="49"/>
  <c r="Y17" i="49"/>
  <c r="AC57" i="49"/>
  <c r="AB57" i="49"/>
  <c r="AA57" i="49"/>
  <c r="Z57" i="49"/>
  <c r="Y57" i="49"/>
  <c r="AC46" i="49"/>
  <c r="AB46" i="49"/>
  <c r="Y46" i="49"/>
  <c r="AA46" i="49"/>
  <c r="Z46" i="49"/>
  <c r="S30" i="49"/>
  <c r="AC30" i="49"/>
  <c r="AB30" i="49"/>
  <c r="Y30" i="49"/>
  <c r="AA30" i="49"/>
  <c r="Z30" i="49"/>
  <c r="L30" i="49"/>
  <c r="R30" i="49"/>
  <c r="T30" i="49"/>
  <c r="W30" i="49" s="1"/>
  <c r="P30" i="49"/>
  <c r="U30" i="49"/>
  <c r="L108" i="49"/>
  <c r="M108" i="49"/>
  <c r="V30" i="49"/>
  <c r="M104" i="49"/>
  <c r="Q30" i="49"/>
  <c r="N30" i="49"/>
  <c r="O30" i="49" s="1"/>
  <c r="L62" i="49"/>
  <c r="M39" i="49"/>
  <c r="L104" i="49"/>
  <c r="L57" i="49"/>
  <c r="M117" i="49"/>
  <c r="L46" i="49"/>
  <c r="M67" i="49"/>
  <c r="L67" i="49"/>
  <c r="U36" i="49"/>
  <c r="S36" i="49"/>
  <c r="T36" i="49"/>
  <c r="W36" i="49" s="1"/>
  <c r="R36" i="49"/>
  <c r="P36" i="49"/>
  <c r="N36" i="49"/>
  <c r="O36" i="49" s="1"/>
  <c r="Q36" i="49"/>
  <c r="V36" i="49"/>
  <c r="L11" i="49"/>
  <c r="M11" i="49"/>
  <c r="R46" i="49"/>
  <c r="Q46" i="49"/>
  <c r="P46" i="49"/>
  <c r="T46" i="49"/>
  <c r="W46" i="49" s="1"/>
  <c r="V46" i="49"/>
  <c r="U46" i="49"/>
  <c r="S46" i="49"/>
  <c r="N46" i="49"/>
  <c r="O46" i="49" s="1"/>
  <c r="S17" i="49"/>
  <c r="Q17" i="49"/>
  <c r="R17" i="49"/>
  <c r="U17" i="49"/>
  <c r="V17" i="49"/>
  <c r="T17" i="49"/>
  <c r="W17" i="49" s="1"/>
  <c r="P17" i="49"/>
  <c r="N17" i="49"/>
  <c r="O17" i="49" s="1"/>
  <c r="V62" i="49"/>
  <c r="N62" i="49"/>
  <c r="O62" i="49" s="1"/>
  <c r="T62" i="49"/>
  <c r="W62" i="49" s="1"/>
  <c r="S62" i="49"/>
  <c r="U62" i="49"/>
  <c r="P62" i="49"/>
  <c r="Q62" i="49"/>
  <c r="R62" i="49"/>
  <c r="F53" i="49"/>
  <c r="M53" i="49" s="1"/>
  <c r="L36" i="49"/>
  <c r="M33" i="49"/>
  <c r="F27" i="49"/>
  <c r="M27" i="49" s="1"/>
  <c r="F98" i="49"/>
  <c r="L98" i="49" s="1"/>
  <c r="F91" i="49"/>
  <c r="L91" i="49" s="1"/>
  <c r="M73" i="49"/>
  <c r="F85" i="49"/>
  <c r="M85" i="49" s="1"/>
  <c r="L17" i="49"/>
  <c r="F42" i="49"/>
  <c r="M42" i="49" s="1"/>
  <c r="F49" i="49"/>
  <c r="L49" i="49" s="1"/>
  <c r="M14" i="49"/>
  <c r="F24" i="49"/>
  <c r="L24" i="49" s="1"/>
  <c r="U57" i="49"/>
  <c r="V57" i="49"/>
  <c r="N57" i="49"/>
  <c r="O57" i="49" s="1"/>
  <c r="T57" i="49"/>
  <c r="W57" i="49" s="1"/>
  <c r="Q57" i="49"/>
  <c r="S57" i="49"/>
  <c r="P57" i="49"/>
  <c r="R57" i="49"/>
  <c r="F21" i="49"/>
  <c r="L21" i="49" s="1"/>
  <c r="F79" i="49"/>
  <c r="M79" i="49" s="1"/>
  <c r="T104" i="49" l="1"/>
  <c r="W104" i="49" s="1"/>
  <c r="AC104" i="49"/>
  <c r="AB104" i="49"/>
  <c r="AA104" i="49"/>
  <c r="Z104" i="49"/>
  <c r="Y104" i="49"/>
  <c r="AC33" i="49"/>
  <c r="AB33" i="49"/>
  <c r="Z33" i="49"/>
  <c r="Y33" i="49"/>
  <c r="AA33" i="49"/>
  <c r="S117" i="49"/>
  <c r="AC117" i="49"/>
  <c r="AB117" i="49"/>
  <c r="AA117" i="49"/>
  <c r="Z117" i="49"/>
  <c r="Y117" i="49"/>
  <c r="AC42" i="49"/>
  <c r="AB42" i="49"/>
  <c r="AA42" i="49"/>
  <c r="Z42" i="49"/>
  <c r="Y42" i="49"/>
  <c r="AC27" i="49"/>
  <c r="AB27" i="49"/>
  <c r="Z27" i="49"/>
  <c r="Y27" i="49"/>
  <c r="AA27" i="49"/>
  <c r="AC53" i="49"/>
  <c r="AB53" i="49"/>
  <c r="AA53" i="49"/>
  <c r="Z53" i="49"/>
  <c r="Y53" i="49"/>
  <c r="AC85" i="49"/>
  <c r="AB85" i="49"/>
  <c r="AA85" i="49"/>
  <c r="Z85" i="49"/>
  <c r="Y85" i="49"/>
  <c r="AC79" i="49"/>
  <c r="AB79" i="49"/>
  <c r="AA79" i="49"/>
  <c r="Z79" i="49"/>
  <c r="Y79" i="49"/>
  <c r="AC14" i="49"/>
  <c r="AB14" i="49"/>
  <c r="Y14" i="49"/>
  <c r="AA14" i="49"/>
  <c r="Z14" i="49"/>
  <c r="N108" i="49"/>
  <c r="O108" i="49" s="1"/>
  <c r="AC108" i="49"/>
  <c r="AB108" i="49"/>
  <c r="Z108" i="49"/>
  <c r="Y108" i="49"/>
  <c r="AA108" i="49"/>
  <c r="AC11" i="49"/>
  <c r="AB11" i="49"/>
  <c r="Z11" i="49"/>
  <c r="AA11" i="49"/>
  <c r="Y11" i="49"/>
  <c r="P39" i="49"/>
  <c r="AC39" i="49"/>
  <c r="AB39" i="49"/>
  <c r="AA39" i="49"/>
  <c r="Z39" i="49"/>
  <c r="Y39" i="49"/>
  <c r="AC73" i="49"/>
  <c r="AB73" i="49"/>
  <c r="AA73" i="49"/>
  <c r="Z73" i="49"/>
  <c r="Y73" i="49"/>
  <c r="AC67" i="49"/>
  <c r="AB67" i="49"/>
  <c r="Z67" i="49"/>
  <c r="Y67" i="49"/>
  <c r="AA67" i="49"/>
  <c r="V108" i="49"/>
  <c r="Q108" i="49"/>
  <c r="R108" i="49"/>
  <c r="P108" i="49"/>
  <c r="T108" i="49"/>
  <c r="W108" i="49" s="1"/>
  <c r="S108" i="49"/>
  <c r="U108" i="49"/>
  <c r="P117" i="49"/>
  <c r="U117" i="49"/>
  <c r="R104" i="49"/>
  <c r="S104" i="49"/>
  <c r="U104" i="49"/>
  <c r="V39" i="49"/>
  <c r="P104" i="49"/>
  <c r="Q104" i="49"/>
  <c r="N104" i="49"/>
  <c r="O104" i="49" s="1"/>
  <c r="V104" i="49"/>
  <c r="Q39" i="49"/>
  <c r="U39" i="49"/>
  <c r="N39" i="49"/>
  <c r="O39" i="49" s="1"/>
  <c r="L85" i="49"/>
  <c r="M21" i="49"/>
  <c r="R39" i="49"/>
  <c r="N117" i="49"/>
  <c r="O117" i="49" s="1"/>
  <c r="S39" i="49"/>
  <c r="T39" i="49"/>
  <c r="W39" i="49" s="1"/>
  <c r="R117" i="49"/>
  <c r="Q117" i="49"/>
  <c r="T117" i="49"/>
  <c r="W117" i="49" s="1"/>
  <c r="L53" i="49"/>
  <c r="L27" i="49"/>
  <c r="V117" i="49"/>
  <c r="M98" i="49"/>
  <c r="M49" i="49"/>
  <c r="S79" i="49"/>
  <c r="P79" i="49"/>
  <c r="R79" i="49"/>
  <c r="Q79" i="49"/>
  <c r="U79" i="49"/>
  <c r="T79" i="49"/>
  <c r="W79" i="49" s="1"/>
  <c r="N79" i="49"/>
  <c r="O79" i="49" s="1"/>
  <c r="V79" i="49"/>
  <c r="S42" i="49"/>
  <c r="R42" i="49"/>
  <c r="Q42" i="49"/>
  <c r="U42" i="49"/>
  <c r="V42" i="49"/>
  <c r="T42" i="49"/>
  <c r="W42" i="49" s="1"/>
  <c r="P42" i="49"/>
  <c r="N42" i="49"/>
  <c r="O42" i="49" s="1"/>
  <c r="P27" i="49"/>
  <c r="V27" i="49"/>
  <c r="N27" i="49"/>
  <c r="O27" i="49" s="1"/>
  <c r="R27" i="49"/>
  <c r="S27" i="49"/>
  <c r="T27" i="49"/>
  <c r="W27" i="49" s="1"/>
  <c r="Q27" i="49"/>
  <c r="U27" i="49"/>
  <c r="R85" i="49"/>
  <c r="Q85" i="49"/>
  <c r="P85" i="49"/>
  <c r="T85" i="49"/>
  <c r="W85" i="49" s="1"/>
  <c r="S85" i="49"/>
  <c r="U85" i="49"/>
  <c r="N85" i="49"/>
  <c r="O85" i="49" s="1"/>
  <c r="V85" i="49"/>
  <c r="L79" i="49"/>
  <c r="M24" i="49"/>
  <c r="T14" i="49"/>
  <c r="W14" i="49" s="1"/>
  <c r="R14" i="49"/>
  <c r="S14" i="49"/>
  <c r="V14" i="49"/>
  <c r="N14" i="49"/>
  <c r="O14" i="49" s="1"/>
  <c r="U14" i="49"/>
  <c r="Q14" i="49"/>
  <c r="P14" i="49"/>
  <c r="U11" i="49"/>
  <c r="S11" i="49"/>
  <c r="T11" i="49"/>
  <c r="W11" i="49" s="1"/>
  <c r="Q11" i="49"/>
  <c r="N11" i="49"/>
  <c r="O11" i="49" s="1"/>
  <c r="P11" i="49"/>
  <c r="V11" i="49"/>
  <c r="R11" i="49"/>
  <c r="T73" i="49"/>
  <c r="W73" i="49" s="1"/>
  <c r="Q73" i="49"/>
  <c r="S73" i="49"/>
  <c r="R73" i="49"/>
  <c r="V73" i="49"/>
  <c r="N73" i="49"/>
  <c r="O73" i="49" s="1"/>
  <c r="P73" i="49"/>
  <c r="U73" i="49"/>
  <c r="P53" i="49"/>
  <c r="N53" i="49"/>
  <c r="O53" i="49" s="1"/>
  <c r="V53" i="49"/>
  <c r="U53" i="49"/>
  <c r="R53" i="49"/>
  <c r="S53" i="49"/>
  <c r="Q53" i="49"/>
  <c r="T53" i="49"/>
  <c r="W53" i="49" s="1"/>
  <c r="L42" i="49"/>
  <c r="M91" i="49"/>
  <c r="V33" i="49"/>
  <c r="N33" i="49"/>
  <c r="O33" i="49" s="1"/>
  <c r="T33" i="49"/>
  <c r="W33" i="49" s="1"/>
  <c r="U33" i="49"/>
  <c r="P33" i="49"/>
  <c r="R33" i="49"/>
  <c r="Q33" i="49"/>
  <c r="S33" i="49"/>
  <c r="U67" i="49"/>
  <c r="R67" i="49"/>
  <c r="T67" i="49"/>
  <c r="W67" i="49" s="1"/>
  <c r="S67" i="49"/>
  <c r="Q67" i="49"/>
  <c r="N67" i="49"/>
  <c r="O67" i="49" s="1"/>
  <c r="V67" i="49"/>
  <c r="P67" i="49"/>
  <c r="I5" i="69"/>
  <c r="E5" i="69"/>
  <c r="B5" i="69"/>
  <c r="C5" i="69" s="1"/>
  <c r="G5" i="69" s="1"/>
  <c r="I3" i="69"/>
  <c r="E3" i="69"/>
  <c r="B3" i="69"/>
  <c r="D3" i="69" s="1"/>
  <c r="J5" i="67"/>
  <c r="E5" i="67"/>
  <c r="B5" i="67"/>
  <c r="D5" i="67" s="1"/>
  <c r="J3" i="67"/>
  <c r="E3" i="67"/>
  <c r="B3" i="67"/>
  <c r="D3" i="67" s="1"/>
  <c r="H3" i="10"/>
  <c r="B3" i="10"/>
  <c r="D3" i="10" s="1"/>
  <c r="G4" i="13"/>
  <c r="B4" i="13"/>
  <c r="D4" i="13" s="1"/>
  <c r="J3" i="8"/>
  <c r="E3" i="8"/>
  <c r="B3" i="8"/>
  <c r="C3" i="8" s="1"/>
  <c r="G3" i="8" s="1"/>
  <c r="AC91" i="49" l="1"/>
  <c r="AB91" i="49"/>
  <c r="Z91" i="49"/>
  <c r="Y91" i="49"/>
  <c r="AA91" i="49"/>
  <c r="N21" i="49"/>
  <c r="O21" i="49" s="1"/>
  <c r="AC21" i="49"/>
  <c r="AB21" i="49"/>
  <c r="AA21" i="49"/>
  <c r="Z21" i="49"/>
  <c r="Y21" i="49"/>
  <c r="P49" i="49"/>
  <c r="AC49" i="49"/>
  <c r="AB49" i="49"/>
  <c r="AA49" i="49"/>
  <c r="Z49" i="49"/>
  <c r="Y49" i="49"/>
  <c r="Q98" i="49"/>
  <c r="AC98" i="49"/>
  <c r="AB98" i="49"/>
  <c r="AA98" i="49"/>
  <c r="Z98" i="49"/>
  <c r="Y98" i="49"/>
  <c r="AC24" i="49"/>
  <c r="AB24" i="49"/>
  <c r="AA24" i="49"/>
  <c r="Z24" i="49"/>
  <c r="Y24" i="49"/>
  <c r="V98" i="49"/>
  <c r="T98" i="49"/>
  <c r="W98" i="49" s="1"/>
  <c r="V21" i="49"/>
  <c r="S21" i="49"/>
  <c r="T21" i="49"/>
  <c r="W21" i="49" s="1"/>
  <c r="U21" i="49"/>
  <c r="U49" i="49"/>
  <c r="R49" i="49"/>
  <c r="Q49" i="49"/>
  <c r="N49" i="49"/>
  <c r="O49" i="49" s="1"/>
  <c r="S98" i="49"/>
  <c r="R98" i="49"/>
  <c r="V49" i="49"/>
  <c r="T49" i="49"/>
  <c r="W49" i="49" s="1"/>
  <c r="U98" i="49"/>
  <c r="S49" i="49"/>
  <c r="N98" i="49"/>
  <c r="O98" i="49" s="1"/>
  <c r="P98" i="49"/>
  <c r="D557" i="106"/>
  <c r="Q91" i="49"/>
  <c r="P91" i="49"/>
  <c r="V91" i="49"/>
  <c r="N91" i="49"/>
  <c r="O91" i="49" s="1"/>
  <c r="S91" i="49"/>
  <c r="R91" i="49"/>
  <c r="U91" i="49"/>
  <c r="T91" i="49"/>
  <c r="W91" i="49" s="1"/>
  <c r="Q24" i="49"/>
  <c r="P24" i="49"/>
  <c r="S24" i="49"/>
  <c r="U24" i="49"/>
  <c r="R24" i="49"/>
  <c r="N24" i="49"/>
  <c r="O24" i="49" s="1"/>
  <c r="V24" i="49"/>
  <c r="T24" i="49"/>
  <c r="W24" i="49" s="1"/>
  <c r="D558" i="106"/>
  <c r="D5" i="69"/>
  <c r="H5" i="69" s="1"/>
  <c r="C3" i="69"/>
  <c r="G3" i="69" s="1"/>
  <c r="C5" i="67"/>
  <c r="G5" i="67" s="1"/>
  <c r="C3" i="67"/>
  <c r="G3" i="67" s="1"/>
  <c r="C3" i="10"/>
  <c r="E3" i="10" s="1"/>
  <c r="C4" i="13"/>
  <c r="E4" i="13" s="1"/>
  <c r="D3" i="8"/>
  <c r="H3" i="8" s="1"/>
  <c r="I4" i="69"/>
  <c r="E4" i="69"/>
  <c r="B4" i="69"/>
  <c r="C4" i="69" s="1"/>
  <c r="G4" i="69" s="1"/>
  <c r="J4" i="67"/>
  <c r="E4" i="67"/>
  <c r="B4" i="67"/>
  <c r="D4" i="67" s="1"/>
  <c r="M558" i="106" l="1"/>
  <c r="L558" i="106"/>
  <c r="K558" i="106"/>
  <c r="J558" i="106"/>
  <c r="I558" i="106"/>
  <c r="H558" i="106"/>
  <c r="G558" i="106"/>
  <c r="M557" i="106"/>
  <c r="L557" i="106"/>
  <c r="K557" i="106"/>
  <c r="J557" i="106"/>
  <c r="I557" i="106"/>
  <c r="H557" i="106"/>
  <c r="G557" i="106"/>
  <c r="C558" i="106"/>
  <c r="C557" i="106"/>
  <c r="D555" i="106"/>
  <c r="M5" i="69"/>
  <c r="L5" i="69"/>
  <c r="H3" i="69"/>
  <c r="L3" i="69" s="1"/>
  <c r="D4" i="69"/>
  <c r="H4" i="69" s="1"/>
  <c r="M4" i="69" s="1"/>
  <c r="H5" i="67"/>
  <c r="M5" i="67" s="1"/>
  <c r="H3" i="67"/>
  <c r="M3" i="67" s="1"/>
  <c r="F3" i="10"/>
  <c r="L3" i="10" s="1"/>
  <c r="F4" i="13"/>
  <c r="L4" i="13" s="1"/>
  <c r="L3" i="8"/>
  <c r="M3" i="8"/>
  <c r="C4" i="67"/>
  <c r="G4" i="67" s="1"/>
  <c r="F557" i="106" l="1"/>
  <c r="E557" i="106"/>
  <c r="F558" i="106"/>
  <c r="E558" i="106"/>
  <c r="D556" i="106"/>
  <c r="H556" i="106"/>
  <c r="C556" i="106"/>
  <c r="M556" i="106"/>
  <c r="L556" i="106"/>
  <c r="I556" i="106"/>
  <c r="J556" i="106"/>
  <c r="K556" i="106"/>
  <c r="G556" i="106"/>
  <c r="H555" i="106"/>
  <c r="G555" i="106"/>
  <c r="M555" i="106"/>
  <c r="L555" i="106"/>
  <c r="I555" i="106"/>
  <c r="K555" i="106"/>
  <c r="J555" i="106"/>
  <c r="C555" i="106"/>
  <c r="V5" i="69"/>
  <c r="N5" i="69"/>
  <c r="U5" i="69"/>
  <c r="T5" i="69"/>
  <c r="S5" i="69"/>
  <c r="R5" i="69"/>
  <c r="Q5" i="69"/>
  <c r="P5" i="69"/>
  <c r="M3" i="69"/>
  <c r="T5" i="67"/>
  <c r="S5" i="67"/>
  <c r="R5" i="67"/>
  <c r="Q5" i="67"/>
  <c r="N5" i="67"/>
  <c r="U5" i="67"/>
  <c r="P5" i="67"/>
  <c r="V5" i="67"/>
  <c r="L5" i="67"/>
  <c r="T3" i="67"/>
  <c r="S3" i="67"/>
  <c r="R3" i="67"/>
  <c r="Q3" i="67"/>
  <c r="P3" i="67"/>
  <c r="V3" i="67"/>
  <c r="N3" i="67"/>
  <c r="U3" i="67"/>
  <c r="L3" i="67"/>
  <c r="M3" i="10"/>
  <c r="M4" i="13"/>
  <c r="V3" i="8"/>
  <c r="N3" i="8"/>
  <c r="U3" i="8"/>
  <c r="T3" i="8"/>
  <c r="S3" i="8"/>
  <c r="R3" i="8"/>
  <c r="Q3" i="8"/>
  <c r="P3" i="8"/>
  <c r="V4" i="69"/>
  <c r="N4" i="69"/>
  <c r="U4" i="69"/>
  <c r="T4" i="69"/>
  <c r="S4" i="69"/>
  <c r="R4" i="69"/>
  <c r="Q4" i="69"/>
  <c r="P4" i="69"/>
  <c r="L4" i="69"/>
  <c r="H4" i="67"/>
  <c r="M4" i="67" s="1"/>
  <c r="F556" i="106" l="1"/>
  <c r="E556" i="106"/>
  <c r="F555" i="106"/>
  <c r="E555" i="106"/>
  <c r="O4" i="69"/>
  <c r="O5" i="69"/>
  <c r="O3" i="67"/>
  <c r="O3" i="8"/>
  <c r="O5" i="67"/>
  <c r="T3" i="69"/>
  <c r="R3" i="69"/>
  <c r="S3" i="69"/>
  <c r="Q3" i="69"/>
  <c r="P3" i="69"/>
  <c r="V3" i="69"/>
  <c r="N3" i="69"/>
  <c r="U3" i="69"/>
  <c r="V3" i="10"/>
  <c r="N3" i="10"/>
  <c r="T3" i="10"/>
  <c r="S3" i="10"/>
  <c r="R3" i="10"/>
  <c r="Q3" i="10"/>
  <c r="P3" i="10"/>
  <c r="U3" i="10"/>
  <c r="Q4" i="13"/>
  <c r="R4" i="13"/>
  <c r="P4" i="13"/>
  <c r="N4" i="13"/>
  <c r="U4" i="13"/>
  <c r="T4" i="13"/>
  <c r="S4" i="13"/>
  <c r="V4" i="13"/>
  <c r="R4" i="67"/>
  <c r="Q4" i="67"/>
  <c r="P4" i="67"/>
  <c r="U4" i="67"/>
  <c r="V4" i="67"/>
  <c r="N4" i="67"/>
  <c r="T4" i="67"/>
  <c r="S4" i="67"/>
  <c r="L4" i="67"/>
  <c r="O3" i="10" l="1"/>
  <c r="O3" i="69"/>
  <c r="O4" i="67"/>
  <c r="O4" i="13"/>
  <c r="B2" i="67" l="1"/>
  <c r="D2" i="67" s="1"/>
  <c r="B2" i="69"/>
  <c r="C2" i="69" s="1"/>
  <c r="E2" i="69"/>
  <c r="E2" i="67"/>
  <c r="B2" i="10"/>
  <c r="D2" i="10" s="1"/>
  <c r="H4" i="10"/>
  <c r="B4" i="10"/>
  <c r="C4" i="10" s="1"/>
  <c r="E4" i="10" s="1"/>
  <c r="J4" i="8"/>
  <c r="E4" i="8"/>
  <c r="B4" i="8"/>
  <c r="D4" i="8" s="1"/>
  <c r="B2" i="49"/>
  <c r="C2" i="49" s="1"/>
  <c r="B2" i="18"/>
  <c r="D2" i="18" s="1"/>
  <c r="B2" i="50"/>
  <c r="D2" i="50" s="1"/>
  <c r="G3" i="13"/>
  <c r="B3" i="13"/>
  <c r="D3" i="13" s="1"/>
  <c r="B2" i="13"/>
  <c r="D2" i="13" s="1"/>
  <c r="B2" i="12"/>
  <c r="C2" i="12" s="1"/>
  <c r="B2" i="8"/>
  <c r="D2" i="8" s="1"/>
  <c r="B2" i="11"/>
  <c r="D2" i="11" s="1"/>
  <c r="H3" i="25"/>
  <c r="B3" i="25"/>
  <c r="C3" i="25" s="1"/>
  <c r="E3" i="25" s="1"/>
  <c r="G3" i="17"/>
  <c r="B3" i="17"/>
  <c r="C3" i="17" s="1"/>
  <c r="E3" i="17" s="1"/>
  <c r="I3" i="24"/>
  <c r="B3" i="24"/>
  <c r="C3" i="24" s="1"/>
  <c r="G3" i="24" s="1"/>
  <c r="J3" i="9"/>
  <c r="B3" i="9"/>
  <c r="D3" i="9" s="1"/>
  <c r="I3" i="27"/>
  <c r="B3" i="27"/>
  <c r="C3" i="27" s="1"/>
  <c r="G3" i="27" s="1"/>
  <c r="B2" i="25"/>
  <c r="D2" i="25" s="1"/>
  <c r="B2" i="17"/>
  <c r="C2" i="17" s="1"/>
  <c r="B2" i="24"/>
  <c r="C2" i="24" s="1"/>
  <c r="B2" i="9"/>
  <c r="C2" i="9" s="1"/>
  <c r="B2" i="27"/>
  <c r="C2" i="27" s="1"/>
  <c r="B2" i="5"/>
  <c r="D2" i="5" s="1"/>
  <c r="D3" i="24" l="1"/>
  <c r="D3" i="27"/>
  <c r="C3" i="9"/>
  <c r="G3" i="9" s="1"/>
  <c r="H3" i="9" s="1"/>
  <c r="M3" i="9" s="1"/>
  <c r="D2" i="69"/>
  <c r="C2" i="67"/>
  <c r="D4" i="10"/>
  <c r="F4" i="10" s="1"/>
  <c r="C4" i="8"/>
  <c r="G4" i="8" s="1"/>
  <c r="D2" i="49"/>
  <c r="C2" i="50"/>
  <c r="C3" i="13"/>
  <c r="E3" i="13" s="1"/>
  <c r="C2" i="8"/>
  <c r="C2" i="10"/>
  <c r="C2" i="13"/>
  <c r="D2" i="12"/>
  <c r="C2" i="11"/>
  <c r="D3" i="25"/>
  <c r="F3" i="25" s="1"/>
  <c r="C2" i="25"/>
  <c r="D3" i="17"/>
  <c r="F3" i="17" s="1"/>
  <c r="H3" i="24"/>
  <c r="L3" i="24" s="1"/>
  <c r="H3" i="27"/>
  <c r="L3" i="27" s="1"/>
  <c r="D2" i="17"/>
  <c r="D2" i="24"/>
  <c r="D2" i="9"/>
  <c r="D2" i="27"/>
  <c r="C2" i="18"/>
  <c r="C2" i="5"/>
  <c r="V3" i="9" l="1"/>
  <c r="M4" i="10"/>
  <c r="L4" i="10"/>
  <c r="H4" i="8"/>
  <c r="L4" i="8" s="1"/>
  <c r="F3" i="13"/>
  <c r="M3" i="13" s="1"/>
  <c r="M3" i="25"/>
  <c r="L3" i="25"/>
  <c r="M3" i="17"/>
  <c r="L3" i="17"/>
  <c r="M3" i="24"/>
  <c r="N3" i="9"/>
  <c r="U3" i="9"/>
  <c r="R3" i="9"/>
  <c r="T3" i="9"/>
  <c r="S3" i="9"/>
  <c r="Q3" i="9"/>
  <c r="P3" i="9"/>
  <c r="L3" i="9"/>
  <c r="M3" i="27"/>
  <c r="O3" i="9" l="1"/>
  <c r="V4" i="10"/>
  <c r="N4" i="10"/>
  <c r="U4" i="10"/>
  <c r="T4" i="10"/>
  <c r="S4" i="10"/>
  <c r="R4" i="10"/>
  <c r="Q4" i="10"/>
  <c r="P4" i="10"/>
  <c r="M4" i="8"/>
  <c r="V3" i="13"/>
  <c r="N3" i="13"/>
  <c r="S3" i="13"/>
  <c r="T3" i="13"/>
  <c r="R3" i="13"/>
  <c r="P3" i="13"/>
  <c r="Q3" i="13"/>
  <c r="U3" i="13"/>
  <c r="L3" i="13"/>
  <c r="V3" i="25"/>
  <c r="N3" i="25"/>
  <c r="T3" i="25"/>
  <c r="S3" i="25"/>
  <c r="R3" i="25"/>
  <c r="U3" i="25"/>
  <c r="Q3" i="25"/>
  <c r="P3" i="25"/>
  <c r="V3" i="17"/>
  <c r="N3" i="17"/>
  <c r="U3" i="17"/>
  <c r="T3" i="17"/>
  <c r="S3" i="17"/>
  <c r="R3" i="17"/>
  <c r="Q3" i="17"/>
  <c r="P3" i="17"/>
  <c r="V3" i="24"/>
  <c r="N3" i="24"/>
  <c r="U3" i="24"/>
  <c r="T3" i="24"/>
  <c r="R3" i="24"/>
  <c r="S3" i="24"/>
  <c r="Q3" i="24"/>
  <c r="P3" i="24"/>
  <c r="V3" i="27"/>
  <c r="N3" i="27"/>
  <c r="U3" i="27"/>
  <c r="T3" i="27"/>
  <c r="S3" i="27"/>
  <c r="R3" i="27"/>
  <c r="Q3" i="27"/>
  <c r="P3" i="27"/>
  <c r="O3" i="13" l="1"/>
  <c r="O3" i="27"/>
  <c r="O3" i="24"/>
  <c r="O3" i="17"/>
  <c r="O3" i="25"/>
  <c r="O4" i="10"/>
  <c r="T4" i="8"/>
  <c r="S4" i="8"/>
  <c r="Q4" i="8"/>
  <c r="P4" i="8"/>
  <c r="R4" i="8"/>
  <c r="V4" i="8"/>
  <c r="N4" i="8"/>
  <c r="U4" i="8"/>
  <c r="O4" i="8" l="1"/>
  <c r="G2" i="18" l="1"/>
  <c r="H2" i="18" s="1"/>
  <c r="E2" i="25" l="1"/>
  <c r="H2" i="25"/>
  <c r="G2" i="17"/>
  <c r="E2" i="17" l="1"/>
  <c r="F2" i="17" s="1"/>
  <c r="M2" i="17" s="1"/>
  <c r="F2" i="25"/>
  <c r="L2" i="17" l="1"/>
  <c r="N2" i="17"/>
  <c r="O2" i="17" s="1"/>
  <c r="V2" i="17"/>
  <c r="P2" i="17"/>
  <c r="Q2" i="17"/>
  <c r="R2" i="17"/>
  <c r="S2" i="17"/>
  <c r="U2" i="17"/>
  <c r="T2" i="17"/>
  <c r="G2" i="69" l="1"/>
  <c r="H2" i="69" s="1"/>
  <c r="I2" i="69"/>
  <c r="G2" i="67"/>
  <c r="J2" i="67"/>
  <c r="M2" i="69" l="1"/>
  <c r="H2" i="67"/>
  <c r="M2" i="67" s="1"/>
  <c r="H2" i="50"/>
  <c r="H2" i="10"/>
  <c r="G2" i="13"/>
  <c r="I2" i="12"/>
  <c r="I2" i="24"/>
  <c r="J2" i="8"/>
  <c r="J2" i="9"/>
  <c r="I2" i="11"/>
  <c r="I2" i="27"/>
  <c r="H2" i="49"/>
  <c r="H2" i="5"/>
  <c r="I2" i="18"/>
  <c r="L2" i="69" l="1"/>
  <c r="L2" i="67"/>
  <c r="R2" i="69" l="1"/>
  <c r="Q2" i="69"/>
  <c r="P2" i="69"/>
  <c r="N2" i="69"/>
  <c r="V2" i="69"/>
  <c r="S2" i="69"/>
  <c r="U2" i="69"/>
  <c r="T2" i="69"/>
  <c r="N2" i="67"/>
  <c r="V2" i="67"/>
  <c r="P2" i="67"/>
  <c r="Q2" i="67"/>
  <c r="S2" i="67"/>
  <c r="T2" i="67"/>
  <c r="U2" i="67"/>
  <c r="R2" i="67"/>
  <c r="O2" i="67" l="1"/>
  <c r="O2" i="69"/>
  <c r="E2" i="50" l="1"/>
  <c r="F2" i="50" s="1"/>
  <c r="E2" i="49"/>
  <c r="F2" i="49" s="1"/>
  <c r="F2" i="5"/>
  <c r="G2" i="5" s="1"/>
  <c r="M2" i="50" l="1"/>
  <c r="W2" i="50" s="1"/>
  <c r="M2" i="49"/>
  <c r="M2" i="5"/>
  <c r="T2" i="50" l="1"/>
  <c r="Q2" i="50"/>
  <c r="P2" i="50"/>
  <c r="R2" i="50"/>
  <c r="V2" i="50"/>
  <c r="U2" i="50"/>
  <c r="S2" i="50"/>
  <c r="N2" i="50"/>
  <c r="T2" i="49"/>
  <c r="R2" i="49"/>
  <c r="U2" i="49"/>
  <c r="Q2" i="49"/>
  <c r="V2" i="49"/>
  <c r="S2" i="49"/>
  <c r="P2" i="49"/>
  <c r="N2" i="49"/>
  <c r="T2" i="5"/>
  <c r="S2" i="5"/>
  <c r="N2" i="5"/>
  <c r="P2" i="5"/>
  <c r="Q2" i="5"/>
  <c r="R2" i="5"/>
  <c r="U2" i="5"/>
  <c r="V2" i="5"/>
  <c r="L2" i="5"/>
  <c r="L2" i="50"/>
  <c r="L2" i="49"/>
  <c r="AA2" i="49" l="1"/>
  <c r="Y2" i="49"/>
  <c r="Z2" i="49"/>
  <c r="O2" i="49"/>
  <c r="O2" i="50"/>
  <c r="O2" i="5"/>
  <c r="G2" i="27" l="1"/>
  <c r="H2" i="27" s="1"/>
  <c r="G2" i="24"/>
  <c r="H2" i="24" s="1"/>
  <c r="L2" i="25" l="1"/>
  <c r="M2" i="24"/>
  <c r="L2" i="27"/>
  <c r="M2" i="25" l="1"/>
  <c r="S2" i="24"/>
  <c r="T2" i="24"/>
  <c r="N2" i="24"/>
  <c r="Q2" i="24"/>
  <c r="R2" i="24"/>
  <c r="U2" i="24"/>
  <c r="V2" i="24"/>
  <c r="P2" i="24"/>
  <c r="L2" i="24"/>
  <c r="M2" i="27"/>
  <c r="O2" i="24" l="1"/>
  <c r="T2" i="25"/>
  <c r="U2" i="25"/>
  <c r="N2" i="25"/>
  <c r="Q2" i="25"/>
  <c r="R2" i="25"/>
  <c r="S2" i="25"/>
  <c r="P2" i="25"/>
  <c r="V2" i="25"/>
  <c r="V2" i="27"/>
  <c r="T2" i="27"/>
  <c r="S2" i="27"/>
  <c r="P2" i="27"/>
  <c r="N2" i="27"/>
  <c r="R2" i="27"/>
  <c r="Q2" i="27"/>
  <c r="U2" i="27"/>
  <c r="O2" i="27" l="1"/>
  <c r="O2" i="25"/>
  <c r="M2" i="18"/>
  <c r="L2" i="18" l="1"/>
  <c r="T2" i="18"/>
  <c r="V2" i="18"/>
  <c r="Q2" i="18"/>
  <c r="U2" i="18"/>
  <c r="N2" i="18"/>
  <c r="S2" i="18"/>
  <c r="R2" i="18"/>
  <c r="P2" i="18"/>
  <c r="O2" i="18" l="1"/>
  <c r="G2" i="8" l="1"/>
  <c r="H2" i="8" s="1"/>
  <c r="E2" i="8"/>
  <c r="M2" i="8" l="1"/>
  <c r="S2" i="8" l="1"/>
  <c r="P2" i="8"/>
  <c r="V2" i="8"/>
  <c r="T2" i="8"/>
  <c r="N2" i="8"/>
  <c r="Q2" i="8"/>
  <c r="R2" i="8"/>
  <c r="U2" i="8"/>
  <c r="L2" i="8"/>
  <c r="E2" i="13"/>
  <c r="F2" i="13" s="1"/>
  <c r="G2" i="12"/>
  <c r="H2" i="12" s="1"/>
  <c r="G2" i="11"/>
  <c r="H2" i="11" s="1"/>
  <c r="E2" i="10"/>
  <c r="F2" i="10" s="1"/>
  <c r="G2" i="9"/>
  <c r="H2" i="9" s="1"/>
  <c r="O2" i="8" l="1"/>
  <c r="M2" i="10"/>
  <c r="M2" i="13"/>
  <c r="M2" i="11"/>
  <c r="M2" i="12"/>
  <c r="M2" i="9"/>
  <c r="T2" i="10" l="1"/>
  <c r="V2" i="10"/>
  <c r="Q2" i="10"/>
  <c r="U2" i="10"/>
  <c r="S2" i="10"/>
  <c r="P2" i="10"/>
  <c r="N2" i="10"/>
  <c r="R2" i="10"/>
  <c r="T2" i="13"/>
  <c r="N2" i="13"/>
  <c r="P2" i="13"/>
  <c r="Q2" i="13"/>
  <c r="R2" i="13"/>
  <c r="U2" i="13"/>
  <c r="V2" i="13"/>
  <c r="S2" i="13"/>
  <c r="T2" i="11"/>
  <c r="S2" i="11"/>
  <c r="P2" i="11"/>
  <c r="V2" i="11"/>
  <c r="R2" i="11"/>
  <c r="Q2" i="11"/>
  <c r="U2" i="11"/>
  <c r="N2" i="11"/>
  <c r="L2" i="11"/>
  <c r="W2" i="12"/>
  <c r="S2" i="12"/>
  <c r="T2" i="12"/>
  <c r="Q2" i="12"/>
  <c r="V2" i="12"/>
  <c r="N2" i="12"/>
  <c r="P2" i="12"/>
  <c r="R2" i="12"/>
  <c r="V2" i="9"/>
  <c r="S2" i="9"/>
  <c r="U2" i="9"/>
  <c r="P2" i="9"/>
  <c r="N2" i="9"/>
  <c r="T2" i="9"/>
  <c r="Q2" i="9"/>
  <c r="R2" i="9"/>
  <c r="L2" i="10"/>
  <c r="L2" i="13"/>
  <c r="L2" i="12"/>
  <c r="L2" i="9"/>
  <c r="O2" i="12" l="1"/>
  <c r="O2" i="9"/>
  <c r="O2" i="13"/>
  <c r="O2" i="10"/>
  <c r="O2" i="11"/>
</calcChain>
</file>

<file path=xl/sharedStrings.xml><?xml version="1.0" encoding="utf-8"?>
<sst xmlns="http://schemas.openxmlformats.org/spreadsheetml/2006/main" count="1711" uniqueCount="710">
  <si>
    <t>#C</t>
  </si>
  <si>
    <t>#H</t>
  </si>
  <si>
    <t>#O</t>
  </si>
  <si>
    <t>Neutral Mass</t>
  </si>
  <si>
    <t>[M+NH4]+</t>
  </si>
  <si>
    <t>Sum Composition</t>
  </si>
  <si>
    <t>[M+Na]+</t>
  </si>
  <si>
    <t>[M+H]+</t>
  </si>
  <si>
    <t>#N</t>
  </si>
  <si>
    <t>#P</t>
  </si>
  <si>
    <t>[M+HCOO]-</t>
  </si>
  <si>
    <t>[M+CH3COO]-</t>
  </si>
  <si>
    <t>[M-H]-</t>
  </si>
  <si>
    <t>[M+H-H2O]+</t>
  </si>
  <si>
    <t>Formula</t>
  </si>
  <si>
    <t>PMe(16:0/18:1)</t>
  </si>
  <si>
    <t>Inputs: Compound Name, By total carbons and double bonds</t>
  </si>
  <si>
    <t>Inputs: Compound Name, By acyl constituents</t>
  </si>
  <si>
    <t>Start with the acronym found in the current worksheet (eg. TG, PC, PMe…)</t>
  </si>
  <si>
    <t>Follow with "(", and acyl chains, each denoted by total carbons and unsaturations</t>
  </si>
  <si>
    <t>Inputs: Oxidized Lipids</t>
  </si>
  <si>
    <t>add __O__ for ketone / epoxy addition</t>
  </si>
  <si>
    <t>add __OH__ for hydroxide addition</t>
  </si>
  <si>
    <t>add __OOH__ for hydrogen peroxide addition</t>
  </si>
  <si>
    <t>Just add __COOH__  for a short chain product ending in carboxylic acid</t>
  </si>
  <si>
    <t>Note that there are two underscores "_" on either side</t>
  </si>
  <si>
    <t>Note that there should be NO space after the lipid and the oxidization notation</t>
  </si>
  <si>
    <t>Note: Sheets without inputs</t>
  </si>
  <si>
    <t>This means you cannot put in new names and get new masses and formulas</t>
  </si>
  <si>
    <t>[M+K]+</t>
  </si>
  <si>
    <t>[M+Li]+</t>
  </si>
  <si>
    <t>candice.ulmer@nist.gov</t>
  </si>
  <si>
    <t>jeremykoelmel@gmail.com</t>
  </si>
  <si>
    <t>jared.ragland@nist.gov</t>
  </si>
  <si>
    <t>LipidPioneer</t>
  </si>
  <si>
    <t xml:space="preserve">  Candice Ulmer, PhD*</t>
  </si>
  <si>
    <t xml:space="preserve">  Jeremy Koelmel</t>
  </si>
  <si>
    <t xml:space="preserve">  Jared M. Ragland</t>
  </si>
  <si>
    <t>Please refer questions, bug reports, or suggestions to authors at:</t>
  </si>
  <si>
    <t>Associated with [publication DOI: XXXXXXXXXXXX]</t>
  </si>
  <si>
    <t>7 Sep 2016</t>
  </si>
  <si>
    <t>Instructions</t>
  </si>
  <si>
    <t>Free Fatty Acids</t>
  </si>
  <si>
    <t>DG</t>
  </si>
  <si>
    <t>CL</t>
  </si>
  <si>
    <t>LPA</t>
  </si>
  <si>
    <t>PA</t>
  </si>
  <si>
    <t>LPE</t>
  </si>
  <si>
    <t>PE</t>
  </si>
  <si>
    <t>LPG</t>
  </si>
  <si>
    <t>PG</t>
  </si>
  <si>
    <t>LPI</t>
  </si>
  <si>
    <t>PI</t>
  </si>
  <si>
    <t>LPS</t>
  </si>
  <si>
    <t>PS</t>
  </si>
  <si>
    <t>MGDG</t>
  </si>
  <si>
    <t>Introduction</t>
  </si>
  <si>
    <t>Identify which lipids will be targeted.</t>
  </si>
  <si>
    <t>Step 1</t>
  </si>
  <si>
    <t>Step 2</t>
  </si>
  <si>
    <t>Step 3</t>
  </si>
  <si>
    <t>Step 4</t>
  </si>
  <si>
    <t>Save a copy of this workbook with a meaningful name.  Overwriting the original file may have unintended side effects.</t>
  </si>
  <si>
    <t>Lipid classes are separated into worksheets for convenience.</t>
  </si>
  <si>
    <t>Please enable macros and content if necessary.</t>
  </si>
  <si>
    <t>-</t>
  </si>
  <si>
    <t>As lipids are added to the list on each worksheet, the exact mass of common adducts (listed in each column) are automatically filled using Visual Basic for Applications (VBA) scripting.</t>
  </si>
  <si>
    <t>A single column of names can be pasted without loss of function.</t>
  </si>
  <si>
    <t>Step 5</t>
  </si>
  <si>
    <t>For public beta release under the NIST Software Disclaimer.</t>
  </si>
  <si>
    <t>See the example(s) already populated in each worksheet.</t>
  </si>
  <si>
    <t>Exact masses are automatically calculated for several common adducts during data entry.</t>
  </si>
  <si>
    <t>Supplemental Information</t>
  </si>
  <si>
    <t>Fill each lipid name sequentially in column A of the appropriate lipid class worksheet.  Use the input guidelines listed below (scroll down).</t>
  </si>
  <si>
    <t>Lipid</t>
  </si>
  <si>
    <t>Version 0.9</t>
  </si>
  <si>
    <t>Additional columns should not be added; users doing so assume the responsibility of modifying formulae appropriately.</t>
  </si>
  <si>
    <t>add __CHO__ for a short chain product ending in aldehyde</t>
  </si>
  <si>
    <t>PE_ether</t>
  </si>
  <si>
    <t>Inputs: Ether-Linked Lipids (Compound Name, By acyl constituents)</t>
  </si>
  <si>
    <t>Inputs: Ether-Linked Lipids (Compound Name,By total carbons and double bonds)</t>
  </si>
  <si>
    <t>Note that di- or tri-vinyl ether and ether linked lipids are not supported</t>
  </si>
  <si>
    <t>You can make ANY lipid a long chain or short chain oxidation product</t>
  </si>
  <si>
    <t>The worksheet titled extra, bile acids, and eicosanoids are static libraries</t>
  </si>
  <si>
    <t>Lipid Species</t>
  </si>
  <si>
    <t>Class</t>
  </si>
  <si>
    <t>DG(5:15/18:3)</t>
  </si>
  <si>
    <t xml:space="preserve">  John Bowden, PhD</t>
  </si>
  <si>
    <t>john.bowden@nist.gov</t>
  </si>
  <si>
    <t>CL(1'-[16:1/17:1],3'-[18:2/19:4])__O__</t>
  </si>
  <si>
    <t>tgarrett@ufl.edu</t>
  </si>
  <si>
    <t>To delete an entry, select the lipid species and delete the SHEET ROW using the home tab (Excel ribbon)</t>
  </si>
  <si>
    <t xml:space="preserve">  Timothy Garrett, PhD</t>
  </si>
  <si>
    <t>FA 16:0</t>
  </si>
  <si>
    <t>FA 12:1</t>
  </si>
  <si>
    <t>DG 34:0</t>
  </si>
  <si>
    <t>LPA 16:0</t>
  </si>
  <si>
    <t xml:space="preserve">LPA 18:0 </t>
  </si>
  <si>
    <t>LPE 12:0</t>
  </si>
  <si>
    <t>LPE 14:0</t>
  </si>
  <si>
    <t>LPG 16:0__O__</t>
  </si>
  <si>
    <t>LPG 18:0</t>
  </si>
  <si>
    <t>LPI 16:0</t>
  </si>
  <si>
    <t>LPI 16:1</t>
  </si>
  <si>
    <t>LPS 18:0</t>
  </si>
  <si>
    <t>LPS 18:1</t>
  </si>
  <si>
    <t>PA 48:7</t>
  </si>
  <si>
    <t>PA 32:0</t>
  </si>
  <si>
    <t>PE 19:2</t>
  </si>
  <si>
    <t>PG 32:1</t>
  </si>
  <si>
    <t>PI 32:0</t>
  </si>
  <si>
    <t>PI 32:1</t>
  </si>
  <si>
    <t>PS 32:1</t>
  </si>
  <si>
    <t>PMe 38:0</t>
  </si>
  <si>
    <t>MGDG 36:4__O__</t>
  </si>
  <si>
    <t>CL 68:2</t>
  </si>
  <si>
    <t>FA 20:0</t>
  </si>
  <si>
    <t>PE(16:0_18:1)</t>
  </si>
  <si>
    <t>PS(16:1/18:2)</t>
  </si>
  <si>
    <t>PE P-19:2</t>
  </si>
  <si>
    <t>PE(P-16:0/18:1)</t>
  </si>
  <si>
    <t>PE P-32:1</t>
  </si>
  <si>
    <t>PG O-32:1</t>
  </si>
  <si>
    <t>PG P-32:1</t>
  </si>
  <si>
    <t>PE(18:0/18:2)__CHO__</t>
  </si>
  <si>
    <t>PI (16:0/18:1)__CHO__</t>
  </si>
  <si>
    <t>PS(18:1_18:2)</t>
  </si>
  <si>
    <t>PMe(18:1/18:2)__COOH__</t>
  </si>
  <si>
    <t>PE(P-16:1_18:2)</t>
  </si>
  <si>
    <t>PG(O-16:0/18:2)</t>
  </si>
  <si>
    <t>PG(O-18:1_20:1)</t>
  </si>
  <si>
    <t xml:space="preserve">Start with the acronym found in the worksheet for that lipid type </t>
  </si>
  <si>
    <t>Then add a space, the total carbons and double bonds separated by a colon ":"</t>
  </si>
  <si>
    <t>Each acyl chain can be seperated by an "/" (known fatty acyl chain position)</t>
  </si>
  <si>
    <t>Each acyl chain can be seperated by an "_" (unknown fatty acyl chain position)</t>
  </si>
  <si>
    <t>Each acyl chain can be seperated by an "/" or "_" for known or unknown fatty acyl chain positions</t>
  </si>
  <si>
    <t xml:space="preserve">Start with the the acronym found in the worksheet for that lipid type </t>
  </si>
  <si>
    <t>Follow with the total carbons and double bonds separated by a colon ":"</t>
  </si>
  <si>
    <r>
      <rPr>
        <b/>
        <sz val="11"/>
        <color theme="1"/>
        <rFont val="Calibri"/>
        <family val="2"/>
        <scheme val="minor"/>
      </rPr>
      <t>For example</t>
    </r>
    <r>
      <rPr>
        <sz val="11"/>
        <color theme="1"/>
        <rFont val="Calibri"/>
        <family val="2"/>
        <scheme val="minor"/>
      </rPr>
      <t>: MG 18:0, PC 34:1, PE 34:2, TG 62:4, etc.</t>
    </r>
  </si>
  <si>
    <r>
      <rPr>
        <b/>
        <sz val="11"/>
        <color theme="1"/>
        <rFont val="Calibri"/>
        <family val="2"/>
        <scheme val="minor"/>
      </rPr>
      <t>For example</t>
    </r>
    <r>
      <rPr>
        <sz val="11"/>
        <color theme="1"/>
        <rFont val="Calibri"/>
        <family val="2"/>
        <scheme val="minor"/>
      </rPr>
      <t>: PC(18:0/16:0), PE(20:0_22:6), TG(16:0_18:1_20:1)</t>
    </r>
  </si>
  <si>
    <r>
      <rPr>
        <b/>
        <sz val="11"/>
        <color theme="1"/>
        <rFont val="Calibri"/>
        <family val="2"/>
        <scheme val="minor"/>
      </rPr>
      <t>For example</t>
    </r>
    <r>
      <rPr>
        <sz val="11"/>
        <color theme="1"/>
        <rFont val="Calibri"/>
        <family val="2"/>
        <scheme val="minor"/>
      </rPr>
      <t>: MG P-18:0, PC O-34:1, PE P-34:2, TG P-62:4, etc.</t>
    </r>
  </si>
  <si>
    <r>
      <t>F</t>
    </r>
    <r>
      <rPr>
        <b/>
        <sz val="11"/>
        <color theme="1"/>
        <rFont val="Calibri"/>
        <family val="2"/>
        <scheme val="minor"/>
      </rPr>
      <t>or example</t>
    </r>
    <r>
      <rPr>
        <sz val="11"/>
        <color theme="1"/>
        <rFont val="Calibri"/>
        <family val="2"/>
        <scheme val="minor"/>
      </rPr>
      <t>: PC(P-16:0_18:0), PE(O-16:1/18:2), TG(O-16:0_18:1_18:3)</t>
    </r>
  </si>
  <si>
    <r>
      <rPr>
        <b/>
        <sz val="11"/>
        <color theme="1"/>
        <rFont val="Calibri"/>
        <family val="2"/>
        <scheme val="minor"/>
      </rPr>
      <t>For example</t>
    </r>
    <r>
      <rPr>
        <sz val="11"/>
        <color theme="1"/>
        <rFont val="Calibri"/>
        <family val="2"/>
        <scheme val="minor"/>
      </rPr>
      <t>: PC(18:0/18:0)__OH__, PE(16:0/18:0)__COH, DG 34:1__OOH__O__</t>
    </r>
  </si>
  <si>
    <t>Then add a space and a "P-" for plasmenyl ethers and "O-" for plasmanyl ethers</t>
  </si>
  <si>
    <t>The first acyl chain should start with a "P-" for plasmenyl ethers and "O-" for plasmanyl ethers</t>
  </si>
  <si>
    <t xml:space="preserve">Disclaimer: </t>
  </si>
  <si>
    <t>It is possible to generate exact masses for lipids that are not biologically possible.</t>
  </si>
  <si>
    <t>A detailed review of the biology is critical to ensure that the lipid identified is possible.</t>
  </si>
  <si>
    <t>See the following references for biologically-relevant lipid restraints:</t>
  </si>
  <si>
    <t>Mammalian lipid fatty acyl chains generally contain 0-6 degrees of unsaturation and 12-22 carbons.</t>
  </si>
  <si>
    <t>Shevchenko, A. et. al. Nat. Rev. Mol. Cell Biol. 11, 593-598 (2010)</t>
  </si>
  <si>
    <t>Domingues, M.R.M. et. al. Chem. Phys. Lipids. 156, 1-12 (2008)</t>
  </si>
  <si>
    <t xml:space="preserve">LipidPioneer templates are fluid and user-modifiable to account for multiple sample matrices. </t>
  </si>
  <si>
    <t>Sparvero, L.J. et. al.  J. Neurochem. 115, 1322-1336 (2010)</t>
  </si>
  <si>
    <t>Spickett, C.M. et. al. Antioxid. Redox Signal. 22, 1646-1666 (2015)</t>
  </si>
  <si>
    <t>Stutts, W.L. et. al. Anal. Chem. 85, 11410-11419 (2013)</t>
  </si>
  <si>
    <t>CL 48:0</t>
  </si>
  <si>
    <t>CL 60:0</t>
  </si>
  <si>
    <t>CL 56:0</t>
  </si>
  <si>
    <t>CL 49:0</t>
  </si>
  <si>
    <t>CL 50:0</t>
  </si>
  <si>
    <t>CL 51:0</t>
  </si>
  <si>
    <t>CL 52:0</t>
  </si>
  <si>
    <t>CL 53:0</t>
  </si>
  <si>
    <t>CL 54:0</t>
  </si>
  <si>
    <t>CL 55:0</t>
  </si>
  <si>
    <t>CL 57:0</t>
  </si>
  <si>
    <t>CL 58:0</t>
  </si>
  <si>
    <t>CL 59:0</t>
  </si>
  <si>
    <t>CL 61:0</t>
  </si>
  <si>
    <t>CL 62:0</t>
  </si>
  <si>
    <t>CL 63:0</t>
  </si>
  <si>
    <t>CL 64:0</t>
  </si>
  <si>
    <t>CL 65:0</t>
  </si>
  <si>
    <t>CL 66:0</t>
  </si>
  <si>
    <t>CL 67:0</t>
  </si>
  <si>
    <t>CL 68:0</t>
  </si>
  <si>
    <t>CL 69:0</t>
  </si>
  <si>
    <t>CL 70:0</t>
  </si>
  <si>
    <t>CL 71:0</t>
  </si>
  <si>
    <t>CL 72:0</t>
  </si>
  <si>
    <t>CL 64:2</t>
  </si>
  <si>
    <t>[M-2H]-2</t>
  </si>
  <si>
    <t>CL 56:1</t>
  </si>
  <si>
    <t>CL 59:1</t>
  </si>
  <si>
    <t>CL 67:1</t>
  </si>
  <si>
    <t>CL 66:1</t>
  </si>
  <si>
    <t>CL 65:1</t>
  </si>
  <si>
    <t>CL 64:1</t>
  </si>
  <si>
    <t>CL 63:1</t>
  </si>
  <si>
    <t>CL 62:1</t>
  </si>
  <si>
    <t>CL 61:1</t>
  </si>
  <si>
    <t>CL 60:1</t>
  </si>
  <si>
    <t>CL 58:1</t>
  </si>
  <si>
    <t>CL 57:1</t>
  </si>
  <si>
    <t>CL 55:1</t>
  </si>
  <si>
    <t>CL 54:1</t>
  </si>
  <si>
    <t>CL 53:1</t>
  </si>
  <si>
    <t>CL 52:1</t>
  </si>
  <si>
    <t>CL 51:1</t>
  </si>
  <si>
    <t>CL 50:1</t>
  </si>
  <si>
    <t>CL 49:1</t>
  </si>
  <si>
    <t>CL 48:1</t>
  </si>
  <si>
    <t>CL 68:1</t>
  </si>
  <si>
    <t>CL 69:1</t>
  </si>
  <si>
    <t>CL 70:1</t>
  </si>
  <si>
    <t>CL 71:1</t>
  </si>
  <si>
    <t>CL 72:1</t>
  </si>
  <si>
    <t>CL 57:2</t>
  </si>
  <si>
    <t>CL 58:2</t>
  </si>
  <si>
    <t>CL 59:2</t>
  </si>
  <si>
    <t>CL 60:2</t>
  </si>
  <si>
    <t>CL 61:2</t>
  </si>
  <si>
    <t>CL 62:2</t>
  </si>
  <si>
    <t>CL 63:2</t>
  </si>
  <si>
    <t>CL 65:2</t>
  </si>
  <si>
    <t>CL 66:2</t>
  </si>
  <si>
    <t>CL 67:2</t>
  </si>
  <si>
    <t>CL 69:2</t>
  </si>
  <si>
    <t>CL 70:2</t>
  </si>
  <si>
    <t>CL 71:2</t>
  </si>
  <si>
    <t>CL 72:2</t>
  </si>
  <si>
    <t>CL 48:2</t>
  </si>
  <si>
    <t>CL 49:2</t>
  </si>
  <si>
    <t>CL 50:2</t>
  </si>
  <si>
    <t>CL 51:2</t>
  </si>
  <si>
    <t>CL 52:2</t>
  </si>
  <si>
    <t>CL 53:2</t>
  </si>
  <si>
    <t>CL 54:2</t>
  </si>
  <si>
    <t>CL 55:2</t>
  </si>
  <si>
    <t>CL 56:2</t>
  </si>
  <si>
    <t>CL 47:0</t>
  </si>
  <si>
    <t>CL 47:1</t>
  </si>
  <si>
    <t>CL 47:2</t>
  </si>
  <si>
    <t>CL 46:2</t>
  </si>
  <si>
    <t>CL 46:1</t>
  </si>
  <si>
    <t>CL 46:0</t>
  </si>
  <si>
    <t>CL 59:3</t>
  </si>
  <si>
    <t>CL 68:3</t>
  </si>
  <si>
    <t>CL 69:3</t>
  </si>
  <si>
    <t>CL 70:3</t>
  </si>
  <si>
    <t>CL 67:3</t>
  </si>
  <si>
    <t>CL 65:3</t>
  </si>
  <si>
    <t>CL 71:3</t>
  </si>
  <si>
    <t>CL 67:4</t>
  </si>
  <si>
    <t>CL 69:4</t>
  </si>
  <si>
    <t>CL 72:3</t>
  </si>
  <si>
    <t>CL 72:4</t>
  </si>
  <si>
    <t>CL 64:3</t>
  </si>
  <si>
    <t>CL 63:3</t>
  </si>
  <si>
    <t>CL 66:3</t>
  </si>
  <si>
    <t>CL 66:4</t>
  </si>
  <si>
    <t>CL 65:4</t>
  </si>
  <si>
    <t>CL 61:3</t>
  </si>
  <si>
    <t>CL 67:5</t>
  </si>
  <si>
    <t>CL 62:3</t>
  </si>
  <si>
    <t>CL 64:4</t>
  </si>
  <si>
    <t>CL 68:4</t>
  </si>
  <si>
    <t>CL 68:5</t>
  </si>
  <si>
    <t>CL 69:5</t>
  </si>
  <si>
    <t>CL 63:4</t>
  </si>
  <si>
    <t>CL 70:4</t>
  </si>
  <si>
    <t>CL 70:5</t>
  </si>
  <si>
    <t>CL 66:5</t>
  </si>
  <si>
    <t>CL 65:5</t>
  </si>
  <si>
    <t>CL 73:0</t>
  </si>
  <si>
    <t>CL 73:1</t>
  </si>
  <si>
    <t>CL 73:2</t>
  </si>
  <si>
    <t>CL 73:3</t>
  </si>
  <si>
    <t>CL 51:3</t>
  </si>
  <si>
    <t>MGDG 25:0</t>
  </si>
  <si>
    <t>MGDG 26:0</t>
  </si>
  <si>
    <t>MGDG 27:0</t>
  </si>
  <si>
    <t>MGDG 28:2</t>
  </si>
  <si>
    <t>MGDG 28:1</t>
  </si>
  <si>
    <t>MGDG 28:0</t>
  </si>
  <si>
    <t>MGDG 29:2</t>
  </si>
  <si>
    <t>MGDG 29:1</t>
  </si>
  <si>
    <t>MGDG 29:0</t>
  </si>
  <si>
    <t>MGDG 30:0</t>
  </si>
  <si>
    <t>MGDG 31:0</t>
  </si>
  <si>
    <t>MGDG 32:0</t>
  </si>
  <si>
    <t>MGDG 33:0</t>
  </si>
  <si>
    <t>MGDG 34:0</t>
  </si>
  <si>
    <t>MGDG 35:0</t>
  </si>
  <si>
    <t>MGDG 36:0</t>
  </si>
  <si>
    <t>MGDG 37:0</t>
  </si>
  <si>
    <t>MGDG 38:0</t>
  </si>
  <si>
    <t>PG P-35:1</t>
  </si>
  <si>
    <t>PG P-36:0</t>
  </si>
  <si>
    <t>PG P-32:2</t>
  </si>
  <si>
    <t>PG P-34:1</t>
  </si>
  <si>
    <t>PG P-36:2</t>
  </si>
  <si>
    <t>PG P-29:0</t>
  </si>
  <si>
    <t>PG P-30:0</t>
  </si>
  <si>
    <t>PG P-31:0</t>
  </si>
  <si>
    <t>PG P-32:0</t>
  </si>
  <si>
    <t>PG P-33:0</t>
  </si>
  <si>
    <t>PG P-34:0</t>
  </si>
  <si>
    <t>PG P-35:0</t>
  </si>
  <si>
    <t>PG P-31:1</t>
  </si>
  <si>
    <t>PG P-31:2</t>
  </si>
  <si>
    <t>PG P-31:3</t>
  </si>
  <si>
    <t>PG P-35:2</t>
  </si>
  <si>
    <t>PG P-35:3</t>
  </si>
  <si>
    <t>PG P-33:1</t>
  </si>
  <si>
    <t>PG 28:0</t>
  </si>
  <si>
    <t>PG 29:0</t>
  </si>
  <si>
    <t>PG 30:0</t>
  </si>
  <si>
    <t>PG 31:0</t>
  </si>
  <si>
    <t>PG 32:0</t>
  </si>
  <si>
    <t>PG 33:0</t>
  </si>
  <si>
    <t>PG 34:0</t>
  </si>
  <si>
    <t>PG 35:0</t>
  </si>
  <si>
    <t>PG 36:0</t>
  </si>
  <si>
    <t>PG 37:0</t>
  </si>
  <si>
    <t>PG 38:0</t>
  </si>
  <si>
    <t>PG 27:0</t>
  </si>
  <si>
    <t>PG 26:0</t>
  </si>
  <si>
    <t>FA 10:0</t>
  </si>
  <si>
    <t>FA 11:0</t>
  </si>
  <si>
    <t>FA 12:0</t>
  </si>
  <si>
    <t>FA 13:0</t>
  </si>
  <si>
    <t>FA 14:0</t>
  </si>
  <si>
    <t>FA 15:0</t>
  </si>
  <si>
    <t>FA 17:0</t>
  </si>
  <si>
    <t>FA 18:0</t>
  </si>
  <si>
    <t>FA 19:0</t>
  </si>
  <si>
    <t>FA 21:0</t>
  </si>
  <si>
    <t>FA 22:0</t>
  </si>
  <si>
    <t>FA 16:1</t>
  </si>
  <si>
    <t>FA 17:1</t>
  </si>
  <si>
    <t>FA 18:1</t>
  </si>
  <si>
    <t>FA 19:1</t>
  </si>
  <si>
    <t>FA 20:1</t>
  </si>
  <si>
    <t>FA 21:1</t>
  </si>
  <si>
    <t>FA 22:1</t>
  </si>
  <si>
    <t>FA 15:1</t>
  </si>
  <si>
    <t>FA 14:1</t>
  </si>
  <si>
    <t>FA 10:1</t>
  </si>
  <si>
    <t>FA 11:1</t>
  </si>
  <si>
    <t>FA 13:1</t>
  </si>
  <si>
    <t>LysylPG (14:0/16:0)</t>
  </si>
  <si>
    <t>LysylPG 37:0</t>
  </si>
  <si>
    <t>DGDG 34:0</t>
  </si>
  <si>
    <t>DGDG 25:0</t>
  </si>
  <si>
    <t>DGDG 26:0</t>
  </si>
  <si>
    <t>DGDG 27:0</t>
  </si>
  <si>
    <t>DGDG 28:2</t>
  </si>
  <si>
    <t>DGDG 28:1</t>
  </si>
  <si>
    <t>DGDG 28:0</t>
  </si>
  <si>
    <t>DGDG 29:2</t>
  </si>
  <si>
    <t>DGDG 29:1</t>
  </si>
  <si>
    <t>DGDG 29:0</t>
  </si>
  <si>
    <t>DGDG 30:2</t>
  </si>
  <si>
    <t>DGDG 30:1</t>
  </si>
  <si>
    <t>DGDG 30:0</t>
  </si>
  <si>
    <t>DGDG 31:3</t>
  </si>
  <si>
    <t>DGDG 31:2</t>
  </si>
  <si>
    <t>DGDG 31:1</t>
  </si>
  <si>
    <t>DGDG 31:0</t>
  </si>
  <si>
    <t>DGDG 32:2</t>
  </si>
  <si>
    <t>DGDG 32:1</t>
  </si>
  <si>
    <t>DGDG 32:0</t>
  </si>
  <si>
    <t>DGDG 33:2</t>
  </si>
  <si>
    <t>DGDG 33:1</t>
  </si>
  <si>
    <t>DGDG 33:0</t>
  </si>
  <si>
    <t>DGDG 34:2</t>
  </si>
  <si>
    <t>DGDG 34:1</t>
  </si>
  <si>
    <t>DGDG 35:2</t>
  </si>
  <si>
    <t>DGDG 35:1</t>
  </si>
  <si>
    <t>DGDG 35:0</t>
  </si>
  <si>
    <t>DGDG 36:2</t>
  </si>
  <si>
    <t>DGDG 36:1</t>
  </si>
  <si>
    <t>DGDG 36:0</t>
  </si>
  <si>
    <t>DGDG 37:2</t>
  </si>
  <si>
    <t>DGDG 37:1</t>
  </si>
  <si>
    <t>DGDG 37:0</t>
  </si>
  <si>
    <t>DGDG 38:2</t>
  </si>
  <si>
    <t>DGDG 38:1</t>
  </si>
  <si>
    <t>DGDG 38:0</t>
  </si>
  <si>
    <t>DGDG</t>
  </si>
  <si>
    <t>LysylPG</t>
  </si>
  <si>
    <t>LysylPG 38:0</t>
  </si>
  <si>
    <t>LysylPG 28:0</t>
  </si>
  <si>
    <t>LysylPG 29:0</t>
  </si>
  <si>
    <t>LysylPG 30:0</t>
  </si>
  <si>
    <t>LysylPG 31:0</t>
  </si>
  <si>
    <t>LysylPG 32:0</t>
  </si>
  <si>
    <t>LysylPG 33:0</t>
  </si>
  <si>
    <t>LysylPG 34:0</t>
  </si>
  <si>
    <t>LysylPG 35:0</t>
  </si>
  <si>
    <t>LysylPG 36:0</t>
  </si>
  <si>
    <t>DGDG 39:0</t>
  </si>
  <si>
    <t>LysylPG 27:0</t>
  </si>
  <si>
    <t>LysylPG 26:0</t>
  </si>
  <si>
    <t>LysylPG 25:0</t>
  </si>
  <si>
    <t>LysylPG 24:0</t>
  </si>
  <si>
    <t>LysylPG 23:0</t>
  </si>
  <si>
    <t>LysylPG 22:0</t>
  </si>
  <si>
    <t>LysylPG 25:1</t>
  </si>
  <si>
    <t>LysylPG 32:1</t>
  </si>
  <si>
    <t>LysylPG 35:1</t>
  </si>
  <si>
    <t>LysylPG 30:1</t>
  </si>
  <si>
    <t>PG 25:0</t>
  </si>
  <si>
    <t>PG 24:0</t>
  </si>
  <si>
    <t>PE 24:0</t>
  </si>
  <si>
    <t>PE 25:0</t>
  </si>
  <si>
    <t>PE 26:0</t>
  </si>
  <si>
    <t>PE 27:0</t>
  </si>
  <si>
    <t>PE 28:0</t>
  </si>
  <si>
    <t>PE 29:0</t>
  </si>
  <si>
    <t>PE 30:0</t>
  </si>
  <si>
    <t>PE 31:0</t>
  </si>
  <si>
    <t>PE 32:0</t>
  </si>
  <si>
    <t>PE 33:0</t>
  </si>
  <si>
    <t>PE 34:0</t>
  </si>
  <si>
    <t>PE 35:0</t>
  </si>
  <si>
    <t>PE 36:0</t>
  </si>
  <si>
    <t>PE 37:0</t>
  </si>
  <si>
    <t>PE 38:0</t>
  </si>
  <si>
    <t>PE 35:1</t>
  </si>
  <si>
    <t>LPA 12:0</t>
  </si>
  <si>
    <t>LPA 13:0</t>
  </si>
  <si>
    <t>LPA 14:0</t>
  </si>
  <si>
    <t>LPA 15:0</t>
  </si>
  <si>
    <t>LPA 17:0</t>
  </si>
  <si>
    <t>LPA 18:0</t>
  </si>
  <si>
    <t>LPA 19:0</t>
  </si>
  <si>
    <t>LPA 20:0</t>
  </si>
  <si>
    <t>LPA 17:1</t>
  </si>
  <si>
    <t>LPE 21:0</t>
  </si>
  <si>
    <t>LPE 21:1</t>
  </si>
  <si>
    <t>[M+Cl]-</t>
  </si>
  <si>
    <t>LPE 13:0</t>
  </si>
  <si>
    <t>LPE 15:0</t>
  </si>
  <si>
    <t>LPE 16:0</t>
  </si>
  <si>
    <t>LPE 17:0</t>
  </si>
  <si>
    <t>LPE 17:1</t>
  </si>
  <si>
    <t>LPE 18:0</t>
  </si>
  <si>
    <t>LPE 18:1</t>
  </si>
  <si>
    <t>LPE 19:0</t>
  </si>
  <si>
    <t>LPE 19:1</t>
  </si>
  <si>
    <t>LPE 20:0</t>
  </si>
  <si>
    <t>LPE 20:1</t>
  </si>
  <si>
    <t>LPE 22:0</t>
  </si>
  <si>
    <t>LPE 22:1</t>
  </si>
  <si>
    <t>LPE 23:0</t>
  </si>
  <si>
    <t>LPG 16:0</t>
  </si>
  <si>
    <t>LPG 16:1</t>
  </si>
  <si>
    <t>LPG 18:1</t>
  </si>
  <si>
    <t>LPG 14:0</t>
  </si>
  <si>
    <t>LPE 23:1</t>
  </si>
  <si>
    <t>LPE 24:1</t>
  </si>
  <si>
    <t>LPE 24:2</t>
  </si>
  <si>
    <t>LPE 25:0</t>
  </si>
  <si>
    <t>LPE 24:4</t>
  </si>
  <si>
    <t>LPE 22:6</t>
  </si>
  <si>
    <t>LPE 20:4</t>
  </si>
  <si>
    <t>PA 33:0</t>
  </si>
  <si>
    <t>FA 23:0</t>
  </si>
  <si>
    <t>FA 24:0</t>
  </si>
  <si>
    <t>CL 72:8</t>
  </si>
  <si>
    <t>CL 72:7</t>
  </si>
  <si>
    <t>CL 72:6</t>
  </si>
  <si>
    <t>CL 72:5</t>
  </si>
  <si>
    <t>PA 24:0</t>
  </si>
  <si>
    <t>PS 24:0</t>
  </si>
  <si>
    <t>PG 34:2</t>
  </si>
  <si>
    <t>PE 34:2</t>
  </si>
  <si>
    <t>PE 32:1</t>
  </si>
  <si>
    <t>PE 36:2</t>
  </si>
  <si>
    <t>PE 38:2</t>
  </si>
  <si>
    <t>LPE 16:1</t>
  </si>
  <si>
    <t>PG 29:1</t>
  </si>
  <si>
    <t>PG 30:1</t>
  </si>
  <si>
    <t>PG 31:1</t>
  </si>
  <si>
    <t>PG 33:1</t>
  </si>
  <si>
    <t>PG 34:1</t>
  </si>
  <si>
    <t>PG 35:1</t>
  </si>
  <si>
    <t>PG 36:1</t>
  </si>
  <si>
    <t>PG 29:2</t>
  </si>
  <si>
    <t>PG 30:2</t>
  </si>
  <si>
    <t>PG 31:2</t>
  </si>
  <si>
    <t>PG 32:2</t>
  </si>
  <si>
    <t>PG 33:2</t>
  </si>
  <si>
    <t>PG 35:2</t>
  </si>
  <si>
    <t>PG 36:2</t>
  </si>
  <si>
    <t>PG 37:1</t>
  </si>
  <si>
    <t>PG 38:1</t>
  </si>
  <si>
    <t>PG 37:2</t>
  </si>
  <si>
    <t>PG 38:2</t>
  </si>
  <si>
    <t>PG 29:3</t>
  </si>
  <si>
    <t>PG 30:3</t>
  </si>
  <si>
    <t>PG 31:3</t>
  </si>
  <si>
    <t>PG 33:3</t>
  </si>
  <si>
    <t>PG 34:3</t>
  </si>
  <si>
    <t>PG 35:3</t>
  </si>
  <si>
    <t>PG 36:3</t>
  </si>
  <si>
    <t>PG 37:3</t>
  </si>
  <si>
    <t>PG 38:3</t>
  </si>
  <si>
    <t>PE 28:2</t>
  </si>
  <si>
    <t>PE 28:1</t>
  </si>
  <si>
    <t>PE 29:2</t>
  </si>
  <si>
    <t>PE 29:1</t>
  </si>
  <si>
    <t>PE 30:2</t>
  </si>
  <si>
    <t>PE 30:1</t>
  </si>
  <si>
    <t>PE 31:2</t>
  </si>
  <si>
    <t>PE 31:1</t>
  </si>
  <si>
    <t>PE 32:2</t>
  </si>
  <si>
    <t>PE 33:2</t>
  </si>
  <si>
    <t>PE 33:1</t>
  </si>
  <si>
    <t>PE 34:1</t>
  </si>
  <si>
    <t>PE 35:2</t>
  </si>
  <si>
    <t>PE 36:1</t>
  </si>
  <si>
    <t>PE 37:2</t>
  </si>
  <si>
    <t>PE 37:1</t>
  </si>
  <si>
    <t>PE 38:1</t>
  </si>
  <si>
    <t>PA 20:0</t>
  </si>
  <si>
    <t>PA 21:0</t>
  </si>
  <si>
    <t>PA 22:0</t>
  </si>
  <si>
    <t>PA 23:0</t>
  </si>
  <si>
    <t>PA 25:0</t>
  </si>
  <si>
    <t>PA 26:0</t>
  </si>
  <si>
    <t>PA 27:0</t>
  </si>
  <si>
    <t>PA 28:0</t>
  </si>
  <si>
    <t>PA 29:0</t>
  </si>
  <si>
    <t>PA 30:0</t>
  </si>
  <si>
    <t>PA 31:0</t>
  </si>
  <si>
    <t>PA 34:0</t>
  </si>
  <si>
    <t>PA 35:0</t>
  </si>
  <si>
    <t>PA 36:0</t>
  </si>
  <si>
    <t>PA 30:1</t>
  </si>
  <si>
    <t>PA 31:1</t>
  </si>
  <si>
    <t>PA 32:1</t>
  </si>
  <si>
    <t>PA 33:1</t>
  </si>
  <si>
    <t>PA 34:1</t>
  </si>
  <si>
    <t>PA 35:1</t>
  </si>
  <si>
    <t>PA 36:1</t>
  </si>
  <si>
    <t>PA 30:2</t>
  </si>
  <si>
    <t>PA 31:2</t>
  </si>
  <si>
    <t>PA 32:2</t>
  </si>
  <si>
    <t>PA 33:2</t>
  </si>
  <si>
    <t>PA 34:2</t>
  </si>
  <si>
    <t>PA 35:2</t>
  </si>
  <si>
    <t>PA 36:2</t>
  </si>
  <si>
    <t>PA 32:3</t>
  </si>
  <si>
    <t>LPG 15:0</t>
  </si>
  <si>
    <t>LPG 17:0</t>
  </si>
  <si>
    <t>LPG 17:1</t>
  </si>
  <si>
    <t>LPG 15:1</t>
  </si>
  <si>
    <t>LPG 14:1</t>
  </si>
  <si>
    <t>LysylPG 31:1</t>
  </si>
  <si>
    <t>LysylPG 33:1</t>
  </si>
  <si>
    <t>LysylPG 34:1</t>
  </si>
  <si>
    <t>LysylPG 36:1</t>
  </si>
  <si>
    <t>LysylPG 37:1</t>
  </si>
  <si>
    <t>LysylPG 38:1</t>
  </si>
  <si>
    <t>LysylPG 30:2</t>
  </si>
  <si>
    <t>LysylPG 31:2</t>
  </si>
  <si>
    <t>LysylPG 32:2</t>
  </si>
  <si>
    <t>LysylPG 33:2</t>
  </si>
  <si>
    <t>LysylPG 34:2</t>
  </si>
  <si>
    <t>LysylPG 35:2</t>
  </si>
  <si>
    <t>LysylPG 36:2</t>
  </si>
  <si>
    <t>[M-H-H2O]-</t>
  </si>
  <si>
    <t>FA 14:2</t>
  </si>
  <si>
    <t>FA 15:2</t>
  </si>
  <si>
    <t>FA 16:2</t>
  </si>
  <si>
    <t>FA 17:2</t>
  </si>
  <si>
    <t>FA 18:2</t>
  </si>
  <si>
    <t>FA 19:2</t>
  </si>
  <si>
    <t>FA 20:2</t>
  </si>
  <si>
    <t>FA 20:4</t>
  </si>
  <si>
    <t>MGDG 32:1</t>
  </si>
  <si>
    <t>LPG 19:0</t>
  </si>
  <si>
    <t>LPG 20:0</t>
  </si>
  <si>
    <t>LPG 21:0</t>
  </si>
  <si>
    <t>LPG 22:0</t>
  </si>
  <si>
    <t>LPG 19:1</t>
  </si>
  <si>
    <t>DG 30:2</t>
  </si>
  <si>
    <t>DG 30:1</t>
  </si>
  <si>
    <t>DG 30:0</t>
  </si>
  <si>
    <t>DG 31:2</t>
  </si>
  <si>
    <t>DG 31:1</t>
  </si>
  <si>
    <t>DG 31:0</t>
  </si>
  <si>
    <t>DG 32:2</t>
  </si>
  <si>
    <t>DG 32:1</t>
  </si>
  <si>
    <t>DG 32:0</t>
  </si>
  <si>
    <t>DG 33:2</t>
  </si>
  <si>
    <t>DG 33:1</t>
  </si>
  <si>
    <t>DG 33:0</t>
  </si>
  <si>
    <t>DG 34:2</t>
  </si>
  <si>
    <t>DG 34:1</t>
  </si>
  <si>
    <t>DG 35:2</t>
  </si>
  <si>
    <t>DG 35:1</t>
  </si>
  <si>
    <t>DG 35:0</t>
  </si>
  <si>
    <t>DG 36:2</t>
  </si>
  <si>
    <t>DG 36:1</t>
  </si>
  <si>
    <t>DG 36:0</t>
  </si>
  <si>
    <t>AcylPG 54:1</t>
  </si>
  <si>
    <t>AcylPG 54:2</t>
  </si>
  <si>
    <t>AcylPG 52:2</t>
  </si>
  <si>
    <t>AcylPG 50:2</t>
  </si>
  <si>
    <t>AcylPG 50:1</t>
  </si>
  <si>
    <t>AcylPG 48:2</t>
  </si>
  <si>
    <t>AcylPG 49:2</t>
  </si>
  <si>
    <t>AcylPG 47:2</t>
  </si>
  <si>
    <t>AcylPG 46:2</t>
  </si>
  <si>
    <t>AcylPG 45:2</t>
  </si>
  <si>
    <t>AcylPG 45:1</t>
  </si>
  <si>
    <t>AcylPG 51:2</t>
  </si>
  <si>
    <t>AcylPG 53:2</t>
  </si>
  <si>
    <t>AcylPG 54:3</t>
  </si>
  <si>
    <t>AcylPG 53:3</t>
  </si>
  <si>
    <t>AcylPG 52:3</t>
  </si>
  <si>
    <t>FA 20:3</t>
  </si>
  <si>
    <t>AcylPG 48:1</t>
  </si>
  <si>
    <t>AcylPG 46:1</t>
  </si>
  <si>
    <t>AcylPG 47:1</t>
  </si>
  <si>
    <t>AcylPG 49:1</t>
  </si>
  <si>
    <t>AcylPG 51:1</t>
  </si>
  <si>
    <t>AcylPG 51:3</t>
  </si>
  <si>
    <t>AcylPE 49:1</t>
  </si>
  <si>
    <t>AcylPE 46:1</t>
  </si>
  <si>
    <t>AcylPE 47:1</t>
  </si>
  <si>
    <t>AcylPE 48:1</t>
  </si>
  <si>
    <t>AcylPE 50:1</t>
  </si>
  <si>
    <t>AcylPE 51:1</t>
  </si>
  <si>
    <t>AcylPE 52:1</t>
  </si>
  <si>
    <t>AcylPE 52:2</t>
  </si>
  <si>
    <t>AcylPE 51:2</t>
  </si>
  <si>
    <t>AcylPE 50:2</t>
  </si>
  <si>
    <t>PE 32:3</t>
  </si>
  <si>
    <t>PE 36:3</t>
  </si>
  <si>
    <t>PE 37:3</t>
  </si>
  <si>
    <t>LPE 15:1</t>
  </si>
  <si>
    <t>[M+2NH4]2+</t>
  </si>
  <si>
    <t>[M+2Na]2+</t>
  </si>
  <si>
    <t>[M+2K]2+</t>
  </si>
  <si>
    <t>[M+H+Na]2+</t>
  </si>
  <si>
    <t>[M+H+K]2+</t>
  </si>
  <si>
    <t>CL 69:6</t>
  </si>
  <si>
    <t>PI 36:1</t>
  </si>
  <si>
    <t>PI 38:1</t>
  </si>
  <si>
    <t>FA 22:2</t>
  </si>
  <si>
    <t>PE P-36:2</t>
  </si>
  <si>
    <t>PE P-38:2</t>
  </si>
  <si>
    <t>PE 36:4</t>
  </si>
  <si>
    <t>LPS 14:0</t>
  </si>
  <si>
    <t>MGDG 30:1</t>
  </si>
  <si>
    <t>MGDG 32:2</t>
  </si>
  <si>
    <t>MGDG 34:2</t>
  </si>
  <si>
    <t>MGDG 34:1</t>
  </si>
  <si>
    <t>MGDG 35:2</t>
  </si>
  <si>
    <t>MGDG 35:1</t>
  </si>
  <si>
    <t>MGDG 36:2</t>
  </si>
  <si>
    <t>MGDG 36:1</t>
  </si>
  <si>
    <t>MGDG 37:2</t>
  </si>
  <si>
    <t>MGDG 37:1</t>
  </si>
  <si>
    <t>MGDG 38:2</t>
  </si>
  <si>
    <t>MGDG 38:1</t>
  </si>
  <si>
    <t>LysylPG 37:2</t>
  </si>
  <si>
    <t>LysylPG 38:2</t>
  </si>
  <si>
    <t>FA 9:0</t>
  </si>
  <si>
    <t>PA 37:0</t>
  </si>
  <si>
    <t>FA 18:0__OH__</t>
  </si>
  <si>
    <t>LPG 23:0</t>
  </si>
  <si>
    <t>LPG 24:0</t>
  </si>
  <si>
    <t>LPG 25:0</t>
  </si>
  <si>
    <t>PS(18:1/18:1)</t>
  </si>
  <si>
    <t>MGDG 33:1</t>
  </si>
  <si>
    <t>PG 28:1</t>
  </si>
  <si>
    <t>LysylPG 29:1</t>
  </si>
  <si>
    <t>FA 20:0__OH__</t>
  </si>
  <si>
    <t>FA 22:0__OH__</t>
  </si>
  <si>
    <t>PI 30:0</t>
  </si>
  <si>
    <t>PI 31:0</t>
  </si>
  <si>
    <t>PI 33:0</t>
  </si>
  <si>
    <t>PI 34:0</t>
  </si>
  <si>
    <t>PI 35:0</t>
  </si>
  <si>
    <t>Acyl PG</t>
  </si>
  <si>
    <t>Acyl PE</t>
  </si>
  <si>
    <t>BACTERIA VERSION</t>
  </si>
  <si>
    <t>Modified by Kelly M. Hines</t>
  </si>
  <si>
    <r>
      <t xml:space="preserve">A community data tool to support lipidomics data workflows, used to generate exact masses for common adducts resulting from MS and MS/MS analysis of targeted lipids. 
</t>
    </r>
    <r>
      <rPr>
        <sz val="10"/>
        <color rgb="FFFF0000"/>
        <rFont val="Arial Rounded MT Bold"/>
        <family val="2"/>
      </rPr>
      <t xml:space="preserve">Please cite:  C. Z. Ulmer et al., </t>
    </r>
    <r>
      <rPr>
        <i/>
        <sz val="10"/>
        <color rgb="FFFF0000"/>
        <rFont val="Arial Rounded MT Bold"/>
        <family val="2"/>
      </rPr>
      <t>J. Am. Soc. Mass Spectrom.</t>
    </r>
    <r>
      <rPr>
        <sz val="10"/>
        <color rgb="FFFF0000"/>
        <rFont val="Arial Rounded MT Bold"/>
        <family val="2"/>
      </rPr>
      <t xml:space="preserve"> 2017, 28, 3, 562–565. doi.org/10.1007/s13361-016-1579-6</t>
    </r>
  </si>
  <si>
    <t>kelly.hines@uga.edu</t>
  </si>
  <si>
    <t>University of Georgia</t>
  </si>
  <si>
    <t>DG 28:0</t>
  </si>
  <si>
    <t>DG 29:0</t>
  </si>
  <si>
    <t>AcylPG 52:1</t>
  </si>
  <si>
    <t>AcylPG 53:1</t>
  </si>
  <si>
    <t>AcylPE 45:2</t>
  </si>
  <si>
    <t>AcylPE 45:1</t>
  </si>
  <si>
    <t>AcylPE 46:2</t>
  </si>
  <si>
    <t>AcylPE 47:2</t>
  </si>
  <si>
    <t>AcylPE 48:2</t>
  </si>
  <si>
    <t>AcylPE 49:2</t>
  </si>
  <si>
    <t>AcylPE 51:3</t>
  </si>
  <si>
    <t>AcylPE 52:3</t>
  </si>
  <si>
    <t>AcylPE 53:3</t>
  </si>
  <si>
    <t>AcylPE 53:2</t>
  </si>
  <si>
    <t>AcylPE 53:1</t>
  </si>
  <si>
    <t>AcylPE 54:3</t>
  </si>
  <si>
    <t>AcylPE 54:2</t>
  </si>
  <si>
    <t>AcylPE 54:1</t>
  </si>
  <si>
    <t>MGDG 30:2</t>
  </si>
  <si>
    <t>MGDG 31:2</t>
  </si>
  <si>
    <t>MGDG 31:1</t>
  </si>
  <si>
    <t>MGDG 33:2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</si>
</sst>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0000"/>
    <numFmt numFmtId="166" formatCode="0.0000"/>
    <numFmt numFmtId="167" formatCode="0.000000"/>
  </numFmts>
  <fonts count="28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Arial Rounded MT Bold"/>
      <family val="2"/>
    </font>
    <font>
      <b/>
      <sz val="20"/>
      <color theme="3"/>
      <name val="Arial Black"/>
      <family val="2"/>
    </font>
    <font>
      <sz val="14"/>
      <color rgb="FFFFFFFF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2"/>
      <color theme="0"/>
      <name val="Arial"/>
      <family val="2"/>
    </font>
    <font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0"/>
      <color rgb="FFFF0000"/>
      <name val="Arial Rounded MT Bold"/>
      <family val="2"/>
    </font>
    <font>
      <i/>
      <sz val="10"/>
      <color rgb="FFFF0000"/>
      <name val="Arial Rounded MT Bold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6">
    <xf numFmtId="0" fontId="0" fillId="0" borderId="0" xfId="0"/>
    <xf numFmtId="164" fontId="1" fillId="3" borderId="0" xfId="0" applyNumberFormat="1" applyFont="1" applyFill="1"/>
    <xf numFmtId="164" fontId="1" fillId="2" borderId="0" xfId="0" applyNumberFormat="1" applyFont="1" applyFill="1"/>
    <xf numFmtId="0" fontId="0" fillId="0" borderId="0" xfId="0" applyAlignment="1">
      <alignment wrapText="1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horizontal="center" wrapText="1"/>
    </xf>
    <xf numFmtId="0" fontId="4" fillId="0" borderId="0" xfId="0" applyFont="1" applyAlignment="1">
      <alignment wrapText="1"/>
    </xf>
    <xf numFmtId="0" fontId="5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164" fontId="1" fillId="0" borderId="0" xfId="0" applyNumberFormat="1" applyFont="1"/>
    <xf numFmtId="0" fontId="1" fillId="0" borderId="0" xfId="0" applyFont="1"/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2" fontId="17" fillId="4" borderId="7" xfId="0" applyNumberFormat="1" applyFont="1" applyFill="1" applyBorder="1"/>
    <xf numFmtId="0" fontId="17" fillId="4" borderId="7" xfId="0" applyFont="1" applyFill="1" applyBorder="1"/>
    <xf numFmtId="0" fontId="17" fillId="4" borderId="7" xfId="0" applyFont="1" applyFill="1" applyBorder="1" applyAlignment="1">
      <alignment horizontal="center"/>
    </xf>
    <xf numFmtId="164" fontId="17" fillId="4" borderId="7" xfId="0" applyNumberFormat="1" applyFont="1" applyFill="1" applyBorder="1"/>
    <xf numFmtId="0" fontId="3" fillId="4" borderId="7" xfId="0" applyFont="1" applyFill="1" applyBorder="1"/>
    <xf numFmtId="164" fontId="17" fillId="4" borderId="7" xfId="0" applyNumberFormat="1" applyFont="1" applyFill="1" applyBorder="1" applyAlignment="1">
      <alignment horizontal="center"/>
    </xf>
    <xf numFmtId="0" fontId="12" fillId="0" borderId="5" xfId="0" applyFont="1" applyBorder="1" applyAlignment="1">
      <alignment horizontal="right" wrapText="1"/>
    </xf>
    <xf numFmtId="49" fontId="12" fillId="0" borderId="8" xfId="0" applyNumberFormat="1" applyFont="1" applyBorder="1" applyAlignment="1">
      <alignment horizontal="right" vertical="top" wrapText="1"/>
    </xf>
    <xf numFmtId="0" fontId="2" fillId="2" borderId="0" xfId="0" applyFont="1" applyFill="1"/>
    <xf numFmtId="0" fontId="1" fillId="2" borderId="0" xfId="0" applyFont="1" applyFill="1"/>
    <xf numFmtId="0" fontId="0" fillId="2" borderId="0" xfId="0" applyFill="1"/>
    <xf numFmtId="2" fontId="1" fillId="2" borderId="0" xfId="0" applyNumberFormat="1" applyFont="1" applyFill="1"/>
    <xf numFmtId="0" fontId="1" fillId="2" borderId="0" xfId="0" applyFont="1" applyFill="1" applyAlignment="1">
      <alignment horizontal="center"/>
    </xf>
    <xf numFmtId="164" fontId="17" fillId="4" borderId="7" xfId="0" applyNumberFormat="1" applyFont="1" applyFill="1" applyBorder="1" applyProtection="1">
      <protection locked="0" hidden="1"/>
    </xf>
    <xf numFmtId="164" fontId="17" fillId="4" borderId="7" xfId="0" applyNumberFormat="1" applyFont="1" applyFill="1" applyBorder="1" applyAlignment="1">
      <alignment horizontal="lef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2" fontId="5" fillId="0" borderId="0" xfId="0" applyNumberFormat="1" applyFont="1" applyAlignment="1">
      <alignment horizontal="left"/>
    </xf>
    <xf numFmtId="0" fontId="18" fillId="0" borderId="0" xfId="0" applyFont="1"/>
    <xf numFmtId="0" fontId="19" fillId="0" borderId="0" xfId="0" quotePrefix="1" applyFont="1" applyAlignment="1">
      <alignment horizontal="right"/>
    </xf>
    <xf numFmtId="166" fontId="17" fillId="4" borderId="7" xfId="0" applyNumberFormat="1" applyFont="1" applyFill="1" applyBorder="1" applyAlignment="1">
      <alignment horizontal="center"/>
    </xf>
    <xf numFmtId="166" fontId="1" fillId="0" borderId="0" xfId="0" applyNumberFormat="1" applyFont="1"/>
    <xf numFmtId="166" fontId="1" fillId="0" borderId="0" xfId="0" applyNumberFormat="1" applyFont="1" applyAlignment="1">
      <alignment horizontal="center"/>
    </xf>
    <xf numFmtId="164" fontId="23" fillId="3" borderId="0" xfId="0" applyNumberFormat="1" applyFont="1" applyFill="1"/>
    <xf numFmtId="166" fontId="23" fillId="0" borderId="0" xfId="0" applyNumberFormat="1" applyFont="1" applyAlignment="1">
      <alignment horizontal="center"/>
    </xf>
    <xf numFmtId="166" fontId="1" fillId="3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6" fontId="0" fillId="0" borderId="0" xfId="0" applyNumberFormat="1"/>
    <xf numFmtId="165" fontId="17" fillId="4" borderId="7" xfId="0" applyNumberFormat="1" applyFont="1" applyFill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17" fillId="4" borderId="7" xfId="0" applyNumberFormat="1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left" vertical="center"/>
    </xf>
    <xf numFmtId="0" fontId="24" fillId="0" borderId="0" xfId="0" applyFont="1" applyAlignment="1">
      <alignment horizontal="left"/>
    </xf>
    <xf numFmtId="0" fontId="8" fillId="0" borderId="0" xfId="1" applyAlignment="1"/>
    <xf numFmtId="0" fontId="0" fillId="0" borderId="0" xfId="0"/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0" xfId="0"/>
    <xf numFmtId="0" fontId="0" fillId="0" borderId="5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5" fillId="4" borderId="1" xfId="1" applyFont="1" applyFill="1" applyBorder="1" applyAlignment="1"/>
    <xf numFmtId="0" fontId="15" fillId="4" borderId="2" xfId="1" applyFont="1" applyFill="1" applyBorder="1" applyAlignment="1"/>
    <xf numFmtId="0" fontId="15" fillId="4" borderId="3" xfId="1" applyFont="1" applyFill="1" applyBorder="1" applyAlignment="1"/>
    <xf numFmtId="0" fontId="7" fillId="4" borderId="1" xfId="0" applyFont="1" applyFill="1" applyBorder="1"/>
    <xf numFmtId="0" fontId="7" fillId="4" borderId="2" xfId="0" applyFont="1" applyFill="1" applyBorder="1"/>
    <xf numFmtId="0" fontId="7" fillId="4" borderId="3" xfId="0" applyFont="1" applyFill="1" applyBorder="1"/>
    <xf numFmtId="0" fontId="19" fillId="0" borderId="0" xfId="0" applyFont="1" applyAlignment="1">
      <alignment vertical="top" wrapText="1"/>
    </xf>
    <xf numFmtId="0" fontId="10" fillId="0" borderId="0" xfId="0" applyFont="1"/>
    <xf numFmtId="0" fontId="0" fillId="0" borderId="0" xfId="0" applyAlignment="1">
      <alignment vertical="top" wrapText="1"/>
    </xf>
    <xf numFmtId="0" fontId="16" fillId="0" borderId="0" xfId="0" applyFont="1" applyAlignment="1">
      <alignment vertical="top"/>
    </xf>
    <xf numFmtId="0" fontId="16" fillId="0" borderId="7" xfId="0" applyFont="1" applyBorder="1" applyAlignment="1">
      <alignment vertical="top"/>
    </xf>
    <xf numFmtId="0" fontId="9" fillId="0" borderId="0" xfId="1" applyFont="1" applyFill="1" applyBorder="1" applyAlignment="1">
      <alignment horizontal="left" wrapText="1" indent="5"/>
    </xf>
    <xf numFmtId="0" fontId="9" fillId="0" borderId="7" xfId="1" applyFont="1" applyFill="1" applyBorder="1" applyAlignment="1">
      <alignment horizontal="left" wrapText="1" indent="5"/>
    </xf>
    <xf numFmtId="0" fontId="11" fillId="0" borderId="4" xfId="0" applyFont="1" applyBorder="1"/>
    <xf numFmtId="0" fontId="11" fillId="0" borderId="0" xfId="0" applyFont="1"/>
    <xf numFmtId="0" fontId="11" fillId="0" borderId="5" xfId="0" applyFont="1" applyBorder="1"/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20" fillId="0" borderId="4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5" xfId="0" applyFont="1" applyBorder="1" applyAlignment="1">
      <alignment horizontal="left"/>
    </xf>
    <xf numFmtId="0" fontId="6" fillId="5" borderId="1" xfId="0" applyFont="1" applyFill="1" applyBorder="1"/>
    <xf numFmtId="0" fontId="6" fillId="5" borderId="2" xfId="0" applyFont="1" applyFill="1" applyBorder="1"/>
    <xf numFmtId="0" fontId="6" fillId="5" borderId="3" xfId="0" applyFont="1" applyFill="1" applyBorder="1"/>
    <xf numFmtId="0" fontId="22" fillId="0" borderId="4" xfId="0" applyFont="1" applyBorder="1"/>
    <xf numFmtId="0" fontId="22" fillId="0" borderId="0" xfId="0" applyFont="1"/>
    <xf numFmtId="0" fontId="22" fillId="0" borderId="5" xfId="0" applyFont="1" applyBorder="1"/>
    <xf numFmtId="0" fontId="22" fillId="0" borderId="6" xfId="0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0" fontId="21" fillId="0" borderId="4" xfId="0" applyFont="1" applyBorder="1"/>
    <xf numFmtId="0" fontId="21" fillId="0" borderId="0" xfId="0" applyFont="1"/>
    <xf numFmtId="0" fontId="21" fillId="0" borderId="5" xfId="0" applyFont="1" applyBorder="1"/>
    <xf numFmtId="164" fontId="1" fillId="0" borderId="0" xfId="0" applyNumberFormat="1" applyFont="1" applyFill="1"/>
    <xf numFmtId="164" fontId="1" fillId="0" borderId="0" xfId="0" applyNumberFormat="1" applyFont="1" applyFill="1" applyAlignment="1">
      <alignment horizontal="center"/>
    </xf>
    <xf numFmtId="166" fontId="1" fillId="0" borderId="0" xfId="0" applyNumberFormat="1" applyFont="1" applyFill="1" applyAlignment="1">
      <alignment horizontal="center"/>
    </xf>
    <xf numFmtId="167" fontId="1" fillId="0" borderId="0" xfId="0" applyNumberFormat="1" applyFont="1" applyFill="1" applyAlignment="1">
      <alignment horizontal="center"/>
    </xf>
    <xf numFmtId="0" fontId="0" fillId="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447675</xdr:colOff>
      <xdr:row>79</xdr:row>
      <xdr:rowOff>73882</xdr:rowOff>
    </xdr:from>
    <xdr:to>
      <xdr:col>10</xdr:col>
      <xdr:colOff>1</xdr:colOff>
      <xdr:row>81</xdr:row>
      <xdr:rowOff>144015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5275" y="15075757"/>
          <a:ext cx="1343026" cy="451133"/>
        </a:xfrm>
        <a:prstGeom prst="rect">
          <a:avLst/>
        </a:prstGeom>
      </xdr:spPr>
    </xdr:pic>
    <xdr:clientData/>
  </xdr:twoCellAnchor>
  <xdr:twoCellAnchor>
    <xdr:from>
      <xdr:col>3</xdr:col>
      <xdr:colOff>247650</xdr:colOff>
      <xdr:row>2</xdr:row>
      <xdr:rowOff>95249</xdr:rowOff>
    </xdr:from>
    <xdr:to>
      <xdr:col>6</xdr:col>
      <xdr:colOff>190500</xdr:colOff>
      <xdr:row>2</xdr:row>
      <xdr:rowOff>628649</xdr:rowOff>
    </xdr:to>
    <xdr:sp macro="" textlink="">
      <xdr:nvSpPr>
        <xdr:cNvPr id="4" name="Arc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0800000">
          <a:off x="1028700" y="476249"/>
          <a:ext cx="1790700" cy="533400"/>
        </a:xfrm>
        <a:prstGeom prst="arc">
          <a:avLst>
            <a:gd name="adj1" fmla="val 2373947"/>
            <a:gd name="adj2" fmla="val 21159529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19050</xdr:colOff>
      <xdr:row>32</xdr:row>
      <xdr:rowOff>0</xdr:rowOff>
    </xdr:from>
    <xdr:to>
      <xdr:col>9</xdr:col>
      <xdr:colOff>876300</xdr:colOff>
      <xdr:row>33</xdr:row>
      <xdr:rowOff>161925</xdr:rowOff>
    </xdr:to>
    <xdr:sp macro="[0]!ThisWorkbook.generate_summary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5375" y="6496050"/>
          <a:ext cx="41910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Click to </a:t>
          </a:r>
          <a:r>
            <a:rPr lang="en-US" sz="1100" b="1">
              <a:latin typeface="+mn-lt"/>
            </a:rPr>
            <a:t>generate</a:t>
          </a:r>
          <a:r>
            <a:rPr lang="en-US" sz="1100" b="1" baseline="0"/>
            <a:t> a summary of requested exact masses.</a:t>
          </a:r>
          <a:endParaRPr lang="en-US" sz="1100" b="1"/>
        </a:p>
      </xdr:txBody>
    </xdr:sp>
    <xdr:clientData/>
  </xdr:twoCellAnchor>
  <xdr:twoCellAnchor>
    <xdr:from>
      <xdr:col>0</xdr:col>
      <xdr:colOff>238124</xdr:colOff>
      <xdr:row>1</xdr:row>
      <xdr:rowOff>66675</xdr:rowOff>
    </xdr:from>
    <xdr:to>
      <xdr:col>11</xdr:col>
      <xdr:colOff>228599</xdr:colOff>
      <xdr:row>36</xdr:row>
      <xdr:rowOff>76200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38124" y="257175"/>
          <a:ext cx="6048375" cy="7077075"/>
        </a:xfrm>
        <a:prstGeom prst="rect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85725</xdr:colOff>
      <xdr:row>79</xdr:row>
      <xdr:rowOff>66676</xdr:rowOff>
    </xdr:from>
    <xdr:to>
      <xdr:col>5</xdr:col>
      <xdr:colOff>523875</xdr:colOff>
      <xdr:row>81</xdr:row>
      <xdr:rowOff>130324</xdr:rowOff>
    </xdr:to>
    <xdr:pic>
      <xdr:nvPicPr>
        <xdr:cNvPr id="10" name="Picture 9" descr="https://ctsi-secim.sites.medinfo.ufl.edu/files/2014/08/SECIM_pf_awards4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6667"/>
        <a:stretch/>
      </xdr:blipFill>
      <xdr:spPr bwMode="auto">
        <a:xfrm>
          <a:off x="561975" y="15068551"/>
          <a:ext cx="1762125" cy="444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john.bowden@nist.gov" TargetMode="External"/><Relationship Id="rId7" Type="http://schemas.openxmlformats.org/officeDocument/2006/relationships/hyperlink" Target="mailto:kelly.hines@uga.edu" TargetMode="External"/><Relationship Id="rId2" Type="http://schemas.openxmlformats.org/officeDocument/2006/relationships/hyperlink" Target="mailto:jeremykoelmel@gmail.com" TargetMode="External"/><Relationship Id="rId1" Type="http://schemas.openxmlformats.org/officeDocument/2006/relationships/hyperlink" Target="mailto:candice.ulmer@nist.gov" TargetMode="External"/><Relationship Id="rId6" Type="http://schemas.openxmlformats.org/officeDocument/2006/relationships/hyperlink" Target="mailto:tgarrett@ufl.edu" TargetMode="External"/><Relationship Id="rId5" Type="http://schemas.openxmlformats.org/officeDocument/2006/relationships/hyperlink" Target="mailto:jared.ragland@nist.gov" TargetMode="External"/><Relationship Id="rId4" Type="http://schemas.openxmlformats.org/officeDocument/2006/relationships/hyperlink" Target="https://www.nist.gov/disclaimer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B3:S79"/>
  <sheetViews>
    <sheetView showGridLines="0" tabSelected="1" zoomScaleNormal="100" workbookViewId="0">
      <selection activeCell="D15" sqref="D15:J15"/>
    </sheetView>
  </sheetViews>
  <sheetFormatPr defaultColWidth="9.140625" defaultRowHeight="15" x14ac:dyDescent="0.25"/>
  <cols>
    <col min="1" max="1" width="4.28515625" customWidth="1"/>
    <col min="2" max="2" width="2.85546875" customWidth="1"/>
    <col min="3" max="3" width="2.5703125" customWidth="1"/>
    <col min="4" max="4" width="6.42578125" style="3" customWidth="1"/>
    <col min="5" max="5" width="10.85546875" style="3" customWidth="1"/>
    <col min="6" max="6" width="9.5703125" style="3" customWidth="1"/>
    <col min="7" max="8" width="9.140625" style="3"/>
    <col min="9" max="9" width="11.28515625" style="3" customWidth="1"/>
    <col min="10" max="10" width="15.5703125" style="3" customWidth="1"/>
    <col min="12" max="12" width="22.7109375" customWidth="1"/>
  </cols>
  <sheetData>
    <row r="3" spans="3:10" ht="49.5" customHeight="1" x14ac:dyDescent="0.25">
      <c r="C3" s="63" t="s">
        <v>34</v>
      </c>
      <c r="D3" s="63"/>
      <c r="E3" s="63"/>
      <c r="F3" s="63"/>
      <c r="H3" s="59" t="s">
        <v>683</v>
      </c>
    </row>
    <row r="4" spans="3:10" s="56" customFormat="1" ht="22.5" customHeight="1" x14ac:dyDescent="0.3">
      <c r="C4" s="58"/>
      <c r="D4" s="58"/>
      <c r="E4" s="58"/>
      <c r="F4" s="58"/>
      <c r="G4" s="57"/>
      <c r="H4" s="60" t="s">
        <v>684</v>
      </c>
      <c r="I4" s="57"/>
      <c r="J4" s="57"/>
    </row>
    <row r="5" spans="3:10" s="56" customFormat="1" ht="22.5" customHeight="1" x14ac:dyDescent="0.3">
      <c r="C5" s="58"/>
      <c r="D5" s="58"/>
      <c r="E5" s="58"/>
      <c r="F5" s="58"/>
      <c r="G5" s="57"/>
      <c r="H5" s="60" t="s">
        <v>687</v>
      </c>
      <c r="I5" s="57"/>
      <c r="J5" s="57"/>
    </row>
    <row r="6" spans="3:10" s="56" customFormat="1" ht="22.5" customHeight="1" x14ac:dyDescent="0.25">
      <c r="C6" s="58"/>
      <c r="D6" s="58"/>
      <c r="E6" s="58"/>
      <c r="F6" s="58"/>
      <c r="G6" s="57"/>
      <c r="H6" s="61" t="s">
        <v>686</v>
      </c>
      <c r="I6" s="57"/>
      <c r="J6" s="57"/>
    </row>
    <row r="8" spans="3:10" ht="18.75" customHeight="1" x14ac:dyDescent="0.25">
      <c r="D8" s="64" t="s">
        <v>685</v>
      </c>
      <c r="E8" s="64"/>
      <c r="F8" s="64"/>
      <c r="G8" s="64"/>
      <c r="H8" s="64"/>
      <c r="I8" s="64"/>
      <c r="J8" s="64"/>
    </row>
    <row r="9" spans="3:10" ht="15.75" customHeight="1" x14ac:dyDescent="0.25">
      <c r="D9" s="64"/>
      <c r="E9" s="64"/>
      <c r="F9" s="64"/>
      <c r="G9" s="64"/>
      <c r="H9" s="64"/>
      <c r="I9" s="64"/>
      <c r="J9" s="64"/>
    </row>
    <row r="10" spans="3:10" ht="39" customHeight="1" x14ac:dyDescent="0.25">
      <c r="D10" s="64"/>
      <c r="E10" s="64"/>
      <c r="F10" s="64"/>
      <c r="G10" s="64"/>
      <c r="H10" s="64"/>
      <c r="I10" s="64"/>
      <c r="J10" s="64"/>
    </row>
    <row r="11" spans="3:10" ht="15" customHeight="1" x14ac:dyDescent="0.25"/>
    <row r="13" spans="3:10" ht="18.75" x14ac:dyDescent="0.3">
      <c r="C13" s="85" t="s">
        <v>56</v>
      </c>
      <c r="D13" s="85"/>
      <c r="E13" s="85"/>
      <c r="F13" s="85"/>
      <c r="G13" s="85"/>
      <c r="H13" s="85"/>
      <c r="I13" s="85"/>
      <c r="J13" s="85"/>
    </row>
    <row r="14" spans="3:10" x14ac:dyDescent="0.25">
      <c r="C14" s="4" t="s">
        <v>65</v>
      </c>
      <c r="D14" s="65" t="s">
        <v>63</v>
      </c>
      <c r="E14" s="65"/>
      <c r="F14" s="65"/>
      <c r="G14" s="65"/>
      <c r="H14" s="65"/>
      <c r="I14" s="65"/>
      <c r="J14" s="65"/>
    </row>
    <row r="15" spans="3:10" ht="15" customHeight="1" x14ac:dyDescent="0.25">
      <c r="C15" s="43" t="s">
        <v>65</v>
      </c>
      <c r="D15" s="84" t="s">
        <v>64</v>
      </c>
      <c r="E15" s="84"/>
      <c r="F15" s="84"/>
      <c r="G15" s="84"/>
      <c r="H15" s="84"/>
      <c r="I15" s="84"/>
      <c r="J15" s="84"/>
    </row>
    <row r="16" spans="3:10" ht="15" customHeight="1" x14ac:dyDescent="0.25">
      <c r="C16" s="4" t="s">
        <v>65</v>
      </c>
      <c r="D16" s="86" t="s">
        <v>66</v>
      </c>
      <c r="E16" s="86"/>
      <c r="F16" s="86"/>
      <c r="G16" s="86"/>
      <c r="H16" s="86"/>
      <c r="I16" s="86"/>
      <c r="J16" s="86"/>
    </row>
    <row r="17" spans="3:10" x14ac:dyDescent="0.25">
      <c r="C17" s="5"/>
      <c r="D17" s="86"/>
      <c r="E17" s="86"/>
      <c r="F17" s="86"/>
      <c r="G17" s="86"/>
      <c r="H17" s="86"/>
      <c r="I17" s="86"/>
      <c r="J17" s="86"/>
    </row>
    <row r="18" spans="3:10" ht="15" customHeight="1" x14ac:dyDescent="0.25">
      <c r="C18" s="5"/>
      <c r="D18" s="86"/>
      <c r="E18" s="86"/>
      <c r="F18" s="86"/>
      <c r="G18" s="86"/>
      <c r="H18" s="86"/>
      <c r="I18" s="86"/>
      <c r="J18" s="86"/>
    </row>
    <row r="19" spans="3:10" x14ac:dyDescent="0.25">
      <c r="D19" s="6"/>
      <c r="E19" s="6"/>
      <c r="F19" s="6"/>
      <c r="G19" s="6"/>
      <c r="H19" s="6"/>
      <c r="I19" s="6"/>
      <c r="J19" s="6"/>
    </row>
    <row r="20" spans="3:10" x14ac:dyDescent="0.25">
      <c r="D20" s="7"/>
      <c r="E20" s="7"/>
      <c r="F20" s="7"/>
      <c r="G20" s="7"/>
      <c r="H20" s="7"/>
      <c r="I20" s="7"/>
      <c r="J20" s="7"/>
    </row>
    <row r="21" spans="3:10" ht="18.75" x14ac:dyDescent="0.3">
      <c r="C21" s="85" t="s">
        <v>41</v>
      </c>
      <c r="D21" s="85"/>
      <c r="E21" s="85"/>
      <c r="F21" s="85"/>
      <c r="G21" s="85"/>
      <c r="H21" s="85"/>
      <c r="I21" s="85"/>
      <c r="J21" s="85"/>
    </row>
    <row r="22" spans="3:10" ht="15" customHeight="1" x14ac:dyDescent="0.25">
      <c r="C22" s="4" t="s">
        <v>65</v>
      </c>
      <c r="D22" s="8" t="s">
        <v>58</v>
      </c>
      <c r="E22" s="65" t="s">
        <v>57</v>
      </c>
      <c r="F22" s="65"/>
      <c r="G22" s="65"/>
      <c r="H22" s="65"/>
      <c r="I22" s="65"/>
      <c r="J22" s="65"/>
    </row>
    <row r="23" spans="3:10" x14ac:dyDescent="0.25">
      <c r="C23" s="4" t="s">
        <v>65</v>
      </c>
      <c r="D23" s="8" t="s">
        <v>59</v>
      </c>
      <c r="E23" s="65" t="s">
        <v>62</v>
      </c>
      <c r="F23" s="65"/>
      <c r="G23" s="65"/>
      <c r="H23" s="65"/>
      <c r="I23" s="65"/>
      <c r="J23" s="65"/>
    </row>
    <row r="24" spans="3:10" ht="15" customHeight="1" x14ac:dyDescent="0.25">
      <c r="D24" s="8"/>
      <c r="E24" s="65"/>
      <c r="F24" s="65"/>
      <c r="G24" s="65"/>
      <c r="H24" s="65"/>
      <c r="I24" s="65"/>
      <c r="J24" s="65"/>
    </row>
    <row r="25" spans="3:10" x14ac:dyDescent="0.25">
      <c r="C25" s="4" t="s">
        <v>65</v>
      </c>
      <c r="D25" s="8" t="s">
        <v>60</v>
      </c>
      <c r="E25" s="65" t="s">
        <v>73</v>
      </c>
      <c r="F25" s="65"/>
      <c r="G25" s="65"/>
      <c r="H25" s="65"/>
      <c r="I25" s="65"/>
      <c r="J25" s="65"/>
    </row>
    <row r="26" spans="3:10" x14ac:dyDescent="0.25">
      <c r="D26" s="8"/>
      <c r="E26" s="65"/>
      <c r="F26" s="65"/>
      <c r="G26" s="65"/>
      <c r="H26" s="65"/>
      <c r="I26" s="65"/>
      <c r="J26" s="65"/>
    </row>
    <row r="27" spans="3:10" x14ac:dyDescent="0.25">
      <c r="D27" s="8"/>
      <c r="E27" s="65" t="s">
        <v>70</v>
      </c>
      <c r="F27" s="65"/>
      <c r="G27" s="65"/>
      <c r="H27" s="65"/>
      <c r="I27" s="65"/>
      <c r="J27" s="65"/>
    </row>
    <row r="28" spans="3:10" x14ac:dyDescent="0.25">
      <c r="E28" s="65" t="s">
        <v>67</v>
      </c>
      <c r="F28" s="65"/>
      <c r="G28" s="65"/>
      <c r="H28" s="65"/>
      <c r="I28" s="65"/>
      <c r="J28" s="65"/>
    </row>
    <row r="29" spans="3:10" ht="15" customHeight="1" x14ac:dyDescent="0.25">
      <c r="C29" s="4" t="s">
        <v>65</v>
      </c>
      <c r="D29" s="8" t="s">
        <v>61</v>
      </c>
      <c r="E29" s="65" t="s">
        <v>71</v>
      </c>
      <c r="F29" s="65"/>
      <c r="G29" s="65"/>
      <c r="H29" s="65"/>
      <c r="I29" s="65"/>
      <c r="J29" s="65"/>
    </row>
    <row r="30" spans="3:10" x14ac:dyDescent="0.25">
      <c r="E30" s="65"/>
      <c r="F30" s="65"/>
      <c r="G30" s="65"/>
      <c r="H30" s="65"/>
      <c r="I30" s="65"/>
      <c r="J30" s="65"/>
    </row>
    <row r="31" spans="3:10" ht="15" customHeight="1" x14ac:dyDescent="0.25">
      <c r="E31" s="65" t="s">
        <v>76</v>
      </c>
      <c r="F31" s="65"/>
      <c r="G31" s="65"/>
      <c r="H31" s="65"/>
      <c r="I31" s="65"/>
      <c r="J31" s="65"/>
    </row>
    <row r="32" spans="3:10" x14ac:dyDescent="0.25">
      <c r="E32" s="65"/>
      <c r="F32" s="65"/>
      <c r="G32" s="65"/>
      <c r="H32" s="65"/>
      <c r="I32" s="65"/>
      <c r="J32" s="65"/>
    </row>
    <row r="33" spans="2:19" x14ac:dyDescent="0.25">
      <c r="C33" s="4" t="s">
        <v>65</v>
      </c>
      <c r="D33" s="8" t="s">
        <v>68</v>
      </c>
    </row>
    <row r="36" spans="2:19" x14ac:dyDescent="0.25">
      <c r="B36" s="42" t="s">
        <v>91</v>
      </c>
    </row>
    <row r="37" spans="2:19" ht="15" customHeight="1" x14ac:dyDescent="0.25"/>
    <row r="41" spans="2:19" x14ac:dyDescent="0.25">
      <c r="C41" s="87" t="s">
        <v>72</v>
      </c>
      <c r="D41" s="87"/>
      <c r="E41" s="87"/>
      <c r="F41" s="87"/>
      <c r="G41" s="87"/>
      <c r="H41" s="87"/>
      <c r="I41" s="87"/>
      <c r="J41" s="87"/>
    </row>
    <row r="42" spans="2:19" x14ac:dyDescent="0.25">
      <c r="C42" s="88"/>
      <c r="D42" s="88"/>
      <c r="E42" s="88"/>
      <c r="F42" s="88"/>
      <c r="G42" s="88"/>
      <c r="H42" s="88"/>
      <c r="I42" s="88"/>
      <c r="J42" s="88"/>
    </row>
    <row r="43" spans="2:19" ht="18.75" x14ac:dyDescent="0.3">
      <c r="C43" s="81" t="s">
        <v>16</v>
      </c>
      <c r="D43" s="82"/>
      <c r="E43" s="82"/>
      <c r="F43" s="82"/>
      <c r="G43" s="82"/>
      <c r="H43" s="82"/>
      <c r="I43" s="82"/>
      <c r="J43" s="83"/>
      <c r="L43" s="97" t="s">
        <v>80</v>
      </c>
      <c r="M43" s="98"/>
      <c r="N43" s="98"/>
      <c r="O43" s="98"/>
      <c r="P43" s="98"/>
      <c r="Q43" s="98"/>
      <c r="R43" s="98"/>
      <c r="S43" s="99"/>
    </row>
    <row r="44" spans="2:19" x14ac:dyDescent="0.25">
      <c r="C44" s="75" t="s">
        <v>131</v>
      </c>
      <c r="D44" s="76"/>
      <c r="E44" s="76"/>
      <c r="F44" s="76"/>
      <c r="G44" s="76"/>
      <c r="H44" s="76"/>
      <c r="I44" s="76"/>
      <c r="J44" s="77"/>
      <c r="L44" s="100" t="s">
        <v>136</v>
      </c>
      <c r="M44" s="101"/>
      <c r="N44" s="101"/>
      <c r="O44" s="101"/>
      <c r="P44" s="101"/>
      <c r="Q44" s="101"/>
      <c r="R44" s="101"/>
      <c r="S44" s="102"/>
    </row>
    <row r="45" spans="2:19" x14ac:dyDescent="0.25">
      <c r="C45" s="72" t="s">
        <v>132</v>
      </c>
      <c r="D45" s="73"/>
      <c r="E45" s="73"/>
      <c r="F45" s="73"/>
      <c r="G45" s="73"/>
      <c r="H45" s="73"/>
      <c r="I45" s="73"/>
      <c r="J45" s="74"/>
      <c r="L45" s="94" t="s">
        <v>143</v>
      </c>
      <c r="M45" s="95"/>
      <c r="N45" s="95"/>
      <c r="O45" s="95"/>
      <c r="P45" s="95"/>
      <c r="Q45" s="95"/>
      <c r="R45" s="95"/>
      <c r="S45" s="96"/>
    </row>
    <row r="46" spans="2:19" x14ac:dyDescent="0.25">
      <c r="C46" s="94" t="s">
        <v>138</v>
      </c>
      <c r="D46" s="95"/>
      <c r="E46" s="95"/>
      <c r="F46" s="95"/>
      <c r="G46" s="95"/>
      <c r="H46" s="95"/>
      <c r="I46" s="95"/>
      <c r="J46" s="96"/>
      <c r="L46" s="94" t="s">
        <v>137</v>
      </c>
      <c r="M46" s="95"/>
      <c r="N46" s="95"/>
      <c r="O46" s="95"/>
      <c r="P46" s="95"/>
      <c r="Q46" s="95"/>
      <c r="R46" s="95"/>
      <c r="S46" s="96"/>
    </row>
    <row r="47" spans="2:19" x14ac:dyDescent="0.25">
      <c r="C47" s="69"/>
      <c r="D47" s="70"/>
      <c r="E47" s="70"/>
      <c r="F47" s="70"/>
      <c r="G47" s="70"/>
      <c r="H47" s="70"/>
      <c r="I47" s="70"/>
      <c r="J47" s="71"/>
      <c r="L47" s="103" t="s">
        <v>140</v>
      </c>
      <c r="M47" s="104"/>
      <c r="N47" s="104"/>
      <c r="O47" s="104"/>
      <c r="P47" s="104"/>
      <c r="Q47" s="104"/>
      <c r="R47" s="104"/>
      <c r="S47" s="105"/>
    </row>
    <row r="48" spans="2:19" x14ac:dyDescent="0.25">
      <c r="D48"/>
      <c r="E48"/>
      <c r="F48"/>
      <c r="G48"/>
      <c r="H48"/>
      <c r="I48"/>
      <c r="J48"/>
    </row>
    <row r="49" spans="3:19" ht="18.75" x14ac:dyDescent="0.3">
      <c r="C49" s="81" t="s">
        <v>17</v>
      </c>
      <c r="D49" s="82"/>
      <c r="E49" s="82"/>
      <c r="F49" s="82"/>
      <c r="G49" s="82"/>
      <c r="H49" s="82"/>
      <c r="I49" s="82"/>
      <c r="J49" s="83"/>
      <c r="L49" s="81" t="s">
        <v>79</v>
      </c>
      <c r="M49" s="82"/>
      <c r="N49" s="82"/>
      <c r="O49" s="82"/>
      <c r="P49" s="82"/>
      <c r="Q49" s="82"/>
      <c r="R49" s="82"/>
      <c r="S49" s="83"/>
    </row>
    <row r="50" spans="3:19" x14ac:dyDescent="0.25">
      <c r="C50" s="75" t="s">
        <v>18</v>
      </c>
      <c r="D50" s="76"/>
      <c r="E50" s="76"/>
      <c r="F50" s="76"/>
      <c r="G50" s="76"/>
      <c r="H50" s="76"/>
      <c r="I50" s="76"/>
      <c r="J50" s="77"/>
      <c r="L50" s="100" t="s">
        <v>18</v>
      </c>
      <c r="M50" s="101"/>
      <c r="N50" s="101"/>
      <c r="O50" s="101"/>
      <c r="P50" s="101"/>
      <c r="Q50" s="101"/>
      <c r="R50" s="101"/>
      <c r="S50" s="102"/>
    </row>
    <row r="51" spans="3:19" x14ac:dyDescent="0.25">
      <c r="C51" s="72" t="s">
        <v>19</v>
      </c>
      <c r="D51" s="73"/>
      <c r="E51" s="73"/>
      <c r="F51" s="73"/>
      <c r="G51" s="73"/>
      <c r="H51" s="73"/>
      <c r="I51" s="73"/>
      <c r="J51" s="74"/>
      <c r="L51" s="94" t="s">
        <v>19</v>
      </c>
      <c r="M51" s="95"/>
      <c r="N51" s="95"/>
      <c r="O51" s="95"/>
      <c r="P51" s="95"/>
      <c r="Q51" s="95"/>
      <c r="R51" s="95"/>
      <c r="S51" s="96"/>
    </row>
    <row r="52" spans="3:19" x14ac:dyDescent="0.25">
      <c r="C52" s="72" t="s">
        <v>133</v>
      </c>
      <c r="D52" s="73"/>
      <c r="E52" s="73"/>
      <c r="F52" s="73"/>
      <c r="G52" s="73"/>
      <c r="H52" s="73"/>
      <c r="I52" s="73"/>
      <c r="J52" s="74"/>
      <c r="L52" s="94" t="s">
        <v>144</v>
      </c>
      <c r="M52" s="95"/>
      <c r="N52" s="95"/>
      <c r="O52" s="95"/>
      <c r="P52" s="95"/>
      <c r="Q52" s="95"/>
      <c r="R52" s="95"/>
      <c r="S52" s="96"/>
    </row>
    <row r="53" spans="3:19" x14ac:dyDescent="0.25">
      <c r="C53" s="72" t="s">
        <v>134</v>
      </c>
      <c r="D53" s="73"/>
      <c r="E53" s="73"/>
      <c r="F53" s="73"/>
      <c r="G53" s="73"/>
      <c r="H53" s="73"/>
      <c r="I53" s="73"/>
      <c r="J53" s="74"/>
      <c r="L53" s="94" t="s">
        <v>135</v>
      </c>
      <c r="M53" s="95"/>
      <c r="N53" s="95"/>
      <c r="O53" s="95"/>
      <c r="P53" s="95"/>
      <c r="Q53" s="95"/>
      <c r="R53" s="95"/>
      <c r="S53" s="96"/>
    </row>
    <row r="54" spans="3:19" x14ac:dyDescent="0.25">
      <c r="C54" s="94" t="s">
        <v>139</v>
      </c>
      <c r="D54" s="95"/>
      <c r="E54" s="95"/>
      <c r="F54" s="95"/>
      <c r="G54" s="95"/>
      <c r="H54" s="95"/>
      <c r="I54" s="95"/>
      <c r="J54" s="96"/>
      <c r="L54" s="106" t="s">
        <v>81</v>
      </c>
      <c r="M54" s="107"/>
      <c r="N54" s="107"/>
      <c r="O54" s="107"/>
      <c r="P54" s="107"/>
      <c r="Q54" s="107"/>
      <c r="R54" s="107"/>
      <c r="S54" s="108"/>
    </row>
    <row r="55" spans="3:19" x14ac:dyDescent="0.25">
      <c r="C55" s="69"/>
      <c r="D55" s="70"/>
      <c r="E55" s="70"/>
      <c r="F55" s="70"/>
      <c r="G55" s="70"/>
      <c r="H55" s="70"/>
      <c r="I55" s="70"/>
      <c r="J55" s="71"/>
      <c r="L55" s="103" t="s">
        <v>141</v>
      </c>
      <c r="M55" s="104"/>
      <c r="N55" s="104"/>
      <c r="O55" s="104"/>
      <c r="P55" s="104"/>
      <c r="Q55" s="104"/>
      <c r="R55" s="104"/>
      <c r="S55" s="105"/>
    </row>
    <row r="56" spans="3:19" x14ac:dyDescent="0.25">
      <c r="D56"/>
      <c r="E56"/>
      <c r="F56"/>
      <c r="G56"/>
      <c r="H56"/>
      <c r="I56"/>
      <c r="J56"/>
    </row>
    <row r="57" spans="3:19" ht="18.75" x14ac:dyDescent="0.3">
      <c r="C57" s="81" t="s">
        <v>20</v>
      </c>
      <c r="D57" s="82"/>
      <c r="E57" s="82"/>
      <c r="F57" s="82"/>
      <c r="G57" s="82"/>
      <c r="H57" s="82"/>
      <c r="I57" s="82"/>
      <c r="J57" s="83"/>
      <c r="L57" s="109" t="s">
        <v>145</v>
      </c>
      <c r="M57" s="110"/>
      <c r="N57" s="110"/>
      <c r="O57" s="110"/>
      <c r="P57" s="110"/>
      <c r="Q57" s="110"/>
      <c r="R57" s="110"/>
      <c r="S57" s="111"/>
    </row>
    <row r="58" spans="3:19" x14ac:dyDescent="0.25">
      <c r="C58" s="75" t="s">
        <v>82</v>
      </c>
      <c r="D58" s="76"/>
      <c r="E58" s="76"/>
      <c r="F58" s="76"/>
      <c r="G58" s="76"/>
      <c r="H58" s="76"/>
      <c r="I58" s="76"/>
      <c r="J58" s="77"/>
      <c r="L58" s="75" t="s">
        <v>152</v>
      </c>
      <c r="M58" s="76"/>
      <c r="N58" s="76"/>
      <c r="O58" s="76"/>
      <c r="P58" s="76"/>
      <c r="Q58" s="76"/>
      <c r="R58" s="76"/>
      <c r="S58" s="77"/>
    </row>
    <row r="59" spans="3:19" x14ac:dyDescent="0.25">
      <c r="C59" s="72" t="s">
        <v>21</v>
      </c>
      <c r="D59" s="73"/>
      <c r="E59" s="73"/>
      <c r="F59" s="73"/>
      <c r="G59" s="73"/>
      <c r="H59" s="73"/>
      <c r="I59" s="73"/>
      <c r="J59" s="74"/>
      <c r="L59" s="72" t="s">
        <v>146</v>
      </c>
      <c r="M59" s="73"/>
      <c r="N59" s="73"/>
      <c r="O59" s="73"/>
      <c r="P59" s="73"/>
      <c r="Q59" s="73"/>
      <c r="R59" s="73"/>
      <c r="S59" s="74"/>
    </row>
    <row r="60" spans="3:19" x14ac:dyDescent="0.25">
      <c r="C60" s="72" t="s">
        <v>22</v>
      </c>
      <c r="D60" s="73"/>
      <c r="E60" s="73"/>
      <c r="F60" s="73"/>
      <c r="G60" s="73"/>
      <c r="H60" s="73"/>
      <c r="I60" s="73"/>
      <c r="J60" s="74"/>
      <c r="L60" s="72" t="s">
        <v>147</v>
      </c>
      <c r="M60" s="73"/>
      <c r="N60" s="73"/>
      <c r="O60" s="73"/>
      <c r="P60" s="73"/>
      <c r="Q60" s="73"/>
      <c r="R60" s="73"/>
      <c r="S60" s="74"/>
    </row>
    <row r="61" spans="3:19" x14ac:dyDescent="0.25">
      <c r="C61" s="72" t="s">
        <v>23</v>
      </c>
      <c r="D61" s="73"/>
      <c r="E61" s="73"/>
      <c r="F61" s="73"/>
      <c r="G61" s="73"/>
      <c r="H61" s="73"/>
      <c r="I61" s="73"/>
      <c r="J61" s="74"/>
      <c r="L61" s="72" t="s">
        <v>149</v>
      </c>
      <c r="M61" s="73"/>
      <c r="N61" s="73"/>
      <c r="O61" s="73"/>
      <c r="P61" s="73"/>
      <c r="Q61" s="73"/>
      <c r="R61" s="73"/>
      <c r="S61" s="74"/>
    </row>
    <row r="62" spans="3:19" x14ac:dyDescent="0.25">
      <c r="C62" s="72" t="s">
        <v>77</v>
      </c>
      <c r="D62" s="73"/>
      <c r="E62" s="73"/>
      <c r="F62" s="73"/>
      <c r="G62" s="73"/>
      <c r="H62" s="73"/>
      <c r="I62" s="73"/>
      <c r="J62" s="74"/>
      <c r="L62" s="10"/>
      <c r="S62" s="11"/>
    </row>
    <row r="63" spans="3:19" x14ac:dyDescent="0.25">
      <c r="C63" s="72" t="s">
        <v>24</v>
      </c>
      <c r="D63" s="73"/>
      <c r="E63" s="73"/>
      <c r="F63" s="73"/>
      <c r="G63" s="73"/>
      <c r="H63" s="73"/>
      <c r="I63" s="73"/>
      <c r="J63" s="74"/>
      <c r="L63" s="118" t="s">
        <v>148</v>
      </c>
      <c r="M63" s="119"/>
      <c r="N63" s="119"/>
      <c r="O63" s="119"/>
      <c r="P63" s="119"/>
      <c r="Q63" s="119"/>
      <c r="R63" s="119"/>
      <c r="S63" s="120"/>
    </row>
    <row r="64" spans="3:19" x14ac:dyDescent="0.25">
      <c r="C64" s="72" t="s">
        <v>25</v>
      </c>
      <c r="D64" s="73"/>
      <c r="E64" s="73"/>
      <c r="F64" s="73"/>
      <c r="G64" s="73"/>
      <c r="H64" s="73"/>
      <c r="I64" s="73"/>
      <c r="J64" s="74"/>
      <c r="L64" s="112" t="s">
        <v>150</v>
      </c>
      <c r="M64" s="113"/>
      <c r="N64" s="113"/>
      <c r="O64" s="113"/>
      <c r="P64" s="113"/>
      <c r="Q64" s="113"/>
      <c r="R64" s="113"/>
      <c r="S64" s="114"/>
    </row>
    <row r="65" spans="2:19" x14ac:dyDescent="0.25">
      <c r="C65" s="72" t="s">
        <v>26</v>
      </c>
      <c r="D65" s="73"/>
      <c r="E65" s="73"/>
      <c r="F65" s="73"/>
      <c r="G65" s="73"/>
      <c r="H65" s="73"/>
      <c r="I65" s="73"/>
      <c r="J65" s="74"/>
      <c r="L65" s="112" t="s">
        <v>151</v>
      </c>
      <c r="M65" s="113"/>
      <c r="N65" s="113"/>
      <c r="O65" s="113"/>
      <c r="P65" s="113"/>
      <c r="Q65" s="113"/>
      <c r="R65" s="113"/>
      <c r="S65" s="114"/>
    </row>
    <row r="66" spans="2:19" ht="15.75" x14ac:dyDescent="0.25">
      <c r="B66" s="9"/>
      <c r="C66" s="69" t="s">
        <v>142</v>
      </c>
      <c r="D66" s="70"/>
      <c r="E66" s="70"/>
      <c r="F66" s="70"/>
      <c r="G66" s="70"/>
      <c r="H66" s="70"/>
      <c r="I66" s="70"/>
      <c r="J66" s="71"/>
      <c r="L66" s="112" t="s">
        <v>153</v>
      </c>
      <c r="M66" s="113"/>
      <c r="N66" s="113"/>
      <c r="O66" s="113"/>
      <c r="P66" s="113"/>
      <c r="Q66" s="113"/>
      <c r="R66" s="113"/>
      <c r="S66" s="114"/>
    </row>
    <row r="67" spans="2:19" x14ac:dyDescent="0.25">
      <c r="D67"/>
      <c r="E67"/>
      <c r="F67"/>
      <c r="G67"/>
      <c r="H67"/>
      <c r="I67"/>
      <c r="J67"/>
      <c r="L67" s="112" t="s">
        <v>154</v>
      </c>
      <c r="M67" s="113"/>
      <c r="N67" s="113"/>
      <c r="O67" s="113"/>
      <c r="P67" s="113"/>
      <c r="Q67" s="113"/>
      <c r="R67" s="113"/>
      <c r="S67" s="114"/>
    </row>
    <row r="68" spans="2:19" ht="18.75" x14ac:dyDescent="0.3">
      <c r="C68" s="81" t="s">
        <v>27</v>
      </c>
      <c r="D68" s="82"/>
      <c r="E68" s="82"/>
      <c r="F68" s="82"/>
      <c r="G68" s="82"/>
      <c r="H68" s="82"/>
      <c r="I68" s="82"/>
      <c r="J68" s="83"/>
      <c r="L68" s="115" t="s">
        <v>155</v>
      </c>
      <c r="M68" s="116"/>
      <c r="N68" s="116"/>
      <c r="O68" s="116"/>
      <c r="P68" s="116"/>
      <c r="Q68" s="116"/>
      <c r="R68" s="116"/>
      <c r="S68" s="117"/>
    </row>
    <row r="69" spans="2:19" x14ac:dyDescent="0.25">
      <c r="C69" s="10" t="s">
        <v>83</v>
      </c>
      <c r="D69"/>
      <c r="E69"/>
      <c r="F69"/>
      <c r="G69"/>
      <c r="H69"/>
      <c r="I69"/>
      <c r="J69" s="11"/>
      <c r="L69" s="73"/>
      <c r="M69" s="73"/>
      <c r="N69" s="73"/>
      <c r="O69" s="73"/>
      <c r="P69" s="73"/>
      <c r="Q69" s="73"/>
      <c r="R69" s="73"/>
      <c r="S69" s="73"/>
    </row>
    <row r="70" spans="2:19" ht="15" customHeight="1" x14ac:dyDescent="0.25">
      <c r="C70" s="12" t="s">
        <v>28</v>
      </c>
      <c r="D70" s="13"/>
      <c r="E70" s="13"/>
      <c r="F70" s="13"/>
      <c r="G70" s="13"/>
      <c r="H70" s="13"/>
      <c r="I70" s="13"/>
      <c r="J70" s="14"/>
      <c r="L70" s="73"/>
      <c r="M70" s="73"/>
      <c r="N70" s="73"/>
      <c r="O70" s="73"/>
      <c r="P70" s="73"/>
      <c r="Q70" s="73"/>
      <c r="R70" s="73"/>
      <c r="S70" s="73"/>
    </row>
    <row r="71" spans="2:19" ht="15" customHeight="1" x14ac:dyDescent="0.25">
      <c r="D71"/>
      <c r="E71"/>
      <c r="F71"/>
      <c r="G71"/>
      <c r="H71"/>
      <c r="I71"/>
      <c r="J71"/>
    </row>
    <row r="72" spans="2:19" ht="15" customHeight="1" x14ac:dyDescent="0.3">
      <c r="C72" s="78" t="s">
        <v>69</v>
      </c>
      <c r="D72" s="79"/>
      <c r="E72" s="79"/>
      <c r="F72" s="79"/>
      <c r="G72" s="79"/>
      <c r="H72" s="79"/>
      <c r="I72" s="79"/>
      <c r="J72" s="80"/>
    </row>
    <row r="73" spans="2:19" ht="18.75" x14ac:dyDescent="0.3">
      <c r="C73" s="66" t="s">
        <v>39</v>
      </c>
      <c r="D73" s="67"/>
      <c r="E73" s="67"/>
      <c r="F73" s="67"/>
      <c r="G73" s="67"/>
      <c r="H73" s="67"/>
      <c r="I73" s="67"/>
      <c r="J73" s="68"/>
    </row>
    <row r="74" spans="2:19" ht="15.75" x14ac:dyDescent="0.25">
      <c r="C74" s="91" t="s">
        <v>38</v>
      </c>
      <c r="D74" s="92"/>
      <c r="E74" s="92"/>
      <c r="F74" s="92"/>
      <c r="G74" s="92"/>
      <c r="H74" s="92"/>
      <c r="I74" s="92"/>
      <c r="J74" s="93"/>
    </row>
    <row r="75" spans="2:19" x14ac:dyDescent="0.25">
      <c r="C75" s="10" t="s">
        <v>35</v>
      </c>
      <c r="F75" s="89" t="s">
        <v>31</v>
      </c>
      <c r="G75" s="89"/>
      <c r="H75" s="89"/>
      <c r="I75" s="89"/>
      <c r="J75" s="15"/>
    </row>
    <row r="76" spans="2:19" x14ac:dyDescent="0.25">
      <c r="C76" s="10" t="s">
        <v>36</v>
      </c>
      <c r="F76" s="89" t="s">
        <v>32</v>
      </c>
      <c r="G76" s="89"/>
      <c r="H76" s="89"/>
      <c r="I76" s="89"/>
      <c r="J76" s="15"/>
    </row>
    <row r="77" spans="2:19" x14ac:dyDescent="0.25">
      <c r="C77" s="10" t="s">
        <v>37</v>
      </c>
      <c r="F77" s="89" t="s">
        <v>33</v>
      </c>
      <c r="G77" s="89"/>
      <c r="H77" s="89"/>
      <c r="I77" s="89"/>
      <c r="J77" s="30"/>
    </row>
    <row r="78" spans="2:19" x14ac:dyDescent="0.25">
      <c r="C78" s="10" t="s">
        <v>92</v>
      </c>
      <c r="F78" s="89" t="s">
        <v>90</v>
      </c>
      <c r="G78" s="89"/>
      <c r="H78" s="89"/>
      <c r="I78" s="89"/>
      <c r="J78" s="30" t="s">
        <v>75</v>
      </c>
    </row>
    <row r="79" spans="2:19" x14ac:dyDescent="0.25">
      <c r="C79" s="12" t="s">
        <v>87</v>
      </c>
      <c r="D79" s="16"/>
      <c r="E79" s="16"/>
      <c r="F79" s="90" t="s">
        <v>88</v>
      </c>
      <c r="G79" s="90"/>
      <c r="H79" s="90"/>
      <c r="I79" s="90"/>
      <c r="J79" s="31" t="s">
        <v>40</v>
      </c>
    </row>
  </sheetData>
  <mergeCells count="71">
    <mergeCell ref="L68:S68"/>
    <mergeCell ref="L69:S69"/>
    <mergeCell ref="L70:S70"/>
    <mergeCell ref="L61:S61"/>
    <mergeCell ref="L63:S63"/>
    <mergeCell ref="L64:S64"/>
    <mergeCell ref="L65:S65"/>
    <mergeCell ref="L66:S66"/>
    <mergeCell ref="F78:I78"/>
    <mergeCell ref="C68:J68"/>
    <mergeCell ref="C46:J46"/>
    <mergeCell ref="L49:S49"/>
    <mergeCell ref="L50:S50"/>
    <mergeCell ref="L51:S51"/>
    <mergeCell ref="L52:S52"/>
    <mergeCell ref="L55:S55"/>
    <mergeCell ref="L54:S54"/>
    <mergeCell ref="L53:S53"/>
    <mergeCell ref="C53:J53"/>
    <mergeCell ref="L57:S57"/>
    <mergeCell ref="L58:S58"/>
    <mergeCell ref="L59:S59"/>
    <mergeCell ref="L60:S60"/>
    <mergeCell ref="L67:S67"/>
    <mergeCell ref="L43:S43"/>
    <mergeCell ref="L44:S44"/>
    <mergeCell ref="L45:S45"/>
    <mergeCell ref="L46:S46"/>
    <mergeCell ref="L47:S47"/>
    <mergeCell ref="C41:J42"/>
    <mergeCell ref="F75:I75"/>
    <mergeCell ref="F76:I76"/>
    <mergeCell ref="F79:I79"/>
    <mergeCell ref="C74:J74"/>
    <mergeCell ref="C66:J66"/>
    <mergeCell ref="C65:J65"/>
    <mergeCell ref="C64:J64"/>
    <mergeCell ref="C63:J63"/>
    <mergeCell ref="C62:J62"/>
    <mergeCell ref="C61:J61"/>
    <mergeCell ref="C60:J60"/>
    <mergeCell ref="C59:J59"/>
    <mergeCell ref="C57:J57"/>
    <mergeCell ref="C54:J54"/>
    <mergeCell ref="F77:I77"/>
    <mergeCell ref="C13:J13"/>
    <mergeCell ref="C21:J21"/>
    <mergeCell ref="E22:J22"/>
    <mergeCell ref="D16:J18"/>
    <mergeCell ref="E31:J32"/>
    <mergeCell ref="E28:J28"/>
    <mergeCell ref="E29:J30"/>
    <mergeCell ref="E23:J24"/>
    <mergeCell ref="E25:J26"/>
    <mergeCell ref="E27:J27"/>
    <mergeCell ref="C3:F3"/>
    <mergeCell ref="D8:J10"/>
    <mergeCell ref="D14:J14"/>
    <mergeCell ref="C73:J73"/>
    <mergeCell ref="C47:J47"/>
    <mergeCell ref="C45:J45"/>
    <mergeCell ref="C44:J44"/>
    <mergeCell ref="C72:J72"/>
    <mergeCell ref="C58:J58"/>
    <mergeCell ref="C55:J55"/>
    <mergeCell ref="C52:J52"/>
    <mergeCell ref="C51:J51"/>
    <mergeCell ref="C50:J50"/>
    <mergeCell ref="C49:J49"/>
    <mergeCell ref="C43:J43"/>
    <mergeCell ref="D15:J15"/>
  </mergeCells>
  <hyperlinks>
    <hyperlink ref="F75" r:id="rId1" xr:uid="{00000000-0004-0000-0000-000000000000}"/>
    <hyperlink ref="F76" r:id="rId2" xr:uid="{00000000-0004-0000-0000-000001000000}"/>
    <hyperlink ref="F79" r:id="rId3" xr:uid="{00000000-0004-0000-0000-000002000000}"/>
    <hyperlink ref="C72:J72" r:id="rId4" display="For public beta release under the NIST Software Disclaimer." xr:uid="{00000000-0004-0000-0000-000003000000}"/>
    <hyperlink ref="F77" r:id="rId5" xr:uid="{00000000-0004-0000-0000-000004000000}"/>
    <hyperlink ref="F78" r:id="rId6" xr:uid="{00000000-0004-0000-0000-000005000000}"/>
    <hyperlink ref="H6" r:id="rId7" xr:uid="{CC37D8E4-FC29-4A0C-8216-3367B1BC3E3D}"/>
  </hyperlinks>
  <pageMargins left="0.7" right="0.7" top="0.75" bottom="0.75" header="0.3" footer="0.3"/>
  <pageSetup orientation="portrait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Z54"/>
  <sheetViews>
    <sheetView showGridLines="0" zoomScale="90" zoomScaleNormal="90" workbookViewId="0">
      <pane xSplit="11" ySplit="2" topLeftCell="L3" activePane="bottomRight" state="frozen"/>
      <selection pane="topRight"/>
      <selection pane="bottomLeft"/>
      <selection pane="bottomRight" activeCell="M7" sqref="M7"/>
    </sheetView>
  </sheetViews>
  <sheetFormatPr defaultColWidth="9.140625" defaultRowHeight="15.75" x14ac:dyDescent="0.25"/>
  <cols>
    <col min="1" max="1" width="18" style="2" customWidth="1"/>
    <col min="2" max="2" width="0.28515625" style="2" customWidth="1"/>
    <col min="3" max="3" width="3.85546875" style="2" hidden="1" customWidth="1"/>
    <col min="4" max="4" width="2.5703125" style="2" hidden="1" customWidth="1"/>
    <col min="5" max="6" width="9.140625" style="2" hidden="1" customWidth="1"/>
    <col min="7" max="7" width="4.28515625" style="2" hidden="1" customWidth="1"/>
    <col min="8" max="8" width="10.85546875" style="2" hidden="1" customWidth="1"/>
    <col min="9" max="9" width="9.5703125" style="2" hidden="1" customWidth="1"/>
    <col min="10" max="11" width="9.140625" style="2" hidden="1" customWidth="1"/>
    <col min="12" max="12" width="12.7109375" style="23" bestFit="1" customWidth="1"/>
    <col min="13" max="13" width="15.85546875" style="23" bestFit="1" customWidth="1"/>
    <col min="14" max="14" width="12.140625" style="23" bestFit="1" customWidth="1"/>
    <col min="15" max="15" width="14.42578125" style="23" bestFit="1" customWidth="1"/>
    <col min="16" max="19" width="12.140625" style="23" bestFit="1" customWidth="1"/>
    <col min="20" max="20" width="10.85546875" style="50" bestFit="1" customWidth="1"/>
    <col min="21" max="21" width="13.5703125" style="23" bestFit="1" customWidth="1"/>
    <col min="22" max="22" width="16.5703125" style="23" bestFit="1" customWidth="1"/>
    <col min="23" max="23" width="16.140625" style="2" bestFit="1" customWidth="1"/>
  </cols>
  <sheetData>
    <row r="1" spans="1:23" s="28" customFormat="1" x14ac:dyDescent="0.25">
      <c r="A1" s="37" t="s">
        <v>74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44" t="s">
        <v>12</v>
      </c>
      <c r="U1" s="29" t="s">
        <v>10</v>
      </c>
      <c r="V1" s="29" t="s">
        <v>11</v>
      </c>
      <c r="W1" s="27"/>
    </row>
    <row r="2" spans="1:23" ht="15.75" hidden="1" customHeight="1" x14ac:dyDescent="0.25">
      <c r="A2" s="1" t="s">
        <v>94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FA 12:1</v>
      </c>
      <c r="C2" s="1" t="str">
        <f t="shared" ref="C2" si="0">MID(B2,4,FIND(":",B2)-FIND(" ",B2)-1)</f>
        <v>12</v>
      </c>
      <c r="D2" s="1" t="str">
        <f t="shared" ref="D2" si="1">IF(ISNUMBER(SEARCH("__",B2)),MID(B2,FIND(":",B2)+1,FIND("__",B2)-FIND(":",B2)-1),MID(B2,FIND(":",B2)+1,7))</f>
        <v>1</v>
      </c>
      <c r="E2" s="1"/>
      <c r="F2" s="1"/>
      <c r="G2" s="1" t="str">
        <f t="shared" ref="G2" si="2">C2</f>
        <v>12</v>
      </c>
      <c r="H2" s="1">
        <f t="shared" ref="H2" si="3">2*G2-(2*D2)-((LEN(A2)-LEN(SUBSTITUTE(A2,"_O_","")))/LEN("_O_"))*2-((LEN(A2)-LEN(SUBSTITUTE(A2,"_CHO_","")))/LEN("_CHO_"))*2-((LEN(A2)-LEN(SUBSTITUTE(A2,"_COOH_","")))/LEN("_COOH_"))*2</f>
        <v>22</v>
      </c>
      <c r="I2" s="1">
        <f t="shared" ref="I2" si="4">2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2</v>
      </c>
      <c r="J2" s="1"/>
      <c r="K2" s="1"/>
      <c r="L2" s="22" t="str">
        <f t="shared" ref="L2" si="5">CONCATENATE("C",G2,"H",H2,"O",I2)</f>
        <v>C12H22O2</v>
      </c>
      <c r="M2" s="22">
        <f t="shared" ref="M2" si="6">(G2*12)+(H2*1.0078246)+(I2*15.994915)</f>
        <v>198.16197120000001</v>
      </c>
      <c r="N2" s="22">
        <f t="shared" ref="N2" si="7">M2+1.0078246-0.00055</f>
        <v>199.1692458</v>
      </c>
      <c r="O2" s="19">
        <f t="shared" ref="O2" si="8">N2-18.01057-0.00055</f>
        <v>181.15812579999999</v>
      </c>
      <c r="P2" s="22">
        <f t="shared" ref="P2" si="9">M2+18.03437-0.00055</f>
        <v>216.1957912</v>
      </c>
      <c r="Q2" s="22">
        <f t="shared" ref="Q2" si="10">M2+22.98977-0.00055</f>
        <v>221.1511912</v>
      </c>
      <c r="R2" s="22">
        <f t="shared" ref="R2" si="11">M2+38.96371-0.00055</f>
        <v>237.1251312</v>
      </c>
      <c r="S2" s="22">
        <f t="shared" ref="S2" si="12">M2+7.01601-0.00055</f>
        <v>205.1774312</v>
      </c>
      <c r="T2" s="49">
        <f t="shared" ref="T2" si="13">M2-1.0078246+0.00055</f>
        <v>197.15469660000002</v>
      </c>
      <c r="U2" s="22">
        <f t="shared" ref="U2" si="14">M2+44.99767+0.00055</f>
        <v>243.16019120000001</v>
      </c>
      <c r="V2" s="22">
        <f t="shared" ref="V2" si="15">M2+59.01332+0.00055</f>
        <v>257.17584119999998</v>
      </c>
      <c r="W2" s="1"/>
    </row>
    <row r="3" spans="1:23" x14ac:dyDescent="0.25">
      <c r="A3" s="2" t="s">
        <v>664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FA 9:0</v>
      </c>
      <c r="C3" s="1" t="str">
        <f t="shared" ref="C3" si="16">MID(B3,4,FIND(":",B3)-FIND(" ",B3)-1)</f>
        <v>9</v>
      </c>
      <c r="D3" s="1" t="str">
        <f t="shared" ref="D3" si="17">IF(ISNUMBER(SEARCH("__",B3)),MID(B3,FIND(":",B3)+1,FIND("__",B3)-FIND(":",B3)-1),MID(B3,FIND(":",B3)+1,7))</f>
        <v>0</v>
      </c>
      <c r="E3" s="1"/>
      <c r="F3" s="1"/>
      <c r="G3" s="1" t="str">
        <f t="shared" ref="G3" si="18">C3</f>
        <v>9</v>
      </c>
      <c r="H3" s="1">
        <f t="shared" ref="H3" si="19">2*G3-(2*D3)-((LEN(A3)-LEN(SUBSTITUTE(A3,"_O_","")))/LEN("_O_"))*2-((LEN(A3)-LEN(SUBSTITUTE(A3,"_CHO_","")))/LEN("_CHO_"))*2-((LEN(A3)-LEN(SUBSTITUTE(A3,"_COOH_","")))/LEN("_COOH_"))*2</f>
        <v>18</v>
      </c>
      <c r="I3" s="1">
        <f t="shared" ref="I3" si="20">2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2</v>
      </c>
      <c r="J3" s="1"/>
      <c r="K3" s="1"/>
      <c r="L3" s="22" t="str">
        <f t="shared" ref="L3" si="21">CONCATENATE("C",G3,"H",H3,"O",I3)</f>
        <v>C9H18O2</v>
      </c>
      <c r="M3" s="22">
        <f t="shared" ref="M3" si="22">(G3*12)+(H3*1.0078246)+(I3*15.994915)</f>
        <v>158.13067280000001</v>
      </c>
      <c r="N3" s="22">
        <f t="shared" ref="N3" si="23">M3+1.0078246-0.00055</f>
        <v>159.1379474</v>
      </c>
      <c r="O3" s="19">
        <f t="shared" ref="O3" si="24">N3-18.01057-0.00055</f>
        <v>141.1268274</v>
      </c>
      <c r="P3" s="22">
        <f t="shared" ref="P3" si="25">M3+18.03437-0.00055</f>
        <v>176.1644928</v>
      </c>
      <c r="Q3" s="22">
        <f t="shared" ref="Q3" si="26">M3+22.98977-0.00055</f>
        <v>181.1198928</v>
      </c>
      <c r="R3" s="22">
        <f t="shared" ref="R3" si="27">M3+38.96371-0.00055</f>
        <v>197.0938328</v>
      </c>
      <c r="S3" s="22">
        <f t="shared" ref="S3" si="28">M3+7.01601-0.00055</f>
        <v>165.1461328</v>
      </c>
      <c r="T3" s="49">
        <f t="shared" ref="T3" si="29">M3-1.0078246+0.00055</f>
        <v>157.12339820000003</v>
      </c>
      <c r="U3" s="22">
        <f t="shared" ref="U3" si="30">M3+44.99767+0.00055</f>
        <v>203.12889280000002</v>
      </c>
      <c r="V3" s="22">
        <f t="shared" ref="V3" si="31">M3+59.01332+0.00055</f>
        <v>217.14454280000001</v>
      </c>
      <c r="W3" s="1"/>
    </row>
    <row r="4" spans="1:23" x14ac:dyDescent="0.25">
      <c r="A4" s="2" t="s">
        <v>339</v>
      </c>
      <c r="B4" s="17" t="str">
        <f t="shared" ref="B4:B41" si="32"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FA 10:1</v>
      </c>
      <c r="C4" s="1" t="str">
        <f t="shared" ref="C4:C30" si="33">MID(B4,4,FIND(":",B4)-FIND(" ",B4)-1)</f>
        <v>10</v>
      </c>
      <c r="D4" s="1" t="str">
        <f t="shared" ref="D4:D30" si="34">IF(ISNUMBER(SEARCH("__",B4)),MID(B4,FIND(":",B4)+1,FIND("__",B4)-FIND(":",B4)-1),MID(B4,FIND(":",B4)+1,7))</f>
        <v>1</v>
      </c>
      <c r="E4" s="1"/>
      <c r="F4" s="1"/>
      <c r="G4" s="1" t="str">
        <f t="shared" ref="G4:G30" si="35">C4</f>
        <v>10</v>
      </c>
      <c r="H4" s="1">
        <f t="shared" ref="H4:H30" si="36">2*G4-(2*D4)-((LEN(A4)-LEN(SUBSTITUTE(A4,"_O_","")))/LEN("_O_"))*2-((LEN(A4)-LEN(SUBSTITUTE(A4,"_CHO_","")))/LEN("_CHO_"))*2-((LEN(A4)-LEN(SUBSTITUTE(A4,"_COOH_","")))/LEN("_COOH_"))*2</f>
        <v>18</v>
      </c>
      <c r="I4" s="1">
        <f t="shared" ref="I4:I30" si="37">2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2</v>
      </c>
      <c r="J4" s="1"/>
      <c r="K4" s="1"/>
      <c r="L4" s="22" t="str">
        <f t="shared" ref="L4:L30" si="38">CONCATENATE("C",G4,"H",H4,"O",I4)</f>
        <v>C10H18O2</v>
      </c>
      <c r="M4" s="22">
        <f t="shared" ref="M4:M30" si="39">(G4*12)+(H4*1.0078246)+(I4*15.994915)</f>
        <v>170.13067280000001</v>
      </c>
      <c r="N4" s="22">
        <f t="shared" ref="N4:N30" si="40">M4+1.0078246-0.00055</f>
        <v>171.1379474</v>
      </c>
      <c r="O4" s="19">
        <f t="shared" ref="O4:O30" si="41">N4-18.01057-0.00055</f>
        <v>153.1268274</v>
      </c>
      <c r="P4" s="22">
        <f t="shared" ref="P4:P30" si="42">M4+18.03437-0.00055</f>
        <v>188.1644928</v>
      </c>
      <c r="Q4" s="22">
        <f t="shared" ref="Q4:Q30" si="43">M4+22.98977-0.00055</f>
        <v>193.1198928</v>
      </c>
      <c r="R4" s="22">
        <f t="shared" ref="R4:R30" si="44">M4+38.96371-0.00055</f>
        <v>209.0938328</v>
      </c>
      <c r="S4" s="22">
        <f t="shared" ref="S4:S30" si="45">M4+7.01601-0.00055</f>
        <v>177.1461328</v>
      </c>
      <c r="T4" s="49">
        <f t="shared" ref="T4:T30" si="46">M4-1.0078246+0.00055</f>
        <v>169.12339820000003</v>
      </c>
      <c r="U4" s="22">
        <f t="shared" ref="U4:U30" si="47">M4+44.99767+0.00055</f>
        <v>215.12889280000002</v>
      </c>
      <c r="V4" s="22">
        <f t="shared" ref="V4:V30" si="48">M4+59.01332+0.00055</f>
        <v>229.14454280000001</v>
      </c>
      <c r="W4" s="1"/>
    </row>
    <row r="5" spans="1:23" x14ac:dyDescent="0.25">
      <c r="A5" s="2" t="s">
        <v>319</v>
      </c>
      <c r="B5" s="17" t="str">
        <f t="shared" si="32"/>
        <v>FA 10:0</v>
      </c>
      <c r="C5" s="1" t="str">
        <f t="shared" si="33"/>
        <v>10</v>
      </c>
      <c r="D5" s="1" t="str">
        <f t="shared" si="34"/>
        <v>0</v>
      </c>
      <c r="E5" s="1"/>
      <c r="F5" s="1"/>
      <c r="G5" s="1" t="str">
        <f t="shared" si="35"/>
        <v>10</v>
      </c>
      <c r="H5" s="1">
        <f t="shared" si="36"/>
        <v>20</v>
      </c>
      <c r="I5" s="1">
        <f t="shared" si="37"/>
        <v>2</v>
      </c>
      <c r="J5" s="1"/>
      <c r="K5" s="1"/>
      <c r="L5" s="22" t="str">
        <f t="shared" si="38"/>
        <v>C10H20O2</v>
      </c>
      <c r="M5" s="22">
        <f t="shared" si="39"/>
        <v>172.14632200000003</v>
      </c>
      <c r="N5" s="22">
        <f t="shared" si="40"/>
        <v>173.15359660000001</v>
      </c>
      <c r="O5" s="19">
        <f t="shared" si="41"/>
        <v>155.14247660000001</v>
      </c>
      <c r="P5" s="22">
        <f t="shared" si="42"/>
        <v>190.18014200000002</v>
      </c>
      <c r="Q5" s="22">
        <f t="shared" si="43"/>
        <v>195.13554200000002</v>
      </c>
      <c r="R5" s="22">
        <f t="shared" si="44"/>
        <v>211.10948200000001</v>
      </c>
      <c r="S5" s="22">
        <f t="shared" si="45"/>
        <v>179.16178200000002</v>
      </c>
      <c r="T5" s="49">
        <f t="shared" si="46"/>
        <v>171.13904740000004</v>
      </c>
      <c r="U5" s="22">
        <f t="shared" si="47"/>
        <v>217.14454200000003</v>
      </c>
      <c r="V5" s="22">
        <f t="shared" si="48"/>
        <v>231.16019200000002</v>
      </c>
      <c r="W5" s="1"/>
    </row>
    <row r="6" spans="1:23" x14ac:dyDescent="0.25">
      <c r="A6" s="2" t="s">
        <v>340</v>
      </c>
      <c r="B6" s="17" t="str">
        <f t="shared" si="32"/>
        <v>FA 11:1</v>
      </c>
      <c r="C6" s="1" t="str">
        <f t="shared" si="33"/>
        <v>11</v>
      </c>
      <c r="D6" s="1" t="str">
        <f t="shared" si="34"/>
        <v>1</v>
      </c>
      <c r="E6" s="1"/>
      <c r="F6" s="1"/>
      <c r="G6" s="1" t="str">
        <f t="shared" si="35"/>
        <v>11</v>
      </c>
      <c r="H6" s="1">
        <f t="shared" si="36"/>
        <v>20</v>
      </c>
      <c r="I6" s="1">
        <f t="shared" si="37"/>
        <v>2</v>
      </c>
      <c r="J6" s="1"/>
      <c r="K6" s="1"/>
      <c r="L6" s="22" t="str">
        <f t="shared" si="38"/>
        <v>C11H20O2</v>
      </c>
      <c r="M6" s="22">
        <f t="shared" si="39"/>
        <v>184.14632200000003</v>
      </c>
      <c r="N6" s="22">
        <f t="shared" si="40"/>
        <v>185.15359660000001</v>
      </c>
      <c r="O6" s="19">
        <f t="shared" si="41"/>
        <v>167.14247660000001</v>
      </c>
      <c r="P6" s="22">
        <f t="shared" si="42"/>
        <v>202.18014200000002</v>
      </c>
      <c r="Q6" s="22">
        <f t="shared" si="43"/>
        <v>207.13554200000002</v>
      </c>
      <c r="R6" s="22">
        <f t="shared" si="44"/>
        <v>223.10948200000001</v>
      </c>
      <c r="S6" s="22">
        <f t="shared" si="45"/>
        <v>191.16178200000002</v>
      </c>
      <c r="T6" s="49">
        <f t="shared" si="46"/>
        <v>183.13904740000004</v>
      </c>
      <c r="U6" s="22">
        <f t="shared" si="47"/>
        <v>229.14454200000003</v>
      </c>
      <c r="V6" s="22">
        <f t="shared" si="48"/>
        <v>243.16019200000002</v>
      </c>
      <c r="W6" s="1"/>
    </row>
    <row r="7" spans="1:23" x14ac:dyDescent="0.25">
      <c r="A7" s="2" t="s">
        <v>320</v>
      </c>
      <c r="B7" s="17" t="str">
        <f t="shared" si="32"/>
        <v>FA 11:0</v>
      </c>
      <c r="C7" s="1" t="str">
        <f t="shared" si="33"/>
        <v>11</v>
      </c>
      <c r="D7" s="1" t="str">
        <f t="shared" si="34"/>
        <v>0</v>
      </c>
      <c r="E7" s="1"/>
      <c r="F7" s="1"/>
      <c r="G7" s="1" t="str">
        <f t="shared" si="35"/>
        <v>11</v>
      </c>
      <c r="H7" s="1">
        <f t="shared" si="36"/>
        <v>22</v>
      </c>
      <c r="I7" s="1">
        <f t="shared" si="37"/>
        <v>2</v>
      </c>
      <c r="J7" s="1"/>
      <c r="K7" s="1"/>
      <c r="L7" s="22" t="str">
        <f t="shared" si="38"/>
        <v>C11H22O2</v>
      </c>
      <c r="M7" s="22">
        <f t="shared" si="39"/>
        <v>186.16197120000001</v>
      </c>
      <c r="N7" s="22">
        <f t="shared" si="40"/>
        <v>187.1692458</v>
      </c>
      <c r="O7" s="19">
        <f t="shared" si="41"/>
        <v>169.15812579999999</v>
      </c>
      <c r="P7" s="22">
        <f t="shared" si="42"/>
        <v>204.1957912</v>
      </c>
      <c r="Q7" s="22">
        <f t="shared" si="43"/>
        <v>209.1511912</v>
      </c>
      <c r="R7" s="22">
        <f t="shared" si="44"/>
        <v>225.1251312</v>
      </c>
      <c r="S7" s="22">
        <f t="shared" si="45"/>
        <v>193.1774312</v>
      </c>
      <c r="T7" s="49">
        <f t="shared" si="46"/>
        <v>185.15469660000002</v>
      </c>
      <c r="U7" s="22">
        <f t="shared" si="47"/>
        <v>231.16019120000001</v>
      </c>
      <c r="V7" s="22">
        <f t="shared" si="48"/>
        <v>245.17584120000001</v>
      </c>
      <c r="W7" s="1"/>
    </row>
    <row r="8" spans="1:23" x14ac:dyDescent="0.25">
      <c r="A8" s="2" t="s">
        <v>94</v>
      </c>
      <c r="B8" s="17" t="str">
        <f t="shared" si="32"/>
        <v>FA 12:1</v>
      </c>
      <c r="C8" s="1" t="str">
        <f t="shared" si="33"/>
        <v>12</v>
      </c>
      <c r="D8" s="1" t="str">
        <f t="shared" si="34"/>
        <v>1</v>
      </c>
      <c r="E8" s="1"/>
      <c r="F8" s="1"/>
      <c r="G8" s="1" t="str">
        <f t="shared" si="35"/>
        <v>12</v>
      </c>
      <c r="H8" s="1">
        <f t="shared" si="36"/>
        <v>22</v>
      </c>
      <c r="I8" s="1">
        <f t="shared" si="37"/>
        <v>2</v>
      </c>
      <c r="J8" s="1"/>
      <c r="K8" s="1"/>
      <c r="L8" s="22" t="str">
        <f t="shared" si="38"/>
        <v>C12H22O2</v>
      </c>
      <c r="M8" s="22">
        <f t="shared" si="39"/>
        <v>198.16197120000001</v>
      </c>
      <c r="N8" s="22">
        <f t="shared" si="40"/>
        <v>199.1692458</v>
      </c>
      <c r="O8" s="19">
        <f t="shared" si="41"/>
        <v>181.15812579999999</v>
      </c>
      <c r="P8" s="22">
        <f t="shared" si="42"/>
        <v>216.1957912</v>
      </c>
      <c r="Q8" s="22">
        <f t="shared" si="43"/>
        <v>221.1511912</v>
      </c>
      <c r="R8" s="22">
        <f t="shared" si="44"/>
        <v>237.1251312</v>
      </c>
      <c r="S8" s="22">
        <f t="shared" si="45"/>
        <v>205.1774312</v>
      </c>
      <c r="T8" s="49">
        <f t="shared" si="46"/>
        <v>197.15469660000002</v>
      </c>
      <c r="U8" s="22">
        <f t="shared" si="47"/>
        <v>243.16019120000001</v>
      </c>
      <c r="V8" s="22">
        <f t="shared" si="48"/>
        <v>257.17584119999998</v>
      </c>
      <c r="W8" s="1"/>
    </row>
    <row r="9" spans="1:23" x14ac:dyDescent="0.25">
      <c r="A9" s="2" t="s">
        <v>321</v>
      </c>
      <c r="B9" s="17" t="str">
        <f t="shared" si="32"/>
        <v>FA 12:0</v>
      </c>
      <c r="C9" s="1" t="str">
        <f t="shared" si="33"/>
        <v>12</v>
      </c>
      <c r="D9" s="1" t="str">
        <f t="shared" si="34"/>
        <v>0</v>
      </c>
      <c r="E9" s="1"/>
      <c r="F9" s="1"/>
      <c r="G9" s="1" t="str">
        <f t="shared" si="35"/>
        <v>12</v>
      </c>
      <c r="H9" s="1">
        <f t="shared" si="36"/>
        <v>24</v>
      </c>
      <c r="I9" s="1">
        <f t="shared" si="37"/>
        <v>2</v>
      </c>
      <c r="J9" s="1"/>
      <c r="K9" s="1"/>
      <c r="L9" s="22" t="str">
        <f t="shared" si="38"/>
        <v>C12H24O2</v>
      </c>
      <c r="M9" s="22">
        <f t="shared" si="39"/>
        <v>200.1776204</v>
      </c>
      <c r="N9" s="22">
        <f t="shared" si="40"/>
        <v>201.18489499999998</v>
      </c>
      <c r="O9" s="19">
        <f t="shared" si="41"/>
        <v>183.17377499999998</v>
      </c>
      <c r="P9" s="22">
        <f t="shared" si="42"/>
        <v>218.21144039999999</v>
      </c>
      <c r="Q9" s="22">
        <f t="shared" si="43"/>
        <v>223.16684039999998</v>
      </c>
      <c r="R9" s="22">
        <f t="shared" si="44"/>
        <v>239.14078039999998</v>
      </c>
      <c r="S9" s="22">
        <f t="shared" si="45"/>
        <v>207.19308039999999</v>
      </c>
      <c r="T9" s="49">
        <f t="shared" si="46"/>
        <v>199.17034580000001</v>
      </c>
      <c r="U9" s="22">
        <f t="shared" si="47"/>
        <v>245.1758404</v>
      </c>
      <c r="V9" s="22">
        <f t="shared" si="48"/>
        <v>259.19149039999996</v>
      </c>
      <c r="W9" s="1"/>
    </row>
    <row r="10" spans="1:23" x14ac:dyDescent="0.25">
      <c r="A10" s="2" t="s">
        <v>341</v>
      </c>
      <c r="B10" s="17" t="str">
        <f t="shared" si="32"/>
        <v>FA 13:1</v>
      </c>
      <c r="C10" s="1" t="str">
        <f t="shared" si="33"/>
        <v>13</v>
      </c>
      <c r="D10" s="1" t="str">
        <f t="shared" si="34"/>
        <v>1</v>
      </c>
      <c r="E10" s="1"/>
      <c r="F10" s="1"/>
      <c r="G10" s="1" t="str">
        <f t="shared" si="35"/>
        <v>13</v>
      </c>
      <c r="H10" s="1">
        <f t="shared" si="36"/>
        <v>24</v>
      </c>
      <c r="I10" s="1">
        <f t="shared" si="37"/>
        <v>2</v>
      </c>
      <c r="J10" s="1"/>
      <c r="K10" s="1"/>
      <c r="L10" s="22" t="str">
        <f t="shared" si="38"/>
        <v>C13H24O2</v>
      </c>
      <c r="M10" s="22">
        <f t="shared" si="39"/>
        <v>212.1776204</v>
      </c>
      <c r="N10" s="22">
        <f t="shared" si="40"/>
        <v>213.18489499999998</v>
      </c>
      <c r="O10" s="19">
        <f t="shared" si="41"/>
        <v>195.17377499999998</v>
      </c>
      <c r="P10" s="22">
        <f t="shared" si="42"/>
        <v>230.21144039999999</v>
      </c>
      <c r="Q10" s="22">
        <f t="shared" si="43"/>
        <v>235.16684039999998</v>
      </c>
      <c r="R10" s="22">
        <f t="shared" si="44"/>
        <v>251.14078039999998</v>
      </c>
      <c r="S10" s="22">
        <f t="shared" si="45"/>
        <v>219.19308039999999</v>
      </c>
      <c r="T10" s="49">
        <f t="shared" si="46"/>
        <v>211.17034580000001</v>
      </c>
      <c r="U10" s="22">
        <f t="shared" si="47"/>
        <v>257.17584039999997</v>
      </c>
      <c r="V10" s="22">
        <f t="shared" si="48"/>
        <v>271.19149039999996</v>
      </c>
      <c r="W10" s="1"/>
    </row>
    <row r="11" spans="1:23" x14ac:dyDescent="0.25">
      <c r="A11" s="2" t="s">
        <v>322</v>
      </c>
      <c r="B11" s="17" t="str">
        <f t="shared" si="32"/>
        <v>FA 13:0</v>
      </c>
      <c r="C11" s="1" t="str">
        <f t="shared" si="33"/>
        <v>13</v>
      </c>
      <c r="D11" s="1" t="str">
        <f t="shared" si="34"/>
        <v>0</v>
      </c>
      <c r="E11" s="1"/>
      <c r="F11" s="1"/>
      <c r="G11" s="1" t="str">
        <f t="shared" si="35"/>
        <v>13</v>
      </c>
      <c r="H11" s="1">
        <f t="shared" si="36"/>
        <v>26</v>
      </c>
      <c r="I11" s="1">
        <f t="shared" si="37"/>
        <v>2</v>
      </c>
      <c r="J11" s="1"/>
      <c r="K11" s="1"/>
      <c r="L11" s="22" t="str">
        <f t="shared" si="38"/>
        <v>C13H26O2</v>
      </c>
      <c r="M11" s="22">
        <f t="shared" si="39"/>
        <v>214.19326960000001</v>
      </c>
      <c r="N11" s="22">
        <f t="shared" si="40"/>
        <v>215.2005442</v>
      </c>
      <c r="O11" s="19">
        <f t="shared" si="41"/>
        <v>197.18942419999999</v>
      </c>
      <c r="P11" s="22">
        <f t="shared" si="42"/>
        <v>232.2270896</v>
      </c>
      <c r="Q11" s="22">
        <f t="shared" si="43"/>
        <v>237.1824896</v>
      </c>
      <c r="R11" s="22">
        <f t="shared" si="44"/>
        <v>253.1564296</v>
      </c>
      <c r="S11" s="22">
        <f t="shared" si="45"/>
        <v>221.2087296</v>
      </c>
      <c r="T11" s="49">
        <f t="shared" si="46"/>
        <v>213.18599500000002</v>
      </c>
      <c r="U11" s="22">
        <f t="shared" si="47"/>
        <v>259.19148959999995</v>
      </c>
      <c r="V11" s="22">
        <f t="shared" si="48"/>
        <v>273.2071396</v>
      </c>
      <c r="W11" s="1"/>
    </row>
    <row r="12" spans="1:23" x14ac:dyDescent="0.25">
      <c r="A12" s="2" t="s">
        <v>566</v>
      </c>
      <c r="B12" s="17" t="str">
        <f t="shared" si="32"/>
        <v>FA 14:2</v>
      </c>
      <c r="C12" s="1" t="str">
        <f t="shared" si="33"/>
        <v>14</v>
      </c>
      <c r="D12" s="1" t="str">
        <f t="shared" si="34"/>
        <v>2</v>
      </c>
      <c r="E12" s="1"/>
      <c r="F12" s="1"/>
      <c r="G12" s="1" t="str">
        <f t="shared" si="35"/>
        <v>14</v>
      </c>
      <c r="H12" s="1">
        <f t="shared" si="36"/>
        <v>24</v>
      </c>
      <c r="I12" s="1">
        <f t="shared" si="37"/>
        <v>2</v>
      </c>
      <c r="J12" s="1"/>
      <c r="K12" s="1"/>
      <c r="L12" s="22" t="str">
        <f t="shared" si="38"/>
        <v>C14H24O2</v>
      </c>
      <c r="M12" s="22">
        <f t="shared" si="39"/>
        <v>224.1776204</v>
      </c>
      <c r="N12" s="22">
        <f t="shared" si="40"/>
        <v>225.18489499999998</v>
      </c>
      <c r="O12" s="19">
        <f t="shared" si="41"/>
        <v>207.17377499999998</v>
      </c>
      <c r="P12" s="22">
        <f t="shared" si="42"/>
        <v>242.21144039999999</v>
      </c>
      <c r="Q12" s="22">
        <f t="shared" si="43"/>
        <v>247.16684039999998</v>
      </c>
      <c r="R12" s="22">
        <f t="shared" si="44"/>
        <v>263.14078040000004</v>
      </c>
      <c r="S12" s="22">
        <f t="shared" si="45"/>
        <v>231.19308039999999</v>
      </c>
      <c r="T12" s="49">
        <f t="shared" si="46"/>
        <v>223.17034580000001</v>
      </c>
      <c r="U12" s="22">
        <f t="shared" si="47"/>
        <v>269.17584039999997</v>
      </c>
      <c r="V12" s="22">
        <f t="shared" si="48"/>
        <v>283.19149039999996</v>
      </c>
      <c r="W12" s="1"/>
    </row>
    <row r="13" spans="1:23" x14ac:dyDescent="0.25">
      <c r="A13" s="2" t="s">
        <v>338</v>
      </c>
      <c r="B13" s="17" t="str">
        <f t="shared" si="32"/>
        <v>FA 14:1</v>
      </c>
      <c r="C13" s="1" t="str">
        <f t="shared" si="33"/>
        <v>14</v>
      </c>
      <c r="D13" s="1" t="str">
        <f t="shared" si="34"/>
        <v>1</v>
      </c>
      <c r="E13" s="1"/>
      <c r="F13" s="1"/>
      <c r="G13" s="1" t="str">
        <f t="shared" si="35"/>
        <v>14</v>
      </c>
      <c r="H13" s="1">
        <f t="shared" si="36"/>
        <v>26</v>
      </c>
      <c r="I13" s="1">
        <f t="shared" si="37"/>
        <v>2</v>
      </c>
      <c r="J13" s="1"/>
      <c r="K13" s="1"/>
      <c r="L13" s="22" t="str">
        <f t="shared" si="38"/>
        <v>C14H26O2</v>
      </c>
      <c r="M13" s="22">
        <f t="shared" si="39"/>
        <v>226.19326960000001</v>
      </c>
      <c r="N13" s="22">
        <f t="shared" si="40"/>
        <v>227.2005442</v>
      </c>
      <c r="O13" s="19">
        <f t="shared" si="41"/>
        <v>209.18942419999999</v>
      </c>
      <c r="P13" s="22">
        <f t="shared" si="42"/>
        <v>244.2270896</v>
      </c>
      <c r="Q13" s="22">
        <f t="shared" si="43"/>
        <v>249.1824896</v>
      </c>
      <c r="R13" s="22">
        <f t="shared" si="44"/>
        <v>265.15642960000002</v>
      </c>
      <c r="S13" s="22">
        <f t="shared" si="45"/>
        <v>233.2087296</v>
      </c>
      <c r="T13" s="49">
        <f t="shared" si="46"/>
        <v>225.18599500000002</v>
      </c>
      <c r="U13" s="22">
        <f t="shared" si="47"/>
        <v>271.19148959999995</v>
      </c>
      <c r="V13" s="22">
        <f t="shared" si="48"/>
        <v>285.2071396</v>
      </c>
      <c r="W13" s="1"/>
    </row>
    <row r="14" spans="1:23" x14ac:dyDescent="0.25">
      <c r="A14" s="2" t="s">
        <v>323</v>
      </c>
      <c r="B14" s="17" t="str">
        <f t="shared" si="32"/>
        <v>FA 14:0</v>
      </c>
      <c r="C14" s="1" t="str">
        <f t="shared" si="33"/>
        <v>14</v>
      </c>
      <c r="D14" s="1" t="str">
        <f t="shared" si="34"/>
        <v>0</v>
      </c>
      <c r="E14" s="1"/>
      <c r="F14" s="1"/>
      <c r="G14" s="1" t="str">
        <f t="shared" si="35"/>
        <v>14</v>
      </c>
      <c r="H14" s="1">
        <f t="shared" si="36"/>
        <v>28</v>
      </c>
      <c r="I14" s="1">
        <f t="shared" si="37"/>
        <v>2</v>
      </c>
      <c r="J14" s="1"/>
      <c r="K14" s="1"/>
      <c r="L14" s="22" t="str">
        <f t="shared" si="38"/>
        <v>C14H28O2</v>
      </c>
      <c r="M14" s="22">
        <f t="shared" si="39"/>
        <v>228.20891880000002</v>
      </c>
      <c r="N14" s="22">
        <f t="shared" si="40"/>
        <v>229.21619340000001</v>
      </c>
      <c r="O14" s="19">
        <f t="shared" si="41"/>
        <v>211.2050734</v>
      </c>
      <c r="P14" s="22">
        <f t="shared" si="42"/>
        <v>246.24273880000001</v>
      </c>
      <c r="Q14" s="22">
        <f t="shared" si="43"/>
        <v>251.19813880000001</v>
      </c>
      <c r="R14" s="22">
        <f t="shared" si="44"/>
        <v>267.17207880000007</v>
      </c>
      <c r="S14" s="22">
        <f t="shared" si="45"/>
        <v>235.22437880000001</v>
      </c>
      <c r="T14" s="49">
        <f t="shared" si="46"/>
        <v>227.20164420000003</v>
      </c>
      <c r="U14" s="22">
        <f t="shared" si="47"/>
        <v>273.2071388</v>
      </c>
      <c r="V14" s="22">
        <f t="shared" si="48"/>
        <v>287.22278879999999</v>
      </c>
      <c r="W14" s="1"/>
    </row>
    <row r="15" spans="1:23" x14ac:dyDescent="0.25">
      <c r="A15" s="2" t="s">
        <v>567</v>
      </c>
      <c r="B15" s="17" t="str">
        <f t="shared" si="32"/>
        <v>FA 15:2</v>
      </c>
      <c r="C15" s="1" t="str">
        <f t="shared" si="33"/>
        <v>15</v>
      </c>
      <c r="D15" s="1" t="str">
        <f t="shared" si="34"/>
        <v>2</v>
      </c>
      <c r="E15" s="1"/>
      <c r="F15" s="1"/>
      <c r="G15" s="1" t="str">
        <f t="shared" si="35"/>
        <v>15</v>
      </c>
      <c r="H15" s="1">
        <f t="shared" si="36"/>
        <v>26</v>
      </c>
      <c r="I15" s="1">
        <f t="shared" si="37"/>
        <v>2</v>
      </c>
      <c r="J15" s="1"/>
      <c r="K15" s="1"/>
      <c r="L15" s="22" t="str">
        <f t="shared" si="38"/>
        <v>C15H26O2</v>
      </c>
      <c r="M15" s="22">
        <f t="shared" si="39"/>
        <v>238.19326960000001</v>
      </c>
      <c r="N15" s="22">
        <f t="shared" si="40"/>
        <v>239.2005442</v>
      </c>
      <c r="O15" s="19">
        <f t="shared" si="41"/>
        <v>221.18942419999999</v>
      </c>
      <c r="P15" s="22">
        <f t="shared" si="42"/>
        <v>256.22708960000006</v>
      </c>
      <c r="Q15" s="22">
        <f t="shared" si="43"/>
        <v>261.18248960000005</v>
      </c>
      <c r="R15" s="22">
        <f t="shared" si="44"/>
        <v>277.15642960000002</v>
      </c>
      <c r="S15" s="22">
        <f t="shared" si="45"/>
        <v>245.2087296</v>
      </c>
      <c r="T15" s="49">
        <f t="shared" si="46"/>
        <v>237.18599500000002</v>
      </c>
      <c r="U15" s="22">
        <f t="shared" si="47"/>
        <v>283.19148959999995</v>
      </c>
      <c r="V15" s="22">
        <f t="shared" si="48"/>
        <v>297.2071396</v>
      </c>
      <c r="W15" s="1"/>
    </row>
    <row r="16" spans="1:23" x14ac:dyDescent="0.25">
      <c r="A16" s="2" t="s">
        <v>337</v>
      </c>
      <c r="B16" s="17" t="str">
        <f t="shared" si="32"/>
        <v>FA 15:1</v>
      </c>
      <c r="C16" s="1" t="str">
        <f t="shared" si="33"/>
        <v>15</v>
      </c>
      <c r="D16" s="1" t="str">
        <f t="shared" si="34"/>
        <v>1</v>
      </c>
      <c r="E16" s="1"/>
      <c r="F16" s="1"/>
      <c r="G16" s="1" t="str">
        <f t="shared" si="35"/>
        <v>15</v>
      </c>
      <c r="H16" s="1">
        <f t="shared" si="36"/>
        <v>28</v>
      </c>
      <c r="I16" s="1">
        <f t="shared" si="37"/>
        <v>2</v>
      </c>
      <c r="J16" s="1"/>
      <c r="K16" s="1"/>
      <c r="L16" s="22" t="str">
        <f t="shared" si="38"/>
        <v>C15H28O2</v>
      </c>
      <c r="M16" s="22">
        <f t="shared" si="39"/>
        <v>240.20891880000002</v>
      </c>
      <c r="N16" s="22">
        <f t="shared" si="40"/>
        <v>241.21619340000001</v>
      </c>
      <c r="O16" s="19">
        <f t="shared" si="41"/>
        <v>223.2050734</v>
      </c>
      <c r="P16" s="22">
        <f t="shared" si="42"/>
        <v>258.24273880000004</v>
      </c>
      <c r="Q16" s="22">
        <f t="shared" si="43"/>
        <v>263.19813880000004</v>
      </c>
      <c r="R16" s="22">
        <f t="shared" si="44"/>
        <v>279.17207880000007</v>
      </c>
      <c r="S16" s="22">
        <f t="shared" si="45"/>
        <v>247.22437880000001</v>
      </c>
      <c r="T16" s="49">
        <f t="shared" si="46"/>
        <v>239.20164420000003</v>
      </c>
      <c r="U16" s="22">
        <f t="shared" si="47"/>
        <v>285.2071388</v>
      </c>
      <c r="V16" s="22">
        <f t="shared" si="48"/>
        <v>299.22278879999999</v>
      </c>
      <c r="W16" s="1"/>
    </row>
    <row r="17" spans="1:23" x14ac:dyDescent="0.25">
      <c r="A17" s="2" t="s">
        <v>324</v>
      </c>
      <c r="B17" s="17" t="str">
        <f t="shared" si="32"/>
        <v>FA 15:0</v>
      </c>
      <c r="C17" s="1" t="str">
        <f t="shared" si="33"/>
        <v>15</v>
      </c>
      <c r="D17" s="1" t="str">
        <f t="shared" si="34"/>
        <v>0</v>
      </c>
      <c r="E17" s="1"/>
      <c r="F17" s="1"/>
      <c r="G17" s="1" t="str">
        <f t="shared" si="35"/>
        <v>15</v>
      </c>
      <c r="H17" s="1">
        <f t="shared" si="36"/>
        <v>30</v>
      </c>
      <c r="I17" s="1">
        <f t="shared" si="37"/>
        <v>2</v>
      </c>
      <c r="J17" s="1"/>
      <c r="K17" s="1"/>
      <c r="L17" s="22" t="str">
        <f t="shared" si="38"/>
        <v>C15H30O2</v>
      </c>
      <c r="M17" s="22">
        <f t="shared" si="39"/>
        <v>242.224568</v>
      </c>
      <c r="N17" s="22">
        <f t="shared" si="40"/>
        <v>243.23184259999999</v>
      </c>
      <c r="O17" s="19">
        <f t="shared" si="41"/>
        <v>225.22072259999999</v>
      </c>
      <c r="P17" s="22">
        <f t="shared" si="42"/>
        <v>260.25838800000002</v>
      </c>
      <c r="Q17" s="22">
        <f t="shared" si="43"/>
        <v>265.21378800000002</v>
      </c>
      <c r="R17" s="22">
        <f t="shared" si="44"/>
        <v>281.18772800000005</v>
      </c>
      <c r="S17" s="22">
        <f t="shared" si="45"/>
        <v>249.240028</v>
      </c>
      <c r="T17" s="49">
        <f t="shared" si="46"/>
        <v>241.21729340000002</v>
      </c>
      <c r="U17" s="22">
        <f t="shared" si="47"/>
        <v>287.22278799999998</v>
      </c>
      <c r="V17" s="22">
        <f t="shared" si="48"/>
        <v>301.23843799999997</v>
      </c>
      <c r="W17" s="1"/>
    </row>
    <row r="18" spans="1:23" x14ac:dyDescent="0.25">
      <c r="A18" s="2" t="s">
        <v>568</v>
      </c>
      <c r="B18" s="17" t="str">
        <f t="shared" si="32"/>
        <v>FA 16:2</v>
      </c>
      <c r="C18" s="1" t="str">
        <f t="shared" si="33"/>
        <v>16</v>
      </c>
      <c r="D18" s="1" t="str">
        <f t="shared" si="34"/>
        <v>2</v>
      </c>
      <c r="E18" s="1"/>
      <c r="F18" s="1"/>
      <c r="G18" s="1" t="str">
        <f t="shared" si="35"/>
        <v>16</v>
      </c>
      <c r="H18" s="1">
        <f t="shared" si="36"/>
        <v>28</v>
      </c>
      <c r="I18" s="1">
        <f t="shared" si="37"/>
        <v>2</v>
      </c>
      <c r="J18" s="1"/>
      <c r="K18" s="1"/>
      <c r="L18" s="22" t="str">
        <f t="shared" si="38"/>
        <v>C16H28O2</v>
      </c>
      <c r="M18" s="22">
        <f t="shared" si="39"/>
        <v>252.20891880000002</v>
      </c>
      <c r="N18" s="22">
        <f t="shared" si="40"/>
        <v>253.21619340000001</v>
      </c>
      <c r="O18" s="19">
        <f t="shared" si="41"/>
        <v>235.2050734</v>
      </c>
      <c r="P18" s="22">
        <f t="shared" si="42"/>
        <v>270.24273880000004</v>
      </c>
      <c r="Q18" s="22">
        <f t="shared" si="43"/>
        <v>275.19813880000004</v>
      </c>
      <c r="R18" s="22">
        <f t="shared" si="44"/>
        <v>291.17207880000007</v>
      </c>
      <c r="S18" s="22">
        <f t="shared" si="45"/>
        <v>259.22437880000007</v>
      </c>
      <c r="T18" s="49">
        <f t="shared" si="46"/>
        <v>251.20164420000003</v>
      </c>
      <c r="U18" s="22">
        <f t="shared" si="47"/>
        <v>297.2071388</v>
      </c>
      <c r="V18" s="22">
        <f t="shared" si="48"/>
        <v>311.22278879999999</v>
      </c>
      <c r="W18" s="1"/>
    </row>
    <row r="19" spans="1:23" x14ac:dyDescent="0.25">
      <c r="A19" s="2" t="s">
        <v>330</v>
      </c>
      <c r="B19" s="17" t="str">
        <f t="shared" si="32"/>
        <v>FA 16:1</v>
      </c>
      <c r="C19" s="1" t="str">
        <f t="shared" si="33"/>
        <v>16</v>
      </c>
      <c r="D19" s="1" t="str">
        <f t="shared" si="34"/>
        <v>1</v>
      </c>
      <c r="E19" s="1"/>
      <c r="F19" s="1"/>
      <c r="G19" s="1" t="str">
        <f t="shared" si="35"/>
        <v>16</v>
      </c>
      <c r="H19" s="1">
        <f t="shared" si="36"/>
        <v>30</v>
      </c>
      <c r="I19" s="1">
        <f t="shared" si="37"/>
        <v>2</v>
      </c>
      <c r="J19" s="1"/>
      <c r="K19" s="1"/>
      <c r="L19" s="22" t="str">
        <f t="shared" si="38"/>
        <v>C16H30O2</v>
      </c>
      <c r="M19" s="22">
        <f t="shared" si="39"/>
        <v>254.224568</v>
      </c>
      <c r="N19" s="22">
        <f t="shared" si="40"/>
        <v>255.23184259999999</v>
      </c>
      <c r="O19" s="19">
        <f t="shared" si="41"/>
        <v>237.22072259999999</v>
      </c>
      <c r="P19" s="22">
        <f t="shared" si="42"/>
        <v>272.25838800000002</v>
      </c>
      <c r="Q19" s="22">
        <f t="shared" si="43"/>
        <v>277.21378800000002</v>
      </c>
      <c r="R19" s="22">
        <f t="shared" si="44"/>
        <v>293.18772800000005</v>
      </c>
      <c r="S19" s="22">
        <f t="shared" si="45"/>
        <v>261.24002800000005</v>
      </c>
      <c r="T19" s="49">
        <f t="shared" si="46"/>
        <v>253.21729340000002</v>
      </c>
      <c r="U19" s="22">
        <f t="shared" si="47"/>
        <v>299.22278799999998</v>
      </c>
      <c r="V19" s="22">
        <f t="shared" si="48"/>
        <v>313.23843799999997</v>
      </c>
      <c r="W19" s="1"/>
    </row>
    <row r="20" spans="1:23" x14ac:dyDescent="0.25">
      <c r="A20" s="2" t="s">
        <v>93</v>
      </c>
      <c r="B20" s="17" t="str">
        <f t="shared" si="32"/>
        <v>FA 16:0</v>
      </c>
      <c r="C20" s="1" t="str">
        <f t="shared" si="33"/>
        <v>16</v>
      </c>
      <c r="D20" s="1" t="str">
        <f t="shared" si="34"/>
        <v>0</v>
      </c>
      <c r="E20" s="1"/>
      <c r="F20" s="1"/>
      <c r="G20" s="1" t="str">
        <f t="shared" si="35"/>
        <v>16</v>
      </c>
      <c r="H20" s="1">
        <f t="shared" si="36"/>
        <v>32</v>
      </c>
      <c r="I20" s="1">
        <f t="shared" si="37"/>
        <v>2</v>
      </c>
      <c r="J20" s="1"/>
      <c r="K20" s="1"/>
      <c r="L20" s="22" t="str">
        <f t="shared" si="38"/>
        <v>C16H32O2</v>
      </c>
      <c r="M20" s="22">
        <f t="shared" si="39"/>
        <v>256.24021720000002</v>
      </c>
      <c r="N20" s="22">
        <f t="shared" si="40"/>
        <v>257.24749180000003</v>
      </c>
      <c r="O20" s="19">
        <f t="shared" si="41"/>
        <v>239.23637180000003</v>
      </c>
      <c r="P20" s="22">
        <f t="shared" si="42"/>
        <v>274.27403720000007</v>
      </c>
      <c r="Q20" s="22">
        <f t="shared" si="43"/>
        <v>279.22943720000006</v>
      </c>
      <c r="R20" s="22">
        <f t="shared" si="44"/>
        <v>295.20337720000003</v>
      </c>
      <c r="S20" s="22">
        <f t="shared" si="45"/>
        <v>263.25567720000004</v>
      </c>
      <c r="T20" s="49">
        <f t="shared" si="46"/>
        <v>255.23294260000003</v>
      </c>
      <c r="U20" s="22">
        <f t="shared" si="47"/>
        <v>301.23843720000002</v>
      </c>
      <c r="V20" s="22">
        <f t="shared" si="48"/>
        <v>315.25408720000001</v>
      </c>
      <c r="W20" s="1"/>
    </row>
    <row r="21" spans="1:23" x14ac:dyDescent="0.25">
      <c r="A21" s="2" t="s">
        <v>569</v>
      </c>
      <c r="B21" s="17" t="str">
        <f>IF(ISNUMBER(SEARCH("(",A21)),IF(ISNUMBER(SEARCH("/",A21)),CONCATENATE(MID(A21,1,2)," ",(SUM(MID(A21,FIND("(",A21)+1,FIND(":",A21)-FIND("(",A21)-1),MID(A21,FIND("/",A21)+1,FIND(":",A21,FIND("/",A21))-FIND("/",A21)-1))),":",SUM(MID(A21,FIND(":",A21)+1,FIND("/",A21)-FIND(":",A21)-1),MID(A21,FIND(":",A21,FIND("/",A21))+1,FIND(")",A21)-FIND(":",A21,FIND("/",A21))-1)),MID(A21,(FIND(")",A21)+1),100)),CONCATENATE(MID(A21,1,2)," ",(SUM(MID(A21,FIND("(",A21)+1,FIND(":",A21)-FIND("(",A21)-1),MID(A21,FIND("_",A21)+1,FIND(":",A21,FIND("_",A21))-FIND("_",A21)-1))),":",SUM(MID(A21,FIND(":",A21)+1,FIND("_",A21)-FIND(":",A21)-1),MID(A21,FIND(":",A21,FIND("_",A21))+1,FIND(")",A21)-FIND(":",A21,FIND("_",A21))-1)),MID(A21,(FIND(")",A21)+1),100))),A21)</f>
        <v>FA 17:2</v>
      </c>
      <c r="C21" s="1" t="str">
        <f t="shared" si="33"/>
        <v>17</v>
      </c>
      <c r="D21" s="1" t="str">
        <f t="shared" si="34"/>
        <v>2</v>
      </c>
      <c r="E21" s="1"/>
      <c r="F21" s="1"/>
      <c r="G21" s="1" t="str">
        <f t="shared" si="35"/>
        <v>17</v>
      </c>
      <c r="H21" s="1">
        <f t="shared" si="36"/>
        <v>30</v>
      </c>
      <c r="I21" s="1">
        <f t="shared" si="37"/>
        <v>2</v>
      </c>
      <c r="J21" s="1"/>
      <c r="K21" s="1"/>
      <c r="L21" s="22" t="str">
        <f t="shared" si="38"/>
        <v>C17H30O2</v>
      </c>
      <c r="M21" s="22">
        <f t="shared" si="39"/>
        <v>266.22456799999998</v>
      </c>
      <c r="N21" s="22">
        <f t="shared" si="40"/>
        <v>267.23184259999999</v>
      </c>
      <c r="O21" s="19">
        <f t="shared" si="41"/>
        <v>249.22072259999999</v>
      </c>
      <c r="P21" s="22">
        <f t="shared" si="42"/>
        <v>284.25838800000002</v>
      </c>
      <c r="Q21" s="22">
        <f t="shared" si="43"/>
        <v>289.21378800000002</v>
      </c>
      <c r="R21" s="22">
        <f t="shared" si="44"/>
        <v>305.18772799999999</v>
      </c>
      <c r="S21" s="22">
        <f t="shared" si="45"/>
        <v>273.240028</v>
      </c>
      <c r="T21" s="49">
        <f t="shared" si="46"/>
        <v>265.21729339999996</v>
      </c>
      <c r="U21" s="22">
        <f t="shared" si="47"/>
        <v>311.22278799999992</v>
      </c>
      <c r="V21" s="22">
        <f t="shared" si="48"/>
        <v>325.23843799999997</v>
      </c>
      <c r="W21" s="1"/>
    </row>
    <row r="22" spans="1:23" x14ac:dyDescent="0.25">
      <c r="A22" s="2" t="s">
        <v>331</v>
      </c>
      <c r="B22" s="17" t="str">
        <f t="shared" si="32"/>
        <v>FA 17:1</v>
      </c>
      <c r="C22" s="1" t="str">
        <f t="shared" si="33"/>
        <v>17</v>
      </c>
      <c r="D22" s="1" t="str">
        <f t="shared" si="34"/>
        <v>1</v>
      </c>
      <c r="E22" s="1"/>
      <c r="F22" s="1"/>
      <c r="G22" s="1" t="str">
        <f t="shared" si="35"/>
        <v>17</v>
      </c>
      <c r="H22" s="1">
        <f t="shared" si="36"/>
        <v>32</v>
      </c>
      <c r="I22" s="1">
        <f t="shared" si="37"/>
        <v>2</v>
      </c>
      <c r="J22" s="1"/>
      <c r="K22" s="1"/>
      <c r="L22" s="22" t="str">
        <f t="shared" si="38"/>
        <v>C17H32O2</v>
      </c>
      <c r="M22" s="22">
        <f t="shared" si="39"/>
        <v>268.24021720000002</v>
      </c>
      <c r="N22" s="22">
        <f t="shared" si="40"/>
        <v>269.24749180000003</v>
      </c>
      <c r="O22" s="19">
        <f t="shared" si="41"/>
        <v>251.23637180000003</v>
      </c>
      <c r="P22" s="22">
        <f t="shared" si="42"/>
        <v>286.27403720000007</v>
      </c>
      <c r="Q22" s="22">
        <f t="shared" si="43"/>
        <v>291.22943720000006</v>
      </c>
      <c r="R22" s="22">
        <f t="shared" si="44"/>
        <v>307.20337720000003</v>
      </c>
      <c r="S22" s="22">
        <f t="shared" si="45"/>
        <v>275.25567720000004</v>
      </c>
      <c r="T22" s="49">
        <f t="shared" si="46"/>
        <v>267.2329426</v>
      </c>
      <c r="U22" s="22">
        <f t="shared" si="47"/>
        <v>313.23843720000002</v>
      </c>
      <c r="V22" s="22">
        <f t="shared" si="48"/>
        <v>327.25408720000001</v>
      </c>
      <c r="W22" s="1"/>
    </row>
    <row r="23" spans="1:23" x14ac:dyDescent="0.25">
      <c r="A23" s="2" t="s">
        <v>325</v>
      </c>
      <c r="B23" s="17" t="str">
        <f t="shared" si="32"/>
        <v>FA 17:0</v>
      </c>
      <c r="C23" s="1" t="str">
        <f t="shared" si="33"/>
        <v>17</v>
      </c>
      <c r="D23" s="1" t="str">
        <f t="shared" si="34"/>
        <v>0</v>
      </c>
      <c r="E23" s="1"/>
      <c r="F23" s="1"/>
      <c r="G23" s="1" t="str">
        <f t="shared" si="35"/>
        <v>17</v>
      </c>
      <c r="H23" s="1">
        <f t="shared" si="36"/>
        <v>34</v>
      </c>
      <c r="I23" s="1">
        <f t="shared" si="37"/>
        <v>2</v>
      </c>
      <c r="J23" s="1"/>
      <c r="K23" s="1"/>
      <c r="L23" s="22" t="str">
        <f t="shared" si="38"/>
        <v>C17H34O2</v>
      </c>
      <c r="M23" s="22">
        <f t="shared" si="39"/>
        <v>270.2558664</v>
      </c>
      <c r="N23" s="22">
        <f t="shared" si="40"/>
        <v>271.26314100000002</v>
      </c>
      <c r="O23" s="19">
        <f t="shared" si="41"/>
        <v>253.25202100000001</v>
      </c>
      <c r="P23" s="22">
        <f t="shared" si="42"/>
        <v>288.28968640000005</v>
      </c>
      <c r="Q23" s="22">
        <f t="shared" si="43"/>
        <v>293.24508640000005</v>
      </c>
      <c r="R23" s="22">
        <f t="shared" si="44"/>
        <v>309.21902640000002</v>
      </c>
      <c r="S23" s="22">
        <f t="shared" si="45"/>
        <v>277.27132640000002</v>
      </c>
      <c r="T23" s="49">
        <f t="shared" si="46"/>
        <v>269.24859179999999</v>
      </c>
      <c r="U23" s="22">
        <f t="shared" si="47"/>
        <v>315.25408640000001</v>
      </c>
      <c r="V23" s="22">
        <f t="shared" si="48"/>
        <v>329.2697364</v>
      </c>
      <c r="W23" s="1"/>
    </row>
    <row r="24" spans="1:23" x14ac:dyDescent="0.25">
      <c r="A24" s="2" t="s">
        <v>570</v>
      </c>
      <c r="B24" s="17" t="str">
        <f t="shared" si="32"/>
        <v>FA 18:2</v>
      </c>
      <c r="C24" s="1" t="str">
        <f t="shared" si="33"/>
        <v>18</v>
      </c>
      <c r="D24" s="1" t="str">
        <f t="shared" si="34"/>
        <v>2</v>
      </c>
      <c r="E24" s="1"/>
      <c r="F24" s="1"/>
      <c r="G24" s="1" t="str">
        <f t="shared" si="35"/>
        <v>18</v>
      </c>
      <c r="H24" s="1">
        <f t="shared" si="36"/>
        <v>32</v>
      </c>
      <c r="I24" s="1">
        <f t="shared" si="37"/>
        <v>2</v>
      </c>
      <c r="J24" s="1"/>
      <c r="K24" s="1"/>
      <c r="L24" s="22" t="str">
        <f t="shared" si="38"/>
        <v>C18H32O2</v>
      </c>
      <c r="M24" s="22">
        <f t="shared" si="39"/>
        <v>280.24021720000002</v>
      </c>
      <c r="N24" s="22">
        <f t="shared" si="40"/>
        <v>281.24749180000003</v>
      </c>
      <c r="O24" s="19">
        <f t="shared" si="41"/>
        <v>263.23637180000003</v>
      </c>
      <c r="P24" s="22">
        <f t="shared" si="42"/>
        <v>298.27403720000007</v>
      </c>
      <c r="Q24" s="22">
        <f t="shared" si="43"/>
        <v>303.22943720000006</v>
      </c>
      <c r="R24" s="22">
        <f t="shared" si="44"/>
        <v>319.20337720000003</v>
      </c>
      <c r="S24" s="22">
        <f t="shared" si="45"/>
        <v>287.25567720000004</v>
      </c>
      <c r="T24" s="49">
        <f t="shared" si="46"/>
        <v>279.2329426</v>
      </c>
      <c r="U24" s="22">
        <f t="shared" si="47"/>
        <v>325.23843720000002</v>
      </c>
      <c r="V24" s="22">
        <f t="shared" si="48"/>
        <v>339.25408720000001</v>
      </c>
      <c r="W24" s="1"/>
    </row>
    <row r="25" spans="1:23" x14ac:dyDescent="0.25">
      <c r="A25" s="2" t="s">
        <v>332</v>
      </c>
      <c r="B25" s="17" t="str">
        <f t="shared" si="32"/>
        <v>FA 18:1</v>
      </c>
      <c r="C25" s="1" t="str">
        <f t="shared" si="33"/>
        <v>18</v>
      </c>
      <c r="D25" s="1" t="str">
        <f t="shared" si="34"/>
        <v>1</v>
      </c>
      <c r="E25" s="1"/>
      <c r="F25" s="1"/>
      <c r="G25" s="1" t="str">
        <f t="shared" si="35"/>
        <v>18</v>
      </c>
      <c r="H25" s="1">
        <f t="shared" si="36"/>
        <v>34</v>
      </c>
      <c r="I25" s="1">
        <f t="shared" si="37"/>
        <v>2</v>
      </c>
      <c r="J25" s="1"/>
      <c r="K25" s="1"/>
      <c r="L25" s="22" t="str">
        <f t="shared" si="38"/>
        <v>C18H34O2</v>
      </c>
      <c r="M25" s="22">
        <f t="shared" si="39"/>
        <v>282.2558664</v>
      </c>
      <c r="N25" s="22">
        <f t="shared" si="40"/>
        <v>283.26314100000002</v>
      </c>
      <c r="O25" s="19">
        <f t="shared" si="41"/>
        <v>265.25202100000001</v>
      </c>
      <c r="P25" s="22">
        <f t="shared" si="42"/>
        <v>300.28968640000005</v>
      </c>
      <c r="Q25" s="22">
        <f t="shared" si="43"/>
        <v>305.24508640000005</v>
      </c>
      <c r="R25" s="22">
        <f t="shared" si="44"/>
        <v>321.21902640000002</v>
      </c>
      <c r="S25" s="22">
        <f t="shared" si="45"/>
        <v>289.27132640000002</v>
      </c>
      <c r="T25" s="49">
        <f t="shared" si="46"/>
        <v>281.24859179999999</v>
      </c>
      <c r="U25" s="22">
        <f t="shared" si="47"/>
        <v>327.25408640000001</v>
      </c>
      <c r="V25" s="22">
        <f t="shared" si="48"/>
        <v>341.2697364</v>
      </c>
      <c r="W25" s="1"/>
    </row>
    <row r="26" spans="1:23" x14ac:dyDescent="0.25">
      <c r="A26" s="2" t="s">
        <v>326</v>
      </c>
      <c r="B26" s="17" t="str">
        <f t="shared" si="32"/>
        <v>FA 18:0</v>
      </c>
      <c r="C26" s="1" t="str">
        <f t="shared" si="33"/>
        <v>18</v>
      </c>
      <c r="D26" s="1" t="str">
        <f t="shared" si="34"/>
        <v>0</v>
      </c>
      <c r="E26" s="1"/>
      <c r="F26" s="1"/>
      <c r="G26" s="1" t="str">
        <f t="shared" si="35"/>
        <v>18</v>
      </c>
      <c r="H26" s="1">
        <f t="shared" si="36"/>
        <v>36</v>
      </c>
      <c r="I26" s="1">
        <f t="shared" si="37"/>
        <v>2</v>
      </c>
      <c r="J26" s="1"/>
      <c r="K26" s="1"/>
      <c r="L26" s="22" t="str">
        <f t="shared" si="38"/>
        <v>C18H36O2</v>
      </c>
      <c r="M26" s="22">
        <f t="shared" si="39"/>
        <v>284.27151559999999</v>
      </c>
      <c r="N26" s="22">
        <f t="shared" si="40"/>
        <v>285.2787902</v>
      </c>
      <c r="O26" s="19">
        <f t="shared" si="41"/>
        <v>267.2676702</v>
      </c>
      <c r="P26" s="22">
        <f t="shared" si="42"/>
        <v>302.30533560000003</v>
      </c>
      <c r="Q26" s="22">
        <f t="shared" si="43"/>
        <v>307.26073560000003</v>
      </c>
      <c r="R26" s="22">
        <f t="shared" si="44"/>
        <v>323.2346756</v>
      </c>
      <c r="S26" s="22">
        <f t="shared" si="45"/>
        <v>291.28697560000001</v>
      </c>
      <c r="T26" s="49">
        <f t="shared" si="46"/>
        <v>283.26424099999997</v>
      </c>
      <c r="U26" s="22">
        <f t="shared" si="47"/>
        <v>329.26973559999999</v>
      </c>
      <c r="V26" s="22">
        <f t="shared" si="48"/>
        <v>343.28538559999998</v>
      </c>
      <c r="W26" s="1"/>
    </row>
    <row r="27" spans="1:23" x14ac:dyDescent="0.25">
      <c r="A27" s="2" t="s">
        <v>571</v>
      </c>
      <c r="B27" s="17" t="str">
        <f t="shared" si="32"/>
        <v>FA 19:2</v>
      </c>
      <c r="C27" s="1" t="str">
        <f t="shared" si="33"/>
        <v>19</v>
      </c>
      <c r="D27" s="1" t="str">
        <f t="shared" si="34"/>
        <v>2</v>
      </c>
      <c r="E27" s="1"/>
      <c r="F27" s="1"/>
      <c r="G27" s="1" t="str">
        <f t="shared" si="35"/>
        <v>19</v>
      </c>
      <c r="H27" s="1">
        <f t="shared" si="36"/>
        <v>34</v>
      </c>
      <c r="I27" s="1">
        <f t="shared" si="37"/>
        <v>2</v>
      </c>
      <c r="J27" s="1"/>
      <c r="K27" s="1"/>
      <c r="L27" s="22" t="str">
        <f t="shared" si="38"/>
        <v>C19H34O2</v>
      </c>
      <c r="M27" s="22">
        <f t="shared" si="39"/>
        <v>294.2558664</v>
      </c>
      <c r="N27" s="22">
        <f t="shared" si="40"/>
        <v>295.26314100000002</v>
      </c>
      <c r="O27" s="19">
        <f t="shared" si="41"/>
        <v>277.25202100000001</v>
      </c>
      <c r="P27" s="22">
        <f t="shared" si="42"/>
        <v>312.28968640000005</v>
      </c>
      <c r="Q27" s="22">
        <f t="shared" si="43"/>
        <v>317.24508640000005</v>
      </c>
      <c r="R27" s="22">
        <f t="shared" si="44"/>
        <v>333.21902640000002</v>
      </c>
      <c r="S27" s="22">
        <f t="shared" si="45"/>
        <v>301.27132640000002</v>
      </c>
      <c r="T27" s="49">
        <f t="shared" si="46"/>
        <v>293.24859179999999</v>
      </c>
      <c r="U27" s="22">
        <f t="shared" si="47"/>
        <v>339.25408640000001</v>
      </c>
      <c r="V27" s="22">
        <f t="shared" si="48"/>
        <v>353.2697364</v>
      </c>
      <c r="W27" s="1"/>
    </row>
    <row r="28" spans="1:23" x14ac:dyDescent="0.25">
      <c r="A28" s="2" t="s">
        <v>333</v>
      </c>
      <c r="B28" s="17" t="str">
        <f t="shared" si="32"/>
        <v>FA 19:1</v>
      </c>
      <c r="C28" s="1" t="str">
        <f t="shared" si="33"/>
        <v>19</v>
      </c>
      <c r="D28" s="1" t="str">
        <f t="shared" si="34"/>
        <v>1</v>
      </c>
      <c r="E28" s="1"/>
      <c r="F28" s="1"/>
      <c r="G28" s="1" t="str">
        <f t="shared" si="35"/>
        <v>19</v>
      </c>
      <c r="H28" s="1">
        <f t="shared" si="36"/>
        <v>36</v>
      </c>
      <c r="I28" s="1">
        <f t="shared" si="37"/>
        <v>2</v>
      </c>
      <c r="J28" s="1"/>
      <c r="K28" s="1"/>
      <c r="L28" s="22" t="str">
        <f t="shared" si="38"/>
        <v>C19H36O2</v>
      </c>
      <c r="M28" s="22">
        <f t="shared" si="39"/>
        <v>296.27151559999999</v>
      </c>
      <c r="N28" s="22">
        <f t="shared" si="40"/>
        <v>297.2787902</v>
      </c>
      <c r="O28" s="19">
        <f t="shared" si="41"/>
        <v>279.2676702</v>
      </c>
      <c r="P28" s="22">
        <f t="shared" si="42"/>
        <v>314.30533560000003</v>
      </c>
      <c r="Q28" s="22">
        <f t="shared" si="43"/>
        <v>319.26073560000003</v>
      </c>
      <c r="R28" s="22">
        <f t="shared" si="44"/>
        <v>335.2346756</v>
      </c>
      <c r="S28" s="22">
        <f t="shared" si="45"/>
        <v>303.28697560000001</v>
      </c>
      <c r="T28" s="49">
        <f t="shared" si="46"/>
        <v>295.26424099999997</v>
      </c>
      <c r="U28" s="22">
        <f t="shared" si="47"/>
        <v>341.26973559999999</v>
      </c>
      <c r="V28" s="22">
        <f t="shared" si="48"/>
        <v>355.28538559999998</v>
      </c>
      <c r="W28" s="1"/>
    </row>
    <row r="29" spans="1:23" x14ac:dyDescent="0.25">
      <c r="A29" s="2" t="s">
        <v>327</v>
      </c>
      <c r="B29" s="17" t="str">
        <f t="shared" si="32"/>
        <v>FA 19:0</v>
      </c>
      <c r="C29" s="1" t="str">
        <f t="shared" si="33"/>
        <v>19</v>
      </c>
      <c r="D29" s="1" t="str">
        <f t="shared" si="34"/>
        <v>0</v>
      </c>
      <c r="E29" s="1"/>
      <c r="F29" s="1"/>
      <c r="G29" s="1" t="str">
        <f t="shared" si="35"/>
        <v>19</v>
      </c>
      <c r="H29" s="1">
        <f t="shared" si="36"/>
        <v>38</v>
      </c>
      <c r="I29" s="1">
        <f t="shared" si="37"/>
        <v>2</v>
      </c>
      <c r="J29" s="1"/>
      <c r="K29" s="1"/>
      <c r="L29" s="22" t="str">
        <f t="shared" si="38"/>
        <v>C19H38O2</v>
      </c>
      <c r="M29" s="22">
        <f t="shared" si="39"/>
        <v>298.28716479999997</v>
      </c>
      <c r="N29" s="22">
        <f t="shared" si="40"/>
        <v>299.29443939999999</v>
      </c>
      <c r="O29" s="19">
        <f t="shared" si="41"/>
        <v>281.28331939999998</v>
      </c>
      <c r="P29" s="22">
        <f t="shared" si="42"/>
        <v>316.32098480000002</v>
      </c>
      <c r="Q29" s="22">
        <f t="shared" si="43"/>
        <v>321.27638480000002</v>
      </c>
      <c r="R29" s="22">
        <f t="shared" si="44"/>
        <v>337.25032479999999</v>
      </c>
      <c r="S29" s="22">
        <f t="shared" si="45"/>
        <v>305.30262479999999</v>
      </c>
      <c r="T29" s="49">
        <f t="shared" si="46"/>
        <v>297.27989019999995</v>
      </c>
      <c r="U29" s="22">
        <f t="shared" si="47"/>
        <v>343.28538479999997</v>
      </c>
      <c r="V29" s="22">
        <f t="shared" si="48"/>
        <v>357.30103479999997</v>
      </c>
      <c r="W29" s="1"/>
    </row>
    <row r="30" spans="1:23" x14ac:dyDescent="0.25">
      <c r="A30" s="2" t="s">
        <v>573</v>
      </c>
      <c r="B30" s="17" t="str">
        <f t="shared" si="32"/>
        <v>FA 20:4</v>
      </c>
      <c r="C30" s="1" t="str">
        <f t="shared" si="33"/>
        <v>20</v>
      </c>
      <c r="D30" s="1" t="str">
        <f t="shared" si="34"/>
        <v>4</v>
      </c>
      <c r="E30" s="1"/>
      <c r="F30" s="1"/>
      <c r="G30" s="1" t="str">
        <f t="shared" si="35"/>
        <v>20</v>
      </c>
      <c r="H30" s="1">
        <f t="shared" si="36"/>
        <v>32</v>
      </c>
      <c r="I30" s="1">
        <f t="shared" si="37"/>
        <v>2</v>
      </c>
      <c r="J30" s="1"/>
      <c r="K30" s="1"/>
      <c r="L30" s="22" t="str">
        <f t="shared" si="38"/>
        <v>C20H32O2</v>
      </c>
      <c r="M30" s="22">
        <f t="shared" si="39"/>
        <v>304.24021719999996</v>
      </c>
      <c r="N30" s="22">
        <f t="shared" si="40"/>
        <v>305.24749179999998</v>
      </c>
      <c r="O30" s="19">
        <f t="shared" si="41"/>
        <v>287.23637180000003</v>
      </c>
      <c r="P30" s="22">
        <f t="shared" si="42"/>
        <v>322.27403720000001</v>
      </c>
      <c r="Q30" s="22">
        <f t="shared" si="43"/>
        <v>327.22943720000001</v>
      </c>
      <c r="R30" s="22">
        <f t="shared" si="44"/>
        <v>343.20337719999998</v>
      </c>
      <c r="S30" s="22">
        <f t="shared" si="45"/>
        <v>311.25567719999998</v>
      </c>
      <c r="T30" s="49">
        <f t="shared" si="46"/>
        <v>303.23294259999994</v>
      </c>
      <c r="U30" s="22">
        <f t="shared" si="47"/>
        <v>349.23843719999991</v>
      </c>
      <c r="V30" s="22">
        <f t="shared" si="48"/>
        <v>363.25408719999996</v>
      </c>
      <c r="W30" s="1"/>
    </row>
    <row r="31" spans="1:23" x14ac:dyDescent="0.25">
      <c r="A31" s="2" t="s">
        <v>616</v>
      </c>
      <c r="B31" s="17" t="str">
        <f t="shared" si="32"/>
        <v>FA 20:3</v>
      </c>
      <c r="C31" s="1" t="str">
        <f t="shared" ref="C31" si="49">MID(B31,4,FIND(":",B31)-FIND(" ",B31)-1)</f>
        <v>20</v>
      </c>
      <c r="D31" s="1" t="str">
        <f t="shared" ref="D31" si="50">IF(ISNUMBER(SEARCH("__",B31)),MID(B31,FIND(":",B31)+1,FIND("__",B31)-FIND(":",B31)-1),MID(B31,FIND(":",B31)+1,7))</f>
        <v>3</v>
      </c>
      <c r="E31" s="1"/>
      <c r="F31" s="1"/>
      <c r="G31" s="1" t="str">
        <f t="shared" ref="G31" si="51">C31</f>
        <v>20</v>
      </c>
      <c r="H31" s="1">
        <f t="shared" ref="H31" si="52">2*G31-(2*D31)-((LEN(A31)-LEN(SUBSTITUTE(A31,"_O_","")))/LEN("_O_"))*2-((LEN(A31)-LEN(SUBSTITUTE(A31,"_CHO_","")))/LEN("_CHO_"))*2-((LEN(A31)-LEN(SUBSTITUTE(A31,"_COOH_","")))/LEN("_COOH_"))*2</f>
        <v>34</v>
      </c>
      <c r="I31" s="1">
        <f t="shared" ref="I31" si="53">2+((LEN(A31)-LEN(SUBSTITUTE(A31,"_OH_","")))/LEN("_OH_"))*1+((LEN(A31)-LEN(SUBSTITUTE(A31,"_OOH_","")))/LEN("_OOH_"))*2+((LEN(A31)-LEN(SUBSTITUTE(A31,"_O_","")))/LEN("_O_"))*1+((LEN(A31)-LEN(SUBSTITUTE(A31,"_CHO_","")))/LEN("_CHO_"))*1+((LEN(A31)-LEN(SUBSTITUTE(A31,"_COOH_","")))/LEN("_COOH_"))*2</f>
        <v>2</v>
      </c>
      <c r="J31" s="1"/>
      <c r="K31" s="1"/>
      <c r="L31" s="22" t="str">
        <f t="shared" ref="L31" si="54">CONCATENATE("C",G31,"H",H31,"O",I31)</f>
        <v>C20H34O2</v>
      </c>
      <c r="M31" s="22">
        <f t="shared" ref="M31" si="55">(G31*12)+(H31*1.0078246)+(I31*15.994915)</f>
        <v>306.2558664</v>
      </c>
      <c r="N31" s="22">
        <f t="shared" ref="N31" si="56">M31+1.0078246-0.00055</f>
        <v>307.26314100000002</v>
      </c>
      <c r="O31" s="19">
        <f t="shared" ref="O31" si="57">N31-18.01057-0.00055</f>
        <v>289.25202100000001</v>
      </c>
      <c r="P31" s="22">
        <f t="shared" ref="P31" si="58">M31+18.03437-0.00055</f>
        <v>324.28968640000005</v>
      </c>
      <c r="Q31" s="22">
        <f t="shared" ref="Q31" si="59">M31+22.98977-0.00055</f>
        <v>329.24508640000005</v>
      </c>
      <c r="R31" s="22">
        <f t="shared" ref="R31" si="60">M31+38.96371-0.00055</f>
        <v>345.21902640000002</v>
      </c>
      <c r="S31" s="22">
        <f t="shared" ref="S31" si="61">M31+7.01601-0.00055</f>
        <v>313.27132640000002</v>
      </c>
      <c r="T31" s="49">
        <f t="shared" ref="T31" si="62">M31-1.0078246+0.00055</f>
        <v>305.24859179999999</v>
      </c>
      <c r="U31" s="22">
        <f t="shared" ref="U31" si="63">M31+44.99767+0.00055</f>
        <v>351.25408640000001</v>
      </c>
      <c r="V31" s="22">
        <f t="shared" ref="V31" si="64">M31+59.01332+0.00055</f>
        <v>365.2697364</v>
      </c>
      <c r="W31" s="1"/>
    </row>
    <row r="32" spans="1:23" x14ac:dyDescent="0.25">
      <c r="A32" s="2" t="s">
        <v>572</v>
      </c>
      <c r="B32" s="17" t="str">
        <f t="shared" si="32"/>
        <v>FA 20:2</v>
      </c>
      <c r="C32" s="1" t="str">
        <f t="shared" ref="C32:C43" si="65">MID(B32,4,FIND(":",B32)-FIND(" ",B32)-1)</f>
        <v>20</v>
      </c>
      <c r="D32" s="1" t="str">
        <f t="shared" ref="D32:D43" si="66">IF(ISNUMBER(SEARCH("__",B32)),MID(B32,FIND(":",B32)+1,FIND("__",B32)-FIND(":",B32)-1),MID(B32,FIND(":",B32)+1,7))</f>
        <v>2</v>
      </c>
      <c r="E32" s="1"/>
      <c r="F32" s="1"/>
      <c r="G32" s="1" t="str">
        <f t="shared" ref="G32:G43" si="67">C32</f>
        <v>20</v>
      </c>
      <c r="H32" s="1">
        <f t="shared" ref="H32:H43" si="68">2*G32-(2*D32)-((LEN(A32)-LEN(SUBSTITUTE(A32,"_O_","")))/LEN("_O_"))*2-((LEN(A32)-LEN(SUBSTITUTE(A32,"_CHO_","")))/LEN("_CHO_"))*2-((LEN(A32)-LEN(SUBSTITUTE(A32,"_COOH_","")))/LEN("_COOH_"))*2</f>
        <v>36</v>
      </c>
      <c r="I32" s="1">
        <f t="shared" ref="I32:I43" si="69">2+((LEN(A32)-LEN(SUBSTITUTE(A32,"_OH_","")))/LEN("_OH_"))*1+((LEN(A32)-LEN(SUBSTITUTE(A32,"_OOH_","")))/LEN("_OOH_"))*2+((LEN(A32)-LEN(SUBSTITUTE(A32,"_O_","")))/LEN("_O_"))*1+((LEN(A32)-LEN(SUBSTITUTE(A32,"_CHO_","")))/LEN("_CHO_"))*1+((LEN(A32)-LEN(SUBSTITUTE(A32,"_COOH_","")))/LEN("_COOH_"))*2</f>
        <v>2</v>
      </c>
      <c r="J32" s="1"/>
      <c r="K32" s="1"/>
      <c r="L32" s="22" t="str">
        <f t="shared" ref="L32:L43" si="70">CONCATENATE("C",G32,"H",H32,"O",I32)</f>
        <v>C20H36O2</v>
      </c>
      <c r="M32" s="22">
        <f t="shared" ref="M32:M43" si="71">(G32*12)+(H32*1.0078246)+(I32*15.994915)</f>
        <v>308.27151559999999</v>
      </c>
      <c r="N32" s="22">
        <f t="shared" ref="N32:N43" si="72">M32+1.0078246-0.00055</f>
        <v>309.2787902</v>
      </c>
      <c r="O32" s="19">
        <f t="shared" ref="O32:O43" si="73">N32-18.01057-0.00055</f>
        <v>291.2676702</v>
      </c>
      <c r="P32" s="22">
        <f t="shared" ref="P32:P43" si="74">M32+18.03437-0.00055</f>
        <v>326.30533560000003</v>
      </c>
      <c r="Q32" s="22">
        <f t="shared" ref="Q32:Q43" si="75">M32+22.98977-0.00055</f>
        <v>331.26073560000003</v>
      </c>
      <c r="R32" s="22">
        <f t="shared" ref="R32:R43" si="76">M32+38.96371-0.00055</f>
        <v>347.2346756</v>
      </c>
      <c r="S32" s="22">
        <f t="shared" ref="S32:S43" si="77">M32+7.01601-0.00055</f>
        <v>315.28697560000001</v>
      </c>
      <c r="T32" s="49">
        <f t="shared" ref="T32:T43" si="78">M32-1.0078246+0.00055</f>
        <v>307.26424099999997</v>
      </c>
      <c r="U32" s="22">
        <f t="shared" ref="U32:U43" si="79">M32+44.99767+0.00055</f>
        <v>353.26973559999999</v>
      </c>
      <c r="V32" s="22">
        <f t="shared" ref="V32:V43" si="80">M32+59.01332+0.00055</f>
        <v>367.28538559999998</v>
      </c>
      <c r="W32" s="1"/>
    </row>
    <row r="33" spans="1:26" x14ac:dyDescent="0.25">
      <c r="A33" s="2" t="s">
        <v>334</v>
      </c>
      <c r="B33" s="17" t="str">
        <f t="shared" si="32"/>
        <v>FA 20:1</v>
      </c>
      <c r="C33" s="1" t="str">
        <f t="shared" si="65"/>
        <v>20</v>
      </c>
      <c r="D33" s="1" t="str">
        <f t="shared" si="66"/>
        <v>1</v>
      </c>
      <c r="E33" s="1"/>
      <c r="F33" s="1"/>
      <c r="G33" s="1" t="str">
        <f t="shared" si="67"/>
        <v>20</v>
      </c>
      <c r="H33" s="1">
        <f t="shared" si="68"/>
        <v>38</v>
      </c>
      <c r="I33" s="1">
        <f t="shared" si="69"/>
        <v>2</v>
      </c>
      <c r="J33" s="1"/>
      <c r="K33" s="1"/>
      <c r="L33" s="22" t="str">
        <f t="shared" si="70"/>
        <v>C20H38O2</v>
      </c>
      <c r="M33" s="22">
        <f t="shared" si="71"/>
        <v>310.28716479999997</v>
      </c>
      <c r="N33" s="22">
        <f t="shared" si="72"/>
        <v>311.29443939999999</v>
      </c>
      <c r="O33" s="19">
        <f t="shared" si="73"/>
        <v>293.28331939999998</v>
      </c>
      <c r="P33" s="22">
        <f t="shared" si="74"/>
        <v>328.32098480000002</v>
      </c>
      <c r="Q33" s="22">
        <f t="shared" si="75"/>
        <v>333.27638480000002</v>
      </c>
      <c r="R33" s="22">
        <f t="shared" si="76"/>
        <v>349.25032479999999</v>
      </c>
      <c r="S33" s="22">
        <f t="shared" si="77"/>
        <v>317.30262479999999</v>
      </c>
      <c r="T33" s="49">
        <f t="shared" si="78"/>
        <v>309.27989019999995</v>
      </c>
      <c r="U33" s="22">
        <f t="shared" si="79"/>
        <v>355.28538479999997</v>
      </c>
      <c r="V33" s="22">
        <f t="shared" si="80"/>
        <v>369.30103479999997</v>
      </c>
      <c r="W33" s="1"/>
    </row>
    <row r="34" spans="1:26" x14ac:dyDescent="0.25">
      <c r="A34" s="2" t="s">
        <v>116</v>
      </c>
      <c r="B34" s="17" t="str">
        <f t="shared" si="32"/>
        <v>FA 20:0</v>
      </c>
      <c r="C34" s="1" t="str">
        <f t="shared" si="65"/>
        <v>20</v>
      </c>
      <c r="D34" s="1" t="str">
        <f t="shared" si="66"/>
        <v>0</v>
      </c>
      <c r="E34" s="1"/>
      <c r="F34" s="1"/>
      <c r="G34" s="1" t="str">
        <f t="shared" si="67"/>
        <v>20</v>
      </c>
      <c r="H34" s="1">
        <f t="shared" si="68"/>
        <v>40</v>
      </c>
      <c r="I34" s="1">
        <f t="shared" si="69"/>
        <v>2</v>
      </c>
      <c r="J34" s="1"/>
      <c r="K34" s="1"/>
      <c r="L34" s="22" t="str">
        <f t="shared" si="70"/>
        <v>C20H40O2</v>
      </c>
      <c r="M34" s="22">
        <f t="shared" si="71"/>
        <v>312.30281400000001</v>
      </c>
      <c r="N34" s="22">
        <f t="shared" si="72"/>
        <v>313.31008860000003</v>
      </c>
      <c r="O34" s="19">
        <f t="shared" si="73"/>
        <v>295.29896860000008</v>
      </c>
      <c r="P34" s="22">
        <f t="shared" si="74"/>
        <v>330.33663400000006</v>
      </c>
      <c r="Q34" s="22">
        <f t="shared" si="75"/>
        <v>335.29203400000006</v>
      </c>
      <c r="R34" s="22">
        <f t="shared" si="76"/>
        <v>351.26597400000003</v>
      </c>
      <c r="S34" s="22">
        <f t="shared" si="77"/>
        <v>319.31827400000003</v>
      </c>
      <c r="T34" s="49">
        <f t="shared" si="78"/>
        <v>311.2955394</v>
      </c>
      <c r="U34" s="22">
        <f t="shared" si="79"/>
        <v>357.30103399999996</v>
      </c>
      <c r="V34" s="22">
        <f t="shared" si="80"/>
        <v>371.31668400000001</v>
      </c>
      <c r="W34" s="1"/>
    </row>
    <row r="35" spans="1:26" x14ac:dyDescent="0.25">
      <c r="A35" s="2" t="s">
        <v>335</v>
      </c>
      <c r="B35" s="17" t="str">
        <f t="shared" si="32"/>
        <v>FA 21:1</v>
      </c>
      <c r="C35" s="1" t="str">
        <f t="shared" si="65"/>
        <v>21</v>
      </c>
      <c r="D35" s="1" t="str">
        <f t="shared" si="66"/>
        <v>1</v>
      </c>
      <c r="E35" s="1"/>
      <c r="F35" s="1"/>
      <c r="G35" s="1" t="str">
        <f t="shared" si="67"/>
        <v>21</v>
      </c>
      <c r="H35" s="1">
        <f t="shared" si="68"/>
        <v>40</v>
      </c>
      <c r="I35" s="1">
        <f t="shared" si="69"/>
        <v>2</v>
      </c>
      <c r="J35" s="1"/>
      <c r="K35" s="1"/>
      <c r="L35" s="22" t="str">
        <f t="shared" si="70"/>
        <v>C21H40O2</v>
      </c>
      <c r="M35" s="22">
        <f t="shared" si="71"/>
        <v>324.30281400000001</v>
      </c>
      <c r="N35" s="22">
        <f t="shared" si="72"/>
        <v>325.31008860000003</v>
      </c>
      <c r="O35" s="19">
        <f t="shared" si="73"/>
        <v>307.29896860000008</v>
      </c>
      <c r="P35" s="22">
        <f t="shared" si="74"/>
        <v>342.33663400000006</v>
      </c>
      <c r="Q35" s="22">
        <f t="shared" si="75"/>
        <v>347.29203400000006</v>
      </c>
      <c r="R35" s="22">
        <f t="shared" si="76"/>
        <v>363.26597400000003</v>
      </c>
      <c r="S35" s="22">
        <f t="shared" si="77"/>
        <v>331.31827400000003</v>
      </c>
      <c r="T35" s="49">
        <f t="shared" si="78"/>
        <v>323.2955394</v>
      </c>
      <c r="U35" s="22">
        <f t="shared" si="79"/>
        <v>369.30103399999996</v>
      </c>
      <c r="V35" s="22">
        <f t="shared" si="80"/>
        <v>383.31668400000001</v>
      </c>
      <c r="W35" s="1"/>
    </row>
    <row r="36" spans="1:26" x14ac:dyDescent="0.25">
      <c r="A36" s="2" t="s">
        <v>328</v>
      </c>
      <c r="B36" s="17" t="str">
        <f t="shared" si="32"/>
        <v>FA 21:0</v>
      </c>
      <c r="C36" s="1" t="str">
        <f t="shared" si="65"/>
        <v>21</v>
      </c>
      <c r="D36" s="1" t="str">
        <f t="shared" si="66"/>
        <v>0</v>
      </c>
      <c r="E36" s="1"/>
      <c r="F36" s="1"/>
      <c r="G36" s="1" t="str">
        <f t="shared" si="67"/>
        <v>21</v>
      </c>
      <c r="H36" s="1">
        <f t="shared" si="68"/>
        <v>42</v>
      </c>
      <c r="I36" s="1">
        <f t="shared" si="69"/>
        <v>2</v>
      </c>
      <c r="J36" s="1"/>
      <c r="K36" s="1"/>
      <c r="L36" s="22" t="str">
        <f t="shared" si="70"/>
        <v>C21H42O2</v>
      </c>
      <c r="M36" s="22">
        <f t="shared" si="71"/>
        <v>326.3184632</v>
      </c>
      <c r="N36" s="22">
        <f t="shared" si="72"/>
        <v>327.32573780000001</v>
      </c>
      <c r="O36" s="19">
        <f t="shared" si="73"/>
        <v>309.31461780000006</v>
      </c>
      <c r="P36" s="22">
        <f t="shared" si="74"/>
        <v>344.35228320000004</v>
      </c>
      <c r="Q36" s="22">
        <f t="shared" si="75"/>
        <v>349.30768320000004</v>
      </c>
      <c r="R36" s="22">
        <f t="shared" si="76"/>
        <v>365.28162320000001</v>
      </c>
      <c r="S36" s="22">
        <f t="shared" si="77"/>
        <v>333.33392320000002</v>
      </c>
      <c r="T36" s="49">
        <f t="shared" si="78"/>
        <v>325.31118859999998</v>
      </c>
      <c r="U36" s="22">
        <f t="shared" si="79"/>
        <v>371.31668319999994</v>
      </c>
      <c r="V36" s="22">
        <f t="shared" si="80"/>
        <v>385.33233319999999</v>
      </c>
      <c r="W36" s="1"/>
    </row>
    <row r="37" spans="1:26" x14ac:dyDescent="0.25">
      <c r="A37" s="2" t="s">
        <v>645</v>
      </c>
      <c r="B37" s="17" t="str">
        <f t="shared" ref="B37" si="81">IF(ISNUMBER(SEARCH("(",A37)),IF(ISNUMBER(SEARCH("/",A37)),CONCATENATE(MID(A37,1,2)," ",(SUM(MID(A37,FIND("(",A37)+1,FIND(":",A37)-FIND("(",A37)-1),MID(A37,FIND("/",A37)+1,FIND(":",A37,FIND("/",A37))-FIND("/",A37)-1))),":",SUM(MID(A37,FIND(":",A37)+1,FIND("/",A37)-FIND(":",A37)-1),MID(A37,FIND(":",A37,FIND("/",A37))+1,FIND(")",A37)-FIND(":",A37,FIND("/",A37))-1)),MID(A37,(FIND(")",A37)+1),100)),CONCATENATE(MID(A37,1,2)," ",(SUM(MID(A37,FIND("(",A37)+1,FIND(":",A37)-FIND("(",A37)-1),MID(A37,FIND("_",A37)+1,FIND(":",A37,FIND("_",A37))-FIND("_",A37)-1))),":",SUM(MID(A37,FIND(":",A37)+1,FIND("_",A37)-FIND(":",A37)-1),MID(A37,FIND(":",A37,FIND("_",A37))+1,FIND(")",A37)-FIND(":",A37,FIND("_",A37))-1)),MID(A37,(FIND(")",A37)+1),100))),A37)</f>
        <v>FA 22:2</v>
      </c>
      <c r="C37" s="1" t="str">
        <f t="shared" ref="C37" si="82">MID(B37,4,FIND(":",B37)-FIND(" ",B37)-1)</f>
        <v>22</v>
      </c>
      <c r="D37" s="1" t="str">
        <f t="shared" ref="D37" si="83">IF(ISNUMBER(SEARCH("__",B37)),MID(B37,FIND(":",B37)+1,FIND("__",B37)-FIND(":",B37)-1),MID(B37,FIND(":",B37)+1,7))</f>
        <v>2</v>
      </c>
      <c r="E37" s="1"/>
      <c r="F37" s="1"/>
      <c r="G37" s="1" t="str">
        <f t="shared" ref="G37" si="84">C37</f>
        <v>22</v>
      </c>
      <c r="H37" s="1">
        <f t="shared" ref="H37" si="85">2*G37-(2*D37)-((LEN(A37)-LEN(SUBSTITUTE(A37,"_O_","")))/LEN("_O_"))*2-((LEN(A37)-LEN(SUBSTITUTE(A37,"_CHO_","")))/LEN("_CHO_"))*2-((LEN(A37)-LEN(SUBSTITUTE(A37,"_COOH_","")))/LEN("_COOH_"))*2</f>
        <v>40</v>
      </c>
      <c r="I37" s="1">
        <f t="shared" ref="I37" si="86">2+((LEN(A37)-LEN(SUBSTITUTE(A37,"_OH_","")))/LEN("_OH_"))*1+((LEN(A37)-LEN(SUBSTITUTE(A37,"_OOH_","")))/LEN("_OOH_"))*2+((LEN(A37)-LEN(SUBSTITUTE(A37,"_O_","")))/LEN("_O_"))*1+((LEN(A37)-LEN(SUBSTITUTE(A37,"_CHO_","")))/LEN("_CHO_"))*1+((LEN(A37)-LEN(SUBSTITUTE(A37,"_COOH_","")))/LEN("_COOH_"))*2</f>
        <v>2</v>
      </c>
      <c r="J37" s="1"/>
      <c r="K37" s="1"/>
      <c r="L37" s="22" t="str">
        <f t="shared" ref="L37" si="87">CONCATENATE("C",G37,"H",H37,"O",I37)</f>
        <v>C22H40O2</v>
      </c>
      <c r="M37" s="22">
        <f t="shared" ref="M37" si="88">(G37*12)+(H37*1.0078246)+(I37*15.994915)</f>
        <v>336.30281400000001</v>
      </c>
      <c r="N37" s="22">
        <f t="shared" ref="N37" si="89">M37+1.0078246-0.00055</f>
        <v>337.31008860000003</v>
      </c>
      <c r="O37" s="19">
        <f t="shared" ref="O37" si="90">N37-18.01057-0.00055</f>
        <v>319.29896860000008</v>
      </c>
      <c r="P37" s="22">
        <f t="shared" ref="P37" si="91">M37+18.03437-0.00055</f>
        <v>354.33663400000006</v>
      </c>
      <c r="Q37" s="22">
        <f t="shared" ref="Q37" si="92">M37+22.98977-0.00055</f>
        <v>359.29203400000006</v>
      </c>
      <c r="R37" s="22">
        <f t="shared" ref="R37" si="93">M37+38.96371-0.00055</f>
        <v>375.26597400000003</v>
      </c>
      <c r="S37" s="22">
        <f t="shared" ref="S37" si="94">M37+7.01601-0.00055</f>
        <v>343.31827400000003</v>
      </c>
      <c r="T37" s="49">
        <f t="shared" ref="T37" si="95">M37-1.0078246+0.00055</f>
        <v>335.2955394</v>
      </c>
      <c r="U37" s="22">
        <f t="shared" ref="U37" si="96">M37+44.99767+0.00055</f>
        <v>381.30103399999996</v>
      </c>
      <c r="V37" s="22">
        <f t="shared" ref="V37" si="97">M37+59.01332+0.00055</f>
        <v>395.31668400000001</v>
      </c>
      <c r="W37" s="1"/>
    </row>
    <row r="38" spans="1:26" x14ac:dyDescent="0.25">
      <c r="A38" s="2" t="s">
        <v>336</v>
      </c>
      <c r="B38" s="17" t="str">
        <f t="shared" si="32"/>
        <v>FA 22:1</v>
      </c>
      <c r="C38" s="1" t="str">
        <f t="shared" si="65"/>
        <v>22</v>
      </c>
      <c r="D38" s="1" t="str">
        <f t="shared" si="66"/>
        <v>1</v>
      </c>
      <c r="E38" s="1"/>
      <c r="F38" s="1"/>
      <c r="G38" s="1" t="str">
        <f t="shared" si="67"/>
        <v>22</v>
      </c>
      <c r="H38" s="1">
        <f t="shared" si="68"/>
        <v>42</v>
      </c>
      <c r="I38" s="1">
        <f t="shared" si="69"/>
        <v>2</v>
      </c>
      <c r="J38" s="1"/>
      <c r="K38" s="1"/>
      <c r="L38" s="22" t="str">
        <f t="shared" si="70"/>
        <v>C22H42O2</v>
      </c>
      <c r="M38" s="22">
        <f t="shared" si="71"/>
        <v>338.3184632</v>
      </c>
      <c r="N38" s="22">
        <f t="shared" si="72"/>
        <v>339.32573780000001</v>
      </c>
      <c r="O38" s="19">
        <f t="shared" si="73"/>
        <v>321.31461780000006</v>
      </c>
      <c r="P38" s="22">
        <f t="shared" si="74"/>
        <v>356.35228320000004</v>
      </c>
      <c r="Q38" s="22">
        <f t="shared" si="75"/>
        <v>361.30768320000004</v>
      </c>
      <c r="R38" s="22">
        <f t="shared" si="76"/>
        <v>377.28162320000001</v>
      </c>
      <c r="S38" s="22">
        <f t="shared" si="77"/>
        <v>345.33392320000002</v>
      </c>
      <c r="T38" s="49">
        <f t="shared" si="78"/>
        <v>337.31118859999998</v>
      </c>
      <c r="U38" s="22">
        <f t="shared" si="79"/>
        <v>383.31668319999994</v>
      </c>
      <c r="V38" s="22">
        <f t="shared" si="80"/>
        <v>397.33233319999999</v>
      </c>
      <c r="W38" s="1"/>
    </row>
    <row r="39" spans="1:26" x14ac:dyDescent="0.25">
      <c r="A39" s="2" t="s">
        <v>329</v>
      </c>
      <c r="B39" s="17" t="str">
        <f t="shared" si="32"/>
        <v>FA 22:0</v>
      </c>
      <c r="C39" s="1" t="str">
        <f t="shared" si="65"/>
        <v>22</v>
      </c>
      <c r="D39" s="1" t="str">
        <f t="shared" si="66"/>
        <v>0</v>
      </c>
      <c r="E39" s="1"/>
      <c r="F39" s="1"/>
      <c r="G39" s="1" t="str">
        <f t="shared" si="67"/>
        <v>22</v>
      </c>
      <c r="H39" s="1">
        <f t="shared" si="68"/>
        <v>44</v>
      </c>
      <c r="I39" s="1">
        <f t="shared" si="69"/>
        <v>2</v>
      </c>
      <c r="J39" s="1"/>
      <c r="K39" s="1"/>
      <c r="L39" s="22" t="str">
        <f t="shared" si="70"/>
        <v>C22H44O2</v>
      </c>
      <c r="M39" s="22">
        <f t="shared" si="71"/>
        <v>340.33411239999998</v>
      </c>
      <c r="N39" s="22">
        <f t="shared" si="72"/>
        <v>341.341387</v>
      </c>
      <c r="O39" s="19">
        <f t="shared" si="73"/>
        <v>323.33026700000005</v>
      </c>
      <c r="P39" s="22">
        <f t="shared" si="74"/>
        <v>358.36793240000003</v>
      </c>
      <c r="Q39" s="22">
        <f t="shared" si="75"/>
        <v>363.32333240000003</v>
      </c>
      <c r="R39" s="22">
        <f t="shared" si="76"/>
        <v>379.2972724</v>
      </c>
      <c r="S39" s="22">
        <f t="shared" si="77"/>
        <v>347.3495724</v>
      </c>
      <c r="T39" s="49">
        <f t="shared" si="78"/>
        <v>339.32683779999996</v>
      </c>
      <c r="U39" s="22">
        <f t="shared" si="79"/>
        <v>385.33233239999993</v>
      </c>
      <c r="V39" s="22">
        <f t="shared" si="80"/>
        <v>399.34798239999998</v>
      </c>
      <c r="W39" s="1"/>
    </row>
    <row r="40" spans="1:26" x14ac:dyDescent="0.25">
      <c r="A40" s="2" t="s">
        <v>460</v>
      </c>
      <c r="B40" s="17" t="str">
        <f t="shared" si="32"/>
        <v>FA 23:0</v>
      </c>
      <c r="C40" s="1" t="str">
        <f t="shared" si="65"/>
        <v>23</v>
      </c>
      <c r="D40" s="1" t="str">
        <f t="shared" si="66"/>
        <v>0</v>
      </c>
      <c r="E40" s="1"/>
      <c r="F40" s="1"/>
      <c r="G40" s="1" t="str">
        <f t="shared" si="67"/>
        <v>23</v>
      </c>
      <c r="H40" s="1">
        <f t="shared" si="68"/>
        <v>46</v>
      </c>
      <c r="I40" s="1">
        <f t="shared" si="69"/>
        <v>2</v>
      </c>
      <c r="J40" s="1"/>
      <c r="K40" s="1"/>
      <c r="L40" s="22" t="str">
        <f t="shared" si="70"/>
        <v>C23H46O2</v>
      </c>
      <c r="M40" s="22">
        <f t="shared" si="71"/>
        <v>354.34976159999997</v>
      </c>
      <c r="N40" s="22">
        <f t="shared" si="72"/>
        <v>355.35703619999998</v>
      </c>
      <c r="O40" s="19">
        <f t="shared" si="73"/>
        <v>337.34591620000003</v>
      </c>
      <c r="P40" s="22">
        <f t="shared" si="74"/>
        <v>372.38358160000001</v>
      </c>
      <c r="Q40" s="22">
        <f t="shared" si="75"/>
        <v>377.33898160000001</v>
      </c>
      <c r="R40" s="22">
        <f t="shared" si="76"/>
        <v>393.31292159999998</v>
      </c>
      <c r="S40" s="22">
        <f t="shared" si="77"/>
        <v>361.36522159999998</v>
      </c>
      <c r="T40" s="49">
        <f t="shared" si="78"/>
        <v>353.34248699999995</v>
      </c>
      <c r="U40" s="22">
        <f t="shared" si="79"/>
        <v>399.34798159999991</v>
      </c>
      <c r="V40" s="22">
        <f t="shared" si="80"/>
        <v>413.36363159999996</v>
      </c>
      <c r="W40" s="1"/>
    </row>
    <row r="41" spans="1:26" x14ac:dyDescent="0.25">
      <c r="A41" s="2" t="s">
        <v>461</v>
      </c>
      <c r="B41" s="17" t="str">
        <f t="shared" si="32"/>
        <v>FA 24:0</v>
      </c>
      <c r="C41" s="1" t="str">
        <f t="shared" si="65"/>
        <v>24</v>
      </c>
      <c r="D41" s="1" t="str">
        <f t="shared" si="66"/>
        <v>0</v>
      </c>
      <c r="E41" s="1"/>
      <c r="F41" s="1"/>
      <c r="G41" s="1" t="str">
        <f t="shared" si="67"/>
        <v>24</v>
      </c>
      <c r="H41" s="1">
        <f t="shared" si="68"/>
        <v>48</v>
      </c>
      <c r="I41" s="1">
        <f t="shared" si="69"/>
        <v>2</v>
      </c>
      <c r="J41" s="1"/>
      <c r="K41" s="1"/>
      <c r="L41" s="22" t="str">
        <f t="shared" si="70"/>
        <v>C24H48O2</v>
      </c>
      <c r="M41" s="22">
        <f t="shared" si="71"/>
        <v>368.36541079999995</v>
      </c>
      <c r="N41" s="22">
        <f t="shared" si="72"/>
        <v>369.37268539999997</v>
      </c>
      <c r="O41" s="19">
        <f t="shared" si="73"/>
        <v>351.36156540000002</v>
      </c>
      <c r="P41" s="22">
        <f t="shared" si="74"/>
        <v>386.3992308</v>
      </c>
      <c r="Q41" s="22">
        <f t="shared" si="75"/>
        <v>391.3546308</v>
      </c>
      <c r="R41" s="22">
        <f t="shared" si="76"/>
        <v>407.32857079999997</v>
      </c>
      <c r="S41" s="22">
        <f t="shared" si="77"/>
        <v>375.38087079999997</v>
      </c>
      <c r="T41" s="49">
        <f t="shared" si="78"/>
        <v>367.35813619999993</v>
      </c>
      <c r="U41" s="22">
        <f t="shared" si="79"/>
        <v>413.3636307999999</v>
      </c>
      <c r="V41" s="22">
        <f t="shared" si="80"/>
        <v>427.37928079999995</v>
      </c>
      <c r="W41" s="1"/>
    </row>
    <row r="42" spans="1:26" x14ac:dyDescent="0.25">
      <c r="A42" s="2" t="s">
        <v>666</v>
      </c>
      <c r="B42" s="17" t="str">
        <f>IF(ISNUMBER(SEARCH("(",A42)),IF(ISNUMBER(SEARCH("/",A42)),CONCATENATE(MID(A42,1,2)," ",(SUM(MID(A42,FIND("(",A42)+1,FIND(":",A42)-FIND("(",A42)-1),MID(A42,FIND("/",A42)+1,FIND(":",A42,FIND("/",A42))-FIND("/",A42)-1))),":",SUM(MID(A42,FIND(":",A42)+1,FIND("/",A42)-FIND(":",A42)-1),MID(A42,FIND(":",A42,FIND("/",A42))+1,FIND(")",A42)-FIND(":",A42,FIND("/",A42))-1)),MID(A42,(FIND(")",A42)+1),100)),CONCATENATE(MID(A42,1,2)," ",(SUM(MID(A42,FIND("(",A42)+1,FIND(":",A42)-FIND("(",A42)-1),MID(A42,FIND("_",A42)+1,FIND(":",A42,FIND("_",A42))-FIND("_",A42)-1))),":",SUM(MID(A42,FIND(":",A42)+1,FIND("_",A42)-FIND(":",A42)-1),MID(A42,FIND(":",A42,FIND("_",A42))+1,FIND(")",A42)-FIND(":",A42,FIND("_",A42))-1)),MID(A42,(FIND(")",A42)+1),100))),A42)</f>
        <v>FA 18:0__OH__</v>
      </c>
      <c r="C42" s="1" t="str">
        <f t="shared" si="65"/>
        <v>18</v>
      </c>
      <c r="D42" s="1" t="str">
        <f t="shared" si="66"/>
        <v>0</v>
      </c>
      <c r="E42" s="1"/>
      <c r="F42" s="1"/>
      <c r="G42" s="1" t="str">
        <f t="shared" si="67"/>
        <v>18</v>
      </c>
      <c r="H42" s="1">
        <f t="shared" si="68"/>
        <v>36</v>
      </c>
      <c r="I42" s="1">
        <f t="shared" si="69"/>
        <v>3</v>
      </c>
      <c r="J42" s="1"/>
      <c r="K42" s="1"/>
      <c r="L42" s="22" t="str">
        <f t="shared" si="70"/>
        <v>C18H36O3</v>
      </c>
      <c r="M42" s="22">
        <f t="shared" si="71"/>
        <v>300.26643060000004</v>
      </c>
      <c r="N42" s="22">
        <f t="shared" si="72"/>
        <v>301.27370520000005</v>
      </c>
      <c r="O42" s="19">
        <f t="shared" si="73"/>
        <v>283.2625852000001</v>
      </c>
      <c r="P42" s="22">
        <f t="shared" si="74"/>
        <v>318.30025060000008</v>
      </c>
      <c r="Q42" s="22">
        <f t="shared" si="75"/>
        <v>323.25565060000008</v>
      </c>
      <c r="R42" s="22">
        <f t="shared" si="76"/>
        <v>339.22959060000005</v>
      </c>
      <c r="S42" s="22">
        <f t="shared" si="77"/>
        <v>307.28189060000005</v>
      </c>
      <c r="T42" s="49">
        <f t="shared" si="78"/>
        <v>299.25915600000002</v>
      </c>
      <c r="U42" s="22">
        <f t="shared" si="79"/>
        <v>345.26465059999998</v>
      </c>
      <c r="V42" s="22">
        <f t="shared" si="80"/>
        <v>359.28030060000003</v>
      </c>
      <c r="W42" s="1"/>
    </row>
    <row r="43" spans="1:26" x14ac:dyDescent="0.25">
      <c r="A43" s="2" t="s">
        <v>674</v>
      </c>
      <c r="B43" s="17" t="str">
        <f>IF(ISNUMBER(SEARCH("(",A43)),IF(ISNUMBER(SEARCH("/",A43)),CONCATENATE(MID(A43,1,2)," ",(SUM(MID(A43,FIND("(",A43)+1,FIND(":",A43)-FIND("(",A43)-1),MID(A43,FIND("/",A43)+1,FIND(":",A43,FIND("/",A43))-FIND("/",A43)-1))),":",SUM(MID(A43,FIND(":",A43)+1,FIND("/",A43)-FIND(":",A43)-1),MID(A43,FIND(":",A43,FIND("/",A43))+1,FIND(")",A43)-FIND(":",A43,FIND("/",A43))-1)),MID(A43,(FIND(")",A43)+1),100)),CONCATENATE(MID(A43,1,2)," ",(SUM(MID(A43,FIND("(",A43)+1,FIND(":",A43)-FIND("(",A43)-1),MID(A43,FIND("_",A43)+1,FIND(":",A43,FIND("_",A43))-FIND("_",A43)-1))),":",SUM(MID(A43,FIND(":",A43)+1,FIND("_",A43)-FIND(":",A43)-1),MID(A43,FIND(":",A43,FIND("_",A43))+1,FIND(")",A43)-FIND(":",A43,FIND("_",A43))-1)),MID(A43,(FIND(")",A43)+1),100))),A43)</f>
        <v>FA 20:0__OH__</v>
      </c>
      <c r="C43" s="1" t="str">
        <f t="shared" si="65"/>
        <v>20</v>
      </c>
      <c r="D43" s="1" t="str">
        <f t="shared" si="66"/>
        <v>0</v>
      </c>
      <c r="E43" s="1"/>
      <c r="F43" s="1"/>
      <c r="G43" s="1" t="str">
        <f t="shared" si="67"/>
        <v>20</v>
      </c>
      <c r="H43" s="1">
        <f t="shared" si="68"/>
        <v>40</v>
      </c>
      <c r="I43" s="1">
        <f t="shared" si="69"/>
        <v>3</v>
      </c>
      <c r="J43" s="1"/>
      <c r="K43" s="1"/>
      <c r="L43" s="22" t="str">
        <f t="shared" si="70"/>
        <v>C20H40O3</v>
      </c>
      <c r="M43" s="22">
        <f t="shared" si="71"/>
        <v>328.297729</v>
      </c>
      <c r="N43" s="22">
        <f t="shared" si="72"/>
        <v>329.30500360000002</v>
      </c>
      <c r="O43" s="19">
        <f t="shared" si="73"/>
        <v>311.29388360000007</v>
      </c>
      <c r="P43" s="22">
        <f t="shared" si="74"/>
        <v>346.33154900000005</v>
      </c>
      <c r="Q43" s="22">
        <f t="shared" si="75"/>
        <v>351.28694900000005</v>
      </c>
      <c r="R43" s="22">
        <f t="shared" si="76"/>
        <v>367.26088900000002</v>
      </c>
      <c r="S43" s="22">
        <f t="shared" si="77"/>
        <v>335.31318900000002</v>
      </c>
      <c r="T43" s="49">
        <f t="shared" si="78"/>
        <v>327.29045439999999</v>
      </c>
      <c r="U43" s="22">
        <f t="shared" si="79"/>
        <v>373.29594899999995</v>
      </c>
      <c r="V43" s="22">
        <f t="shared" si="80"/>
        <v>387.311599</v>
      </c>
      <c r="W43" s="1"/>
      <c r="X43" s="55"/>
      <c r="Y43" s="55"/>
      <c r="Z43" s="55"/>
    </row>
    <row r="44" spans="1:26" s="55" customFormat="1" x14ac:dyDescent="0.25">
      <c r="A44" s="2" t="s">
        <v>675</v>
      </c>
      <c r="B44" s="17" t="str">
        <f>IF(ISNUMBER(SEARCH("(",A44)),IF(ISNUMBER(SEARCH("/",A44)),CONCATENATE(MID(A44,1,2)," ",(SUM(MID(A44,FIND("(",A44)+1,FIND(":",A44)-FIND("(",A44)-1),MID(A44,FIND("/",A44)+1,FIND(":",A44,FIND("/",A44))-FIND("/",A44)-1))),":",SUM(MID(A44,FIND(":",A44)+1,FIND("/",A44)-FIND(":",A44)-1),MID(A44,FIND(":",A44,FIND("/",A44))+1,FIND(")",A44)-FIND(":",A44,FIND("/",A44))-1)),MID(A44,(FIND(")",A44)+1),100)),CONCATENATE(MID(A44,1,2)," ",(SUM(MID(A44,FIND("(",A44)+1,FIND(":",A44)-FIND("(",A44)-1),MID(A44,FIND("_",A44)+1,FIND(":",A44,FIND("_",A44))-FIND("_",A44)-1))),":",SUM(MID(A44,FIND(":",A44)+1,FIND("_",A44)-FIND(":",A44)-1),MID(A44,FIND(":",A44,FIND("_",A44))+1,FIND(")",A44)-FIND(":",A44,FIND("_",A44))-1)),MID(A44,(FIND(")",A44)+1),100))),A44)</f>
        <v>FA 22:0__OH__</v>
      </c>
      <c r="C44" s="1" t="str">
        <f t="shared" ref="C44" si="98">MID(B44,4,FIND(":",B44)-FIND(" ",B44)-1)</f>
        <v>22</v>
      </c>
      <c r="D44" s="1" t="str">
        <f t="shared" ref="D44" si="99">IF(ISNUMBER(SEARCH("__",B44)),MID(B44,FIND(":",B44)+1,FIND("__",B44)-FIND(":",B44)-1),MID(B44,FIND(":",B44)+1,7))</f>
        <v>0</v>
      </c>
      <c r="E44" s="1"/>
      <c r="F44" s="1"/>
      <c r="G44" s="1" t="str">
        <f t="shared" ref="G44" si="100">C44</f>
        <v>22</v>
      </c>
      <c r="H44" s="1">
        <f t="shared" ref="H44" si="101">2*G44-(2*D44)-((LEN(A44)-LEN(SUBSTITUTE(A44,"_O_","")))/LEN("_O_"))*2-((LEN(A44)-LEN(SUBSTITUTE(A44,"_CHO_","")))/LEN("_CHO_"))*2-((LEN(A44)-LEN(SUBSTITUTE(A44,"_COOH_","")))/LEN("_COOH_"))*2</f>
        <v>44</v>
      </c>
      <c r="I44" s="1">
        <f t="shared" ref="I44" si="102">2+((LEN(A44)-LEN(SUBSTITUTE(A44,"_OH_","")))/LEN("_OH_"))*1+((LEN(A44)-LEN(SUBSTITUTE(A44,"_OOH_","")))/LEN("_OOH_"))*2+((LEN(A44)-LEN(SUBSTITUTE(A44,"_O_","")))/LEN("_O_"))*1+((LEN(A44)-LEN(SUBSTITUTE(A44,"_CHO_","")))/LEN("_CHO_"))*1+((LEN(A44)-LEN(SUBSTITUTE(A44,"_COOH_","")))/LEN("_COOH_"))*2</f>
        <v>3</v>
      </c>
      <c r="J44" s="1"/>
      <c r="K44" s="1"/>
      <c r="L44" s="22" t="str">
        <f t="shared" ref="L44" si="103">CONCATENATE("C",G44,"H",H44,"O",I44)</f>
        <v>C22H44O3</v>
      </c>
      <c r="M44" s="22">
        <f t="shared" ref="M44" si="104">(G44*12)+(H44*1.0078246)+(I44*15.994915)</f>
        <v>356.32902739999997</v>
      </c>
      <c r="N44" s="22">
        <f t="shared" ref="N44" si="105">M44+1.0078246-0.00055</f>
        <v>357.33630199999999</v>
      </c>
      <c r="O44" s="19">
        <f t="shared" ref="O44" si="106">N44-18.01057-0.00055</f>
        <v>339.32518200000004</v>
      </c>
      <c r="P44" s="22">
        <f t="shared" ref="P44" si="107">M44+18.03437-0.00055</f>
        <v>374.36284740000002</v>
      </c>
      <c r="Q44" s="22">
        <f t="shared" ref="Q44" si="108">M44+22.98977-0.00055</f>
        <v>379.31824740000002</v>
      </c>
      <c r="R44" s="22">
        <f t="shared" ref="R44" si="109">M44+38.96371-0.00055</f>
        <v>395.29218739999999</v>
      </c>
      <c r="S44" s="22">
        <f t="shared" ref="S44" si="110">M44+7.01601-0.00055</f>
        <v>363.34448739999999</v>
      </c>
      <c r="T44" s="49">
        <f t="shared" ref="T44" si="111">M44-1.0078246+0.00055</f>
        <v>355.32175279999996</v>
      </c>
      <c r="U44" s="22">
        <f t="shared" ref="U44" si="112">M44+44.99767+0.00055</f>
        <v>401.32724739999992</v>
      </c>
      <c r="V44" s="22">
        <f t="shared" ref="V44" si="113">M44+59.01332+0.00055</f>
        <v>415.34289739999997</v>
      </c>
      <c r="W44" s="1"/>
    </row>
    <row r="47" spans="1:26" x14ac:dyDescent="0.25">
      <c r="A47"/>
      <c r="B47" s="17"/>
      <c r="C47" s="1"/>
      <c r="D47" s="1"/>
      <c r="E47" s="1"/>
      <c r="F47" s="1"/>
      <c r="G47" s="1"/>
      <c r="H47" s="1"/>
      <c r="I47" s="1"/>
      <c r="J47" s="1"/>
      <c r="K47" s="1"/>
      <c r="L47" s="22"/>
      <c r="M47" s="22"/>
      <c r="N47" s="22"/>
      <c r="O47" s="19"/>
      <c r="P47" s="22"/>
      <c r="Q47" s="22"/>
      <c r="R47" s="22"/>
      <c r="S47" s="22"/>
      <c r="T47" s="49"/>
      <c r="U47" s="22"/>
      <c r="V47" s="22"/>
      <c r="W47" s="1"/>
    </row>
    <row r="48" spans="1:26" x14ac:dyDescent="0.25">
      <c r="A48"/>
      <c r="B48" s="17"/>
      <c r="C48" s="1"/>
      <c r="D48" s="1"/>
      <c r="E48" s="1"/>
      <c r="F48" s="1"/>
      <c r="G48" s="1"/>
      <c r="H48" s="1"/>
      <c r="I48" s="1"/>
      <c r="J48" s="1"/>
      <c r="K48" s="1"/>
      <c r="L48" s="22"/>
      <c r="M48" s="22"/>
      <c r="N48" s="22"/>
      <c r="O48" s="19"/>
      <c r="P48" s="22"/>
      <c r="Q48" s="22"/>
      <c r="R48" s="22"/>
      <c r="S48" s="22"/>
      <c r="T48" s="49"/>
      <c r="U48" s="22"/>
      <c r="V48" s="22"/>
      <c r="W48" s="1"/>
    </row>
    <row r="49" spans="1:23" x14ac:dyDescent="0.25">
      <c r="A49"/>
      <c r="B49" s="17"/>
      <c r="C49" s="1"/>
      <c r="D49" s="1"/>
      <c r="E49" s="1"/>
      <c r="F49" s="1"/>
      <c r="G49" s="1"/>
      <c r="H49" s="1"/>
      <c r="I49" s="1"/>
      <c r="J49" s="1"/>
      <c r="K49" s="1"/>
      <c r="L49" s="22"/>
      <c r="M49" s="22"/>
      <c r="N49" s="22"/>
      <c r="O49" s="19"/>
      <c r="P49" s="22"/>
      <c r="Q49" s="22"/>
      <c r="R49" s="22"/>
      <c r="S49" s="22"/>
      <c r="T49" s="49"/>
      <c r="U49" s="22"/>
      <c r="V49" s="22"/>
      <c r="W49" s="1"/>
    </row>
    <row r="50" spans="1:23" x14ac:dyDescent="0.25">
      <c r="A50"/>
      <c r="B50" s="17"/>
      <c r="C50" s="1"/>
      <c r="D50" s="1"/>
      <c r="E50" s="1"/>
      <c r="F50" s="1"/>
      <c r="G50" s="1"/>
      <c r="H50" s="1"/>
      <c r="I50" s="1"/>
      <c r="J50" s="1"/>
      <c r="K50" s="1"/>
      <c r="L50" s="22"/>
      <c r="M50" s="22"/>
      <c r="N50" s="22"/>
      <c r="O50" s="19"/>
      <c r="P50" s="22"/>
      <c r="Q50" s="22"/>
      <c r="R50" s="22"/>
      <c r="S50" s="22"/>
      <c r="T50" s="49"/>
      <c r="U50" s="22"/>
      <c r="V50" s="22"/>
      <c r="W50" s="1"/>
    </row>
    <row r="51" spans="1:23" x14ac:dyDescent="0.25">
      <c r="A51"/>
      <c r="B51" s="17"/>
      <c r="C51" s="1"/>
      <c r="D51" s="1"/>
      <c r="E51" s="1"/>
      <c r="F51" s="1"/>
      <c r="G51" s="1"/>
      <c r="H51" s="1"/>
      <c r="I51" s="1"/>
      <c r="J51" s="1"/>
      <c r="K51" s="1"/>
      <c r="L51" s="22"/>
      <c r="M51" s="22"/>
      <c r="N51" s="22"/>
      <c r="O51" s="19"/>
      <c r="P51" s="22"/>
      <c r="Q51" s="22"/>
      <c r="R51" s="22"/>
      <c r="S51" s="22"/>
      <c r="T51" s="49"/>
      <c r="U51" s="22"/>
      <c r="V51" s="22"/>
      <c r="W51" s="1"/>
    </row>
    <row r="52" spans="1:23" x14ac:dyDescent="0.25">
      <c r="A52"/>
      <c r="B52" s="17"/>
      <c r="C52" s="1"/>
      <c r="D52" s="1"/>
      <c r="E52" s="1"/>
      <c r="F52" s="1"/>
      <c r="G52" s="1"/>
      <c r="H52" s="1"/>
      <c r="I52" s="1"/>
      <c r="J52" s="1"/>
      <c r="K52" s="1"/>
      <c r="L52" s="22"/>
      <c r="M52" s="22"/>
      <c r="N52" s="22"/>
      <c r="O52" s="19"/>
      <c r="P52" s="22"/>
      <c r="Q52" s="22"/>
      <c r="R52" s="22"/>
      <c r="S52" s="22"/>
      <c r="T52" s="49"/>
      <c r="U52" s="22"/>
      <c r="V52" s="22"/>
      <c r="W52" s="1"/>
    </row>
    <row r="53" spans="1:23" x14ac:dyDescent="0.25">
      <c r="A53"/>
      <c r="B53" s="17"/>
      <c r="C53" s="1"/>
      <c r="D53" s="1"/>
      <c r="E53" s="1"/>
      <c r="F53" s="1"/>
      <c r="G53" s="1"/>
      <c r="H53" s="1"/>
      <c r="I53" s="1"/>
      <c r="J53" s="1"/>
      <c r="K53" s="1"/>
      <c r="L53" s="22"/>
      <c r="M53" s="22"/>
      <c r="N53" s="22"/>
      <c r="O53" s="19"/>
      <c r="P53" s="22"/>
      <c r="Q53" s="22"/>
      <c r="R53" s="22"/>
      <c r="S53" s="22"/>
      <c r="T53" s="49"/>
      <c r="U53" s="22"/>
      <c r="V53" s="22"/>
      <c r="W53" s="1"/>
    </row>
    <row r="54" spans="1:23" x14ac:dyDescent="0.25">
      <c r="A54"/>
      <c r="B54" s="17"/>
      <c r="C54" s="1"/>
      <c r="D54" s="1"/>
      <c r="E54" s="1"/>
      <c r="F54" s="1"/>
      <c r="G54" s="1"/>
      <c r="H54" s="1"/>
      <c r="I54" s="1"/>
      <c r="J54" s="1"/>
      <c r="K54" s="1"/>
      <c r="L54" s="22"/>
      <c r="M54" s="22"/>
      <c r="N54" s="22"/>
      <c r="O54" s="19"/>
      <c r="P54" s="22"/>
      <c r="Q54" s="22"/>
      <c r="R54" s="22"/>
      <c r="S54" s="22"/>
      <c r="T54" s="49"/>
      <c r="U54" s="22"/>
      <c r="V54" s="22"/>
      <c r="W54" s="1"/>
    </row>
  </sheetData>
  <sortState xmlns:xlrd2="http://schemas.microsoft.com/office/spreadsheetml/2017/richdata2" ref="A4:W46">
    <sortCondition ref="T4:T46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9"/>
  <dimension ref="A1:Z38"/>
  <sheetViews>
    <sheetView showGridLines="0" zoomScaleNormal="100" workbookViewId="0">
      <pane xSplit="1" ySplit="2" topLeftCell="B7" activePane="bottomRight" state="frozen"/>
      <selection pane="topRight"/>
      <selection pane="bottomLeft"/>
      <selection pane="bottomRight" activeCell="A3" sqref="A3:A38"/>
    </sheetView>
  </sheetViews>
  <sheetFormatPr defaultColWidth="9.140625" defaultRowHeight="15.75" x14ac:dyDescent="0.25"/>
  <cols>
    <col min="1" max="1" width="19.7109375" style="17" customWidth="1"/>
    <col min="2" max="2" width="21.140625" style="17" hidden="1" customWidth="1"/>
    <col min="3" max="3" width="3.85546875" style="17" hidden="1" customWidth="1"/>
    <col min="4" max="4" width="2.5703125" style="17" hidden="1" customWidth="1"/>
    <col min="5" max="6" width="10.85546875" style="17" hidden="1" customWidth="1"/>
    <col min="7" max="7" width="9.5703125" style="17" hidden="1" customWidth="1"/>
    <col min="8" max="8" width="10.85546875" style="17" hidden="1" customWidth="1"/>
    <col min="9" max="9" width="9.5703125" style="17" hidden="1" customWidth="1"/>
    <col min="10" max="11" width="9.140625" style="17" hidden="1" customWidth="1"/>
    <col min="12" max="12" width="14.140625" style="19" bestFit="1" customWidth="1"/>
    <col min="13" max="13" width="15.85546875" style="19" bestFit="1" customWidth="1"/>
    <col min="14" max="14" width="12.140625" style="19" bestFit="1" customWidth="1"/>
    <col min="15" max="15" width="14.42578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0.85546875" style="17" bestFit="1" customWidth="1"/>
    <col min="24" max="24" width="15.42578125" style="17" bestFit="1" customWidth="1"/>
  </cols>
  <sheetData>
    <row r="1" spans="1:26" s="28" customFormat="1" ht="16.5" customHeight="1" x14ac:dyDescent="0.25">
      <c r="A1" s="27" t="s">
        <v>74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9" t="s">
        <v>433</v>
      </c>
      <c r="X1" s="27"/>
    </row>
    <row r="2" spans="1:26" ht="14.25" hidden="1" customHeight="1" x14ac:dyDescent="0.25">
      <c r="A2" s="17" t="s">
        <v>114</v>
      </c>
      <c r="B2" s="17" t="str">
        <f>IF(ISNUMBER(SEARCH("(",A2)),IF(ISNUMBER(SEARCH("/",A2)),CONCATENATE(MID(A2,1,4),"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2,1,4)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MGDG 36:4__O__</v>
      </c>
      <c r="C2" s="1" t="str">
        <f>MID(B2,6,FIND(":",B2)-FIND(" ",B2)-1)</f>
        <v>36</v>
      </c>
      <c r="D2" s="1" t="str">
        <f>IF(ISNUMBER(SEARCH("__",B2)),MID(B2,FIND(":",B2)+1,FIND("__",B2)-FIND(":",B2)-1),MID(B2,FIND(":",B2)+1,7))</f>
        <v>4</v>
      </c>
      <c r="E2" s="17">
        <f>C2+9</f>
        <v>45</v>
      </c>
      <c r="F2" s="17">
        <f>2*E2-(2*D2)-4-((LEN(A2)-LEN(SUBSTITUTE(A2,"_O_","")))/LEN("_O_"))*2-((LEN(A2)-LEN(SUBSTITUTE(A2,"_CHO_","")))/LEN("_CHO_"))*2-((LEN(A2)-LEN(SUBSTITUTE(A2,"_COOH_","")))/LEN("_COOH_"))*2</f>
        <v>76</v>
      </c>
      <c r="G2" s="17">
        <v>0</v>
      </c>
      <c r="H2" s="17">
        <f>10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11</v>
      </c>
      <c r="I2" s="17">
        <v>0</v>
      </c>
      <c r="L2" s="19" t="str">
        <f>CONCATENATE("C",E2,"H",F2,"O",H2,)</f>
        <v>C45H76O11</v>
      </c>
      <c r="M2" s="19">
        <f t="shared" ref="M2" si="0">(E2*12)+(F2*1.0078246)+(G2*14.003074)+(H2*15.994915)+(I2*30.973763)</f>
        <v>792.5387346</v>
      </c>
      <c r="N2" s="19">
        <f>M2+1.0078246-0.00055</f>
        <v>793.54600920000007</v>
      </c>
      <c r="O2" s="19">
        <f>N2-18.01057-0.00055</f>
        <v>775.53488920000007</v>
      </c>
      <c r="P2" s="19">
        <f>M2+18.03437-0.00055</f>
        <v>810.57255459999999</v>
      </c>
      <c r="Q2" s="19">
        <f>M2+22.98977-0.00055</f>
        <v>815.52795460000004</v>
      </c>
      <c r="R2" s="19">
        <f>M2+38.96371-0.00055</f>
        <v>831.50189460000001</v>
      </c>
      <c r="S2" s="19">
        <f>M2+7.01601-0.00055</f>
        <v>799.55419460000007</v>
      </c>
      <c r="T2" s="19">
        <f>M2-1.0078246+0.00055</f>
        <v>791.53145999999992</v>
      </c>
      <c r="U2" s="19">
        <f>M2+44.99767+0.00055</f>
        <v>837.53695459999994</v>
      </c>
      <c r="V2" s="19">
        <f>M2+59.01332+0.00055</f>
        <v>851.5526046</v>
      </c>
      <c r="W2" s="46">
        <f>M2+34.968853-0.00055</f>
        <v>827.50703759999999</v>
      </c>
    </row>
    <row r="3" spans="1:26" x14ac:dyDescent="0.25">
      <c r="A3" s="18" t="s">
        <v>270</v>
      </c>
      <c r="B3" s="17" t="str">
        <f t="shared" ref="B3:B20" si="1">IF(ISNUMBER(SEARCH("(",A3)),IF(ISNUMBER(SEARCH("/",A3)),CONCATENATE(MID(A3,1,4),"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3,1,4)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MGDG 25:0</v>
      </c>
      <c r="C3" s="1" t="str">
        <f t="shared" ref="C3:C20" si="2">MID(B3,6,FIND(":",B3)-FIND(" ",B3)-1)</f>
        <v>25</v>
      </c>
      <c r="D3" s="1" t="str">
        <f t="shared" ref="D3:D20" si="3">IF(ISNUMBER(SEARCH("__",B3)),MID(B3,FIND(":",B3)+1,FIND("__",B3)-FIND(":",B3)-1),MID(B3,FIND(":",B3)+1,7))</f>
        <v>0</v>
      </c>
      <c r="E3" s="17">
        <f t="shared" ref="E3:E20" si="4">C3+9</f>
        <v>34</v>
      </c>
      <c r="F3" s="17">
        <f t="shared" ref="F3:F20" si="5">2*E3-(2*D3)-4-((LEN(A3)-LEN(SUBSTITUTE(A3,"_O_","")))/LEN("_O_"))*2-((LEN(A3)-LEN(SUBSTITUTE(A3,"_CHO_","")))/LEN("_CHO_"))*2-((LEN(A3)-LEN(SUBSTITUTE(A3,"_COOH_","")))/LEN("_COOH_"))*2</f>
        <v>64</v>
      </c>
      <c r="G3" s="17">
        <v>0</v>
      </c>
      <c r="H3" s="17">
        <f t="shared" ref="H3:H20" si="6">10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10</v>
      </c>
      <c r="I3" s="17">
        <v>0</v>
      </c>
      <c r="L3" s="19" t="str">
        <f t="shared" ref="L3:L20" si="7">CONCATENATE("C",E3,"H",F3,"O",H3,)</f>
        <v>C34H64O10</v>
      </c>
      <c r="M3" s="19">
        <f t="shared" ref="M3:M38" si="8">(E3*12)+(F3*1.0078246)+(G3*14.003074)+(H3*15.994915)+(I3*30.973763)</f>
        <v>632.44992439999999</v>
      </c>
      <c r="N3" s="19">
        <f t="shared" ref="N3:N20" si="9">M3+1.0078246-0.00055</f>
        <v>633.45719900000006</v>
      </c>
      <c r="O3" s="19">
        <f t="shared" ref="O3:O20" si="10">N3-18.01057-0.00055</f>
        <v>615.44607900000005</v>
      </c>
      <c r="P3" s="19">
        <f t="shared" ref="P3:P20" si="11">M3+18.03437-0.00055</f>
        <v>650.48374439999998</v>
      </c>
      <c r="Q3" s="19">
        <f t="shared" ref="Q3:Q20" si="12">M3+22.98977-0.00055</f>
        <v>655.43914440000003</v>
      </c>
      <c r="R3" s="19">
        <f t="shared" ref="R3:R20" si="13">M3+38.96371-0.00055</f>
        <v>671.4130844</v>
      </c>
      <c r="S3" s="19">
        <f t="shared" ref="S3:S20" si="14">M3+7.01601-0.00055</f>
        <v>639.46538440000006</v>
      </c>
      <c r="T3" s="19">
        <f t="shared" ref="T3:T20" si="15">M3-1.0078246+0.00055</f>
        <v>631.44264979999991</v>
      </c>
      <c r="U3" s="19">
        <f t="shared" ref="U3:U20" si="16">M3+44.99767+0.00055</f>
        <v>677.44814439999993</v>
      </c>
      <c r="V3" s="19">
        <f t="shared" ref="V3:V20" si="17">M3+59.01332+0.00055</f>
        <v>691.46379439999998</v>
      </c>
      <c r="W3" s="46">
        <f t="shared" ref="W3:W20" si="18">M3+34.968853-0.00055</f>
        <v>667.41822739999998</v>
      </c>
    </row>
    <row r="4" spans="1:26" x14ac:dyDescent="0.25">
      <c r="A4" s="18" t="s">
        <v>271</v>
      </c>
      <c r="B4" s="17" t="str">
        <f t="shared" si="1"/>
        <v>MGDG 26:0</v>
      </c>
      <c r="C4" s="1" t="str">
        <f t="shared" si="2"/>
        <v>26</v>
      </c>
      <c r="D4" s="1" t="str">
        <f t="shared" si="3"/>
        <v>0</v>
      </c>
      <c r="E4" s="17">
        <f t="shared" si="4"/>
        <v>35</v>
      </c>
      <c r="F4" s="17">
        <f t="shared" si="5"/>
        <v>66</v>
      </c>
      <c r="G4" s="17">
        <v>0</v>
      </c>
      <c r="H4" s="17">
        <f t="shared" si="6"/>
        <v>10</v>
      </c>
      <c r="I4" s="17">
        <v>0</v>
      </c>
      <c r="L4" s="19" t="str">
        <f t="shared" si="7"/>
        <v>C35H66O10</v>
      </c>
      <c r="M4" s="19">
        <f t="shared" si="8"/>
        <v>646.46557359999997</v>
      </c>
      <c r="N4" s="19">
        <f t="shared" si="9"/>
        <v>647.47284820000004</v>
      </c>
      <c r="O4" s="19">
        <f t="shared" si="10"/>
        <v>629.46172820000004</v>
      </c>
      <c r="P4" s="19">
        <f t="shared" si="11"/>
        <v>664.49939359999996</v>
      </c>
      <c r="Q4" s="19">
        <f t="shared" si="12"/>
        <v>669.45479360000002</v>
      </c>
      <c r="R4" s="19">
        <f t="shared" si="13"/>
        <v>685.42873359999999</v>
      </c>
      <c r="S4" s="19">
        <f t="shared" si="14"/>
        <v>653.48103360000005</v>
      </c>
      <c r="T4" s="19">
        <f t="shared" si="15"/>
        <v>645.4582989999999</v>
      </c>
      <c r="U4" s="19">
        <f t="shared" si="16"/>
        <v>691.46379359999992</v>
      </c>
      <c r="V4" s="19">
        <f t="shared" si="17"/>
        <v>705.47944359999997</v>
      </c>
      <c r="W4" s="46">
        <f t="shared" si="18"/>
        <v>681.43387659999996</v>
      </c>
    </row>
    <row r="5" spans="1:26" x14ac:dyDescent="0.25">
      <c r="A5" s="18" t="s">
        <v>272</v>
      </c>
      <c r="B5" s="17" t="str">
        <f t="shared" si="1"/>
        <v>MGDG 27:0</v>
      </c>
      <c r="C5" s="1" t="str">
        <f t="shared" si="2"/>
        <v>27</v>
      </c>
      <c r="D5" s="1" t="str">
        <f t="shared" si="3"/>
        <v>0</v>
      </c>
      <c r="E5" s="17">
        <f t="shared" si="4"/>
        <v>36</v>
      </c>
      <c r="F5" s="17">
        <f t="shared" si="5"/>
        <v>68</v>
      </c>
      <c r="G5" s="17">
        <v>0</v>
      </c>
      <c r="H5" s="17">
        <f t="shared" si="6"/>
        <v>10</v>
      </c>
      <c r="I5" s="17">
        <v>0</v>
      </c>
      <c r="L5" s="19" t="str">
        <f t="shared" si="7"/>
        <v>C36H68O10</v>
      </c>
      <c r="M5" s="19">
        <f t="shared" si="8"/>
        <v>660.48122279999995</v>
      </c>
      <c r="N5" s="19">
        <f t="shared" si="9"/>
        <v>661.48849740000003</v>
      </c>
      <c r="O5" s="19">
        <f t="shared" si="10"/>
        <v>643.47737740000002</v>
      </c>
      <c r="P5" s="19">
        <f t="shared" si="11"/>
        <v>678.51504279999995</v>
      </c>
      <c r="Q5" s="19">
        <f t="shared" si="12"/>
        <v>683.4704428</v>
      </c>
      <c r="R5" s="19">
        <f t="shared" si="13"/>
        <v>699.44438279999997</v>
      </c>
      <c r="S5" s="19">
        <f t="shared" si="14"/>
        <v>667.49668280000003</v>
      </c>
      <c r="T5" s="19">
        <f t="shared" si="15"/>
        <v>659.47394819999988</v>
      </c>
      <c r="U5" s="19">
        <f t="shared" si="16"/>
        <v>705.4794427999999</v>
      </c>
      <c r="V5" s="19">
        <f t="shared" si="17"/>
        <v>719.49509279999995</v>
      </c>
      <c r="W5" s="46">
        <f t="shared" si="18"/>
        <v>695.44952579999995</v>
      </c>
    </row>
    <row r="6" spans="1:26" x14ac:dyDescent="0.25">
      <c r="A6" s="18" t="s">
        <v>273</v>
      </c>
      <c r="B6" s="17" t="str">
        <f t="shared" si="1"/>
        <v>MGDG 28:2</v>
      </c>
      <c r="C6" s="1" t="str">
        <f t="shared" si="2"/>
        <v>28</v>
      </c>
      <c r="D6" s="1" t="str">
        <f t="shared" si="3"/>
        <v>2</v>
      </c>
      <c r="E6" s="17">
        <f t="shared" si="4"/>
        <v>37</v>
      </c>
      <c r="F6" s="17">
        <f t="shared" si="5"/>
        <v>66</v>
      </c>
      <c r="G6" s="17">
        <v>0</v>
      </c>
      <c r="H6" s="17">
        <f t="shared" si="6"/>
        <v>10</v>
      </c>
      <c r="I6" s="17">
        <v>0</v>
      </c>
      <c r="L6" s="19" t="str">
        <f t="shared" si="7"/>
        <v>C37H66O10</v>
      </c>
      <c r="M6" s="19">
        <f t="shared" si="8"/>
        <v>670.46557359999997</v>
      </c>
      <c r="N6" s="19">
        <f t="shared" si="9"/>
        <v>671.47284820000004</v>
      </c>
      <c r="O6" s="19">
        <f t="shared" si="10"/>
        <v>653.46172820000004</v>
      </c>
      <c r="P6" s="19">
        <f t="shared" si="11"/>
        <v>688.49939359999996</v>
      </c>
      <c r="Q6" s="19">
        <f t="shared" si="12"/>
        <v>693.45479360000002</v>
      </c>
      <c r="R6" s="19">
        <f t="shared" si="13"/>
        <v>709.42873359999999</v>
      </c>
      <c r="S6" s="19">
        <f t="shared" si="14"/>
        <v>677.48103360000005</v>
      </c>
      <c r="T6" s="19">
        <f t="shared" si="15"/>
        <v>669.4582989999999</v>
      </c>
      <c r="U6" s="19">
        <f t="shared" si="16"/>
        <v>715.46379359999992</v>
      </c>
      <c r="V6" s="19">
        <f t="shared" si="17"/>
        <v>729.47944359999997</v>
      </c>
      <c r="W6" s="46">
        <f t="shared" si="18"/>
        <v>705.43387659999996</v>
      </c>
    </row>
    <row r="7" spans="1:26" x14ac:dyDescent="0.25">
      <c r="A7" s="18" t="s">
        <v>274</v>
      </c>
      <c r="B7" s="17" t="str">
        <f t="shared" si="1"/>
        <v>MGDG 28:1</v>
      </c>
      <c r="C7" s="1" t="str">
        <f t="shared" si="2"/>
        <v>28</v>
      </c>
      <c r="D7" s="1" t="str">
        <f t="shared" si="3"/>
        <v>1</v>
      </c>
      <c r="E7" s="17">
        <f t="shared" si="4"/>
        <v>37</v>
      </c>
      <c r="F7" s="17">
        <f t="shared" si="5"/>
        <v>68</v>
      </c>
      <c r="G7" s="17">
        <v>0</v>
      </c>
      <c r="H7" s="17">
        <f t="shared" si="6"/>
        <v>10</v>
      </c>
      <c r="I7" s="17">
        <v>0</v>
      </c>
      <c r="L7" s="19" t="str">
        <f t="shared" si="7"/>
        <v>C37H68O10</v>
      </c>
      <c r="M7" s="19">
        <f t="shared" si="8"/>
        <v>672.48122280000007</v>
      </c>
      <c r="N7" s="19">
        <f t="shared" si="9"/>
        <v>673.48849740000014</v>
      </c>
      <c r="O7" s="19">
        <f t="shared" si="10"/>
        <v>655.47737740000014</v>
      </c>
      <c r="P7" s="19">
        <f t="shared" si="11"/>
        <v>690.51504280000006</v>
      </c>
      <c r="Q7" s="19">
        <f t="shared" si="12"/>
        <v>695.47044280000011</v>
      </c>
      <c r="R7" s="19">
        <f t="shared" si="13"/>
        <v>711.44438280000008</v>
      </c>
      <c r="S7" s="19">
        <f t="shared" si="14"/>
        <v>679.49668280000014</v>
      </c>
      <c r="T7" s="19">
        <f t="shared" si="15"/>
        <v>671.4739482</v>
      </c>
      <c r="U7" s="19">
        <f t="shared" si="16"/>
        <v>717.47944280000002</v>
      </c>
      <c r="V7" s="19">
        <f t="shared" si="17"/>
        <v>731.49509280000007</v>
      </c>
      <c r="W7" s="46">
        <f t="shared" si="18"/>
        <v>707.44952580000006</v>
      </c>
    </row>
    <row r="8" spans="1:26" x14ac:dyDescent="0.25">
      <c r="A8" s="18" t="s">
        <v>275</v>
      </c>
      <c r="B8" s="17" t="str">
        <f t="shared" si="1"/>
        <v>MGDG 28:0</v>
      </c>
      <c r="C8" s="1" t="str">
        <f t="shared" si="2"/>
        <v>28</v>
      </c>
      <c r="D8" s="1" t="str">
        <f t="shared" si="3"/>
        <v>0</v>
      </c>
      <c r="E8" s="17">
        <f t="shared" si="4"/>
        <v>37</v>
      </c>
      <c r="F8" s="17">
        <f t="shared" si="5"/>
        <v>70</v>
      </c>
      <c r="G8" s="17">
        <v>0</v>
      </c>
      <c r="H8" s="17">
        <f t="shared" si="6"/>
        <v>10</v>
      </c>
      <c r="I8" s="17">
        <v>0</v>
      </c>
      <c r="L8" s="19" t="str">
        <f t="shared" si="7"/>
        <v>C37H70O10</v>
      </c>
      <c r="M8" s="19">
        <f t="shared" si="8"/>
        <v>674.49687200000005</v>
      </c>
      <c r="N8" s="19">
        <f t="shared" si="9"/>
        <v>675.50414660000013</v>
      </c>
      <c r="O8" s="19">
        <f t="shared" si="10"/>
        <v>657.49302660000012</v>
      </c>
      <c r="P8" s="19">
        <f t="shared" si="11"/>
        <v>692.53069200000004</v>
      </c>
      <c r="Q8" s="19">
        <f t="shared" si="12"/>
        <v>697.4860920000001</v>
      </c>
      <c r="R8" s="19">
        <f t="shared" si="13"/>
        <v>713.46003200000007</v>
      </c>
      <c r="S8" s="19">
        <f t="shared" si="14"/>
        <v>681.51233200000013</v>
      </c>
      <c r="T8" s="19">
        <f t="shared" si="15"/>
        <v>673.48959739999998</v>
      </c>
      <c r="U8" s="19">
        <f t="shared" si="16"/>
        <v>719.495092</v>
      </c>
      <c r="V8" s="19">
        <f t="shared" si="17"/>
        <v>733.51074200000005</v>
      </c>
      <c r="W8" s="46">
        <f t="shared" si="18"/>
        <v>709.46517500000004</v>
      </c>
    </row>
    <row r="9" spans="1:26" x14ac:dyDescent="0.25">
      <c r="A9" s="18" t="s">
        <v>276</v>
      </c>
      <c r="B9" s="17" t="str">
        <f t="shared" si="1"/>
        <v>MGDG 29:2</v>
      </c>
      <c r="C9" s="1" t="str">
        <f t="shared" si="2"/>
        <v>29</v>
      </c>
      <c r="D9" s="1" t="str">
        <f t="shared" si="3"/>
        <v>2</v>
      </c>
      <c r="E9" s="17">
        <f t="shared" si="4"/>
        <v>38</v>
      </c>
      <c r="F9" s="17">
        <f t="shared" si="5"/>
        <v>68</v>
      </c>
      <c r="G9" s="17">
        <v>0</v>
      </c>
      <c r="H9" s="17">
        <f t="shared" si="6"/>
        <v>10</v>
      </c>
      <c r="I9" s="17">
        <v>0</v>
      </c>
      <c r="L9" s="19" t="str">
        <f t="shared" si="7"/>
        <v>C38H68O10</v>
      </c>
      <c r="M9" s="19">
        <f t="shared" si="8"/>
        <v>684.48122280000007</v>
      </c>
      <c r="N9" s="19">
        <f t="shared" si="9"/>
        <v>685.48849740000014</v>
      </c>
      <c r="O9" s="19">
        <f t="shared" si="10"/>
        <v>667.47737740000014</v>
      </c>
      <c r="P9" s="19">
        <f t="shared" si="11"/>
        <v>702.51504280000006</v>
      </c>
      <c r="Q9" s="19">
        <f t="shared" si="12"/>
        <v>707.47044280000011</v>
      </c>
      <c r="R9" s="19">
        <f t="shared" si="13"/>
        <v>723.44438280000008</v>
      </c>
      <c r="S9" s="19">
        <f t="shared" si="14"/>
        <v>691.49668280000014</v>
      </c>
      <c r="T9" s="19">
        <f t="shared" si="15"/>
        <v>683.4739482</v>
      </c>
      <c r="U9" s="19">
        <f t="shared" si="16"/>
        <v>729.47944280000002</v>
      </c>
      <c r="V9" s="19">
        <f t="shared" si="17"/>
        <v>743.49509280000007</v>
      </c>
      <c r="W9" s="46">
        <f t="shared" si="18"/>
        <v>719.44952580000006</v>
      </c>
    </row>
    <row r="10" spans="1:26" x14ac:dyDescent="0.25">
      <c r="A10" s="18" t="s">
        <v>277</v>
      </c>
      <c r="B10" s="17" t="str">
        <f t="shared" si="1"/>
        <v>MGDG 29:1</v>
      </c>
      <c r="C10" s="1" t="str">
        <f t="shared" si="2"/>
        <v>29</v>
      </c>
      <c r="D10" s="1" t="str">
        <f t="shared" si="3"/>
        <v>1</v>
      </c>
      <c r="E10" s="17">
        <f t="shared" si="4"/>
        <v>38</v>
      </c>
      <c r="F10" s="17">
        <f t="shared" si="5"/>
        <v>70</v>
      </c>
      <c r="G10" s="17">
        <v>0</v>
      </c>
      <c r="H10" s="17">
        <f t="shared" si="6"/>
        <v>10</v>
      </c>
      <c r="I10" s="17">
        <v>0</v>
      </c>
      <c r="L10" s="19" t="str">
        <f t="shared" si="7"/>
        <v>C38H70O10</v>
      </c>
      <c r="M10" s="19">
        <f t="shared" si="8"/>
        <v>686.49687200000005</v>
      </c>
      <c r="N10" s="19">
        <f t="shared" si="9"/>
        <v>687.50414660000013</v>
      </c>
      <c r="O10" s="19">
        <f t="shared" si="10"/>
        <v>669.49302660000012</v>
      </c>
      <c r="P10" s="19">
        <f t="shared" si="11"/>
        <v>704.53069200000004</v>
      </c>
      <c r="Q10" s="19">
        <f t="shared" si="12"/>
        <v>709.4860920000001</v>
      </c>
      <c r="R10" s="19">
        <f t="shared" si="13"/>
        <v>725.46003200000007</v>
      </c>
      <c r="S10" s="19">
        <f t="shared" si="14"/>
        <v>693.51233200000013</v>
      </c>
      <c r="T10" s="19">
        <f t="shared" si="15"/>
        <v>685.48959739999998</v>
      </c>
      <c r="U10" s="19">
        <f t="shared" si="16"/>
        <v>731.495092</v>
      </c>
      <c r="V10" s="19">
        <f t="shared" si="17"/>
        <v>745.51074200000005</v>
      </c>
      <c r="W10" s="46">
        <f t="shared" si="18"/>
        <v>721.46517500000004</v>
      </c>
    </row>
    <row r="11" spans="1:26" x14ac:dyDescent="0.25">
      <c r="A11" s="18" t="s">
        <v>278</v>
      </c>
      <c r="B11" s="17" t="str">
        <f t="shared" si="1"/>
        <v>MGDG 29:0</v>
      </c>
      <c r="C11" s="1" t="str">
        <f t="shared" si="2"/>
        <v>29</v>
      </c>
      <c r="D11" s="1" t="str">
        <f t="shared" si="3"/>
        <v>0</v>
      </c>
      <c r="E11" s="17">
        <f t="shared" si="4"/>
        <v>38</v>
      </c>
      <c r="F11" s="17">
        <f t="shared" si="5"/>
        <v>72</v>
      </c>
      <c r="G11" s="17">
        <v>0</v>
      </c>
      <c r="H11" s="17">
        <f t="shared" si="6"/>
        <v>10</v>
      </c>
      <c r="I11" s="17">
        <v>0</v>
      </c>
      <c r="L11" s="19" t="str">
        <f t="shared" si="7"/>
        <v>C38H72O10</v>
      </c>
      <c r="M11" s="19">
        <f t="shared" si="8"/>
        <v>688.51252120000004</v>
      </c>
      <c r="N11" s="19">
        <f t="shared" si="9"/>
        <v>689.51979580000011</v>
      </c>
      <c r="O11" s="19">
        <f t="shared" si="10"/>
        <v>671.50867580000011</v>
      </c>
      <c r="P11" s="19">
        <f t="shared" si="11"/>
        <v>706.54634120000003</v>
      </c>
      <c r="Q11" s="19">
        <f t="shared" si="12"/>
        <v>711.50174120000008</v>
      </c>
      <c r="R11" s="19">
        <f t="shared" si="13"/>
        <v>727.47568120000005</v>
      </c>
      <c r="S11" s="19">
        <f t="shared" si="14"/>
        <v>695.52798120000011</v>
      </c>
      <c r="T11" s="19">
        <f t="shared" si="15"/>
        <v>687.50524659999996</v>
      </c>
      <c r="U11" s="19">
        <f t="shared" si="16"/>
        <v>733.51074119999998</v>
      </c>
      <c r="V11" s="19">
        <f t="shared" si="17"/>
        <v>747.52639120000003</v>
      </c>
      <c r="W11" s="46">
        <f t="shared" si="18"/>
        <v>723.48082420000003</v>
      </c>
    </row>
    <row r="12" spans="1:26" x14ac:dyDescent="0.25">
      <c r="A12" s="18" t="s">
        <v>706</v>
      </c>
      <c r="B12" s="17" t="str">
        <f>IF(ISNUMBER(SEARCH("(",A12)),IF(ISNUMBER(SEARCH("/",A12)),CONCATENATE(MID(A12,1,4)," ",(SUM(MID(A12,FIND("(",A12)+1,FIND(":",A12)-FIND("(",A12)-1),MID(A12,FIND("/",A12)+1,FIND(":",A12,FIND("/",A12))-FIND("/",A12)-1))),":",SUM(MID(A12,FIND(":",A12)+1,FIND("/",A12)-FIND(":",A12)-1),MID(A12,FIND(":",A12,FIND("/",A12))+1,FIND(")",A12)-FIND(":",A12,FIND("/",A12))-1)),MID(A12,(FIND(")",A12)+1),100)),CONCATENATE(MID(A12,1,4)," ",(SUM(MID(A12,FIND("(",A12)+1,FIND(":",A12)-FIND("(",A12)-1),MID(A12,FIND("_",A12)+1,FIND(":",A12,FIND("_",A12))-FIND("_",A12)-1))),":",SUM(MID(A12,FIND(":",A12)+1,FIND("_",A12)-FIND(":",A12)-1),MID(A12,FIND(":",A12,FIND("_",A12))+1,FIND(")",A12)-FIND(":",A12,FIND("_",A12))-1)),MID(A12,(FIND(")",A12)+1),100))),A12)</f>
        <v>MGDG 30:2</v>
      </c>
      <c r="C12" s="1" t="str">
        <f>MID(B12,6,FIND(":",B12)-FIND(" ",B12)-1)</f>
        <v>30</v>
      </c>
      <c r="D12" s="1" t="str">
        <f>IF(ISNUMBER(SEARCH("__",B12)),MID(B12,FIND(":",B12)+1,FIND("__",B12)-FIND(":",B12)-1),MID(B12,FIND(":",B12)+1,7))</f>
        <v>2</v>
      </c>
      <c r="E12" s="17">
        <f>C12+9</f>
        <v>39</v>
      </c>
      <c r="F12" s="17">
        <f>2*E12-(2*D12)-4-((LEN(A12)-LEN(SUBSTITUTE(A12,"_O_","")))/LEN("_O_"))*2-((LEN(A12)-LEN(SUBSTITUTE(A12,"_CHO_","")))/LEN("_CHO_"))*2-((LEN(A12)-LEN(SUBSTITUTE(A12,"_COOH_","")))/LEN("_COOH_"))*2</f>
        <v>70</v>
      </c>
      <c r="G12" s="17">
        <v>0</v>
      </c>
      <c r="H12" s="17">
        <f>10+((LEN(A12)-LEN(SUBSTITUTE(A12,"_OH_","")))/LEN("_OH_"))*1+((LEN(A12)-LEN(SUBSTITUTE(A12,"_OOH_","")))/LEN("_OOH_"))*2+((LEN(A12)-LEN(SUBSTITUTE(A12,"_O_","")))/LEN("_O_"))*1+((LEN(A12)-LEN(SUBSTITUTE(A12,"_CHO_","")))/LEN("_CHO_"))*1+((LEN(A12)-LEN(SUBSTITUTE(A12,"_COOH_","")))/LEN("_COOH_"))*2</f>
        <v>10</v>
      </c>
      <c r="I12" s="17">
        <v>0</v>
      </c>
      <c r="L12" s="19" t="str">
        <f>CONCATENATE("C",E12,"H",F12,"O",H12,)</f>
        <v>C39H70O10</v>
      </c>
      <c r="M12" s="19">
        <f t="shared" si="8"/>
        <v>698.49687200000005</v>
      </c>
      <c r="N12" s="19">
        <f>M12+1.0078246-0.00055</f>
        <v>699.50414660000013</v>
      </c>
      <c r="O12" s="19">
        <f>N12-18.01057-0.00055</f>
        <v>681.49302660000012</v>
      </c>
      <c r="P12" s="19">
        <f>M12+18.03437-0.00055</f>
        <v>716.53069200000004</v>
      </c>
      <c r="Q12" s="19">
        <f>M12+22.98977-0.00055</f>
        <v>721.4860920000001</v>
      </c>
      <c r="R12" s="19">
        <f>M12+38.96371-0.00055</f>
        <v>737.46003200000007</v>
      </c>
      <c r="S12" s="19">
        <f>M12+7.01601-0.00055</f>
        <v>705.51233200000013</v>
      </c>
      <c r="T12" s="19">
        <f>M12-1.0078246+0.00055</f>
        <v>697.48959739999998</v>
      </c>
      <c r="U12" s="19">
        <f>M12+44.99767+0.00055</f>
        <v>743.495092</v>
      </c>
      <c r="V12" s="19">
        <f>M12+59.01332+0.00055</f>
        <v>757.51074200000005</v>
      </c>
      <c r="W12" s="46">
        <f>M12+34.968853-0.00055</f>
        <v>733.46517500000004</v>
      </c>
      <c r="Y12" s="62"/>
      <c r="Z12" s="62"/>
    </row>
    <row r="13" spans="1:26" x14ac:dyDescent="0.25">
      <c r="A13" s="18" t="s">
        <v>650</v>
      </c>
      <c r="B13" s="17" t="str">
        <f>IF(ISNUMBER(SEARCH("(",A13)),IF(ISNUMBER(SEARCH("/",A13)),CONCATENATE(MID(A13,1,4)," ",(SUM(MID(A13,FIND("(",A13)+1,FIND(":",A13)-FIND("(",A13)-1),MID(A13,FIND("/",A13)+1,FIND(":",A13,FIND("/",A13))-FIND("/",A13)-1))),":",SUM(MID(A13,FIND(":",A13)+1,FIND("/",A13)-FIND(":",A13)-1),MID(A13,FIND(":",A13,FIND("/",A13))+1,FIND(")",A13)-FIND(":",A13,FIND("/",A13))-1)),MID(A13,(FIND(")",A13)+1),100)),CONCATENATE(MID(A13,1,4)," ",(SUM(MID(A13,FIND("(",A13)+1,FIND(":",A13)-FIND("(",A13)-1),MID(A13,FIND("_",A13)+1,FIND(":",A13,FIND("_",A13))-FIND("_",A13)-1))),":",SUM(MID(A13,FIND(":",A13)+1,FIND("_",A13)-FIND(":",A13)-1),MID(A13,FIND(":",A13,FIND("_",A13))+1,FIND(")",A13)-FIND(":",A13,FIND("_",A13))-1)),MID(A13,(FIND(")",A13)+1),100))),A13)</f>
        <v>MGDG 30:1</v>
      </c>
      <c r="C13" s="1" t="str">
        <f>MID(B13,6,FIND(":",B13)-FIND(" ",B13)-1)</f>
        <v>30</v>
      </c>
      <c r="D13" s="1" t="str">
        <f>IF(ISNUMBER(SEARCH("__",B13)),MID(B13,FIND(":",B13)+1,FIND("__",B13)-FIND(":",B13)-1),MID(B13,FIND(":",B13)+1,7))</f>
        <v>1</v>
      </c>
      <c r="E13" s="17">
        <f>C13+9</f>
        <v>39</v>
      </c>
      <c r="F13" s="17">
        <f>2*E13-(2*D13)-4-((LEN(A13)-LEN(SUBSTITUTE(A13,"_O_","")))/LEN("_O_"))*2-((LEN(A13)-LEN(SUBSTITUTE(A13,"_CHO_","")))/LEN("_CHO_"))*2-((LEN(A13)-LEN(SUBSTITUTE(A13,"_COOH_","")))/LEN("_COOH_"))*2</f>
        <v>72</v>
      </c>
      <c r="G13" s="17">
        <v>0</v>
      </c>
      <c r="H13" s="17">
        <f>10+((LEN(A13)-LEN(SUBSTITUTE(A13,"_OH_","")))/LEN("_OH_"))*1+((LEN(A13)-LEN(SUBSTITUTE(A13,"_OOH_","")))/LEN("_OOH_"))*2+((LEN(A13)-LEN(SUBSTITUTE(A13,"_O_","")))/LEN("_O_"))*1+((LEN(A13)-LEN(SUBSTITUTE(A13,"_CHO_","")))/LEN("_CHO_"))*1+((LEN(A13)-LEN(SUBSTITUTE(A13,"_COOH_","")))/LEN("_COOH_"))*2</f>
        <v>10</v>
      </c>
      <c r="I13" s="17">
        <v>0</v>
      </c>
      <c r="L13" s="19" t="str">
        <f>CONCATENATE("C",E13,"H",F13,"O",H13,)</f>
        <v>C39H72O10</v>
      </c>
      <c r="M13" s="19">
        <f t="shared" si="8"/>
        <v>700.51252120000004</v>
      </c>
      <c r="N13" s="19">
        <f>M13+1.0078246-0.00055</f>
        <v>701.51979580000011</v>
      </c>
      <c r="O13" s="19">
        <f>N13-18.01057-0.00055</f>
        <v>683.50867580000011</v>
      </c>
      <c r="P13" s="19">
        <f>M13+18.03437-0.00055</f>
        <v>718.54634120000003</v>
      </c>
      <c r="Q13" s="19">
        <f>M13+22.98977-0.00055</f>
        <v>723.50174120000008</v>
      </c>
      <c r="R13" s="19">
        <f>M13+38.96371-0.00055</f>
        <v>739.47568120000005</v>
      </c>
      <c r="S13" s="19">
        <f>M13+7.01601-0.00055</f>
        <v>707.52798120000011</v>
      </c>
      <c r="T13" s="19">
        <f>M13-1.0078246+0.00055</f>
        <v>699.50524659999996</v>
      </c>
      <c r="U13" s="19">
        <f>M13+44.99767+0.00055</f>
        <v>745.51074119999998</v>
      </c>
      <c r="V13" s="19">
        <f>M13+59.01332+0.00055</f>
        <v>759.52639120000003</v>
      </c>
      <c r="W13" s="46">
        <f>M13+34.968853-0.00055</f>
        <v>735.48082420000003</v>
      </c>
      <c r="Y13" s="62"/>
      <c r="Z13" s="62"/>
    </row>
    <row r="14" spans="1:26" x14ac:dyDescent="0.25">
      <c r="A14" s="18" t="s">
        <v>279</v>
      </c>
      <c r="B14" s="17" t="str">
        <f>IF(ISNUMBER(SEARCH("(",A14)),IF(ISNUMBER(SEARCH("/",A14)),CONCATENATE(MID(A14,1,4)," ",(SUM(MID(A14,FIND("(",A14)+1,FIND(":",A14)-FIND("(",A14)-1),MID(A14,FIND("/",A14)+1,FIND(":",A14,FIND("/",A14))-FIND("/",A14)-1))),":",SUM(MID(A14,FIND(":",A14)+1,FIND("/",A14)-FIND(":",A14)-1),MID(A14,FIND(":",A14,FIND("/",A14))+1,FIND(")",A14)-FIND(":",A14,FIND("/",A14))-1)),MID(A14,(FIND(")",A14)+1),100)),CONCATENATE(MID(A14,1,4)," ",(SUM(MID(A14,FIND("(",A14)+1,FIND(":",A14)-FIND("(",A14)-1),MID(A14,FIND("_",A14)+1,FIND(":",A14,FIND("_",A14))-FIND("_",A14)-1))),":",SUM(MID(A14,FIND(":",A14)+1,FIND("_",A14)-FIND(":",A14)-1),MID(A14,FIND(":",A14,FIND("_",A14))+1,FIND(")",A14)-FIND(":",A14,FIND("_",A14))-1)),MID(A14,(FIND(")",A14)+1),100))),A14)</f>
        <v>MGDG 30:0</v>
      </c>
      <c r="C14" s="1" t="str">
        <f>MID(B14,6,FIND(":",B14)-FIND(" ",B14)-1)</f>
        <v>30</v>
      </c>
      <c r="D14" s="1" t="str">
        <f>IF(ISNUMBER(SEARCH("__",B14)),MID(B14,FIND(":",B14)+1,FIND("__",B14)-FIND(":",B14)-1),MID(B14,FIND(":",B14)+1,7))</f>
        <v>0</v>
      </c>
      <c r="E14" s="17">
        <f>C14+9</f>
        <v>39</v>
      </c>
      <c r="F14" s="17">
        <f>2*E14-(2*D14)-4-((LEN(A14)-LEN(SUBSTITUTE(A14,"_O_","")))/LEN("_O_"))*2-((LEN(A14)-LEN(SUBSTITUTE(A14,"_CHO_","")))/LEN("_CHO_"))*2-((LEN(A14)-LEN(SUBSTITUTE(A14,"_COOH_","")))/LEN("_COOH_"))*2</f>
        <v>74</v>
      </c>
      <c r="G14" s="17">
        <v>0</v>
      </c>
      <c r="H14" s="17">
        <f>10+((LEN(A14)-LEN(SUBSTITUTE(A14,"_OH_","")))/LEN("_OH_"))*1+((LEN(A14)-LEN(SUBSTITUTE(A14,"_OOH_","")))/LEN("_OOH_"))*2+((LEN(A14)-LEN(SUBSTITUTE(A14,"_O_","")))/LEN("_O_"))*1+((LEN(A14)-LEN(SUBSTITUTE(A14,"_CHO_","")))/LEN("_CHO_"))*1+((LEN(A14)-LEN(SUBSTITUTE(A14,"_COOH_","")))/LEN("_COOH_"))*2</f>
        <v>10</v>
      </c>
      <c r="I14" s="17">
        <v>0</v>
      </c>
      <c r="L14" s="19" t="str">
        <f>CONCATENATE("C",E14,"H",F14,"O",H14,)</f>
        <v>C39H74O10</v>
      </c>
      <c r="M14" s="19">
        <f t="shared" si="8"/>
        <v>702.52817040000002</v>
      </c>
      <c r="N14" s="19">
        <f>M14+1.0078246-0.00055</f>
        <v>703.5354450000001</v>
      </c>
      <c r="O14" s="19">
        <f>N14-18.01057-0.00055</f>
        <v>685.52432500000009</v>
      </c>
      <c r="P14" s="19">
        <f>M14+18.03437-0.00055</f>
        <v>720.56199040000001</v>
      </c>
      <c r="Q14" s="19">
        <f>M14+22.98977-0.00055</f>
        <v>725.51739040000007</v>
      </c>
      <c r="R14" s="19">
        <f>M14+38.96371-0.00055</f>
        <v>741.49133040000004</v>
      </c>
      <c r="S14" s="19">
        <f>M14+7.01601-0.00055</f>
        <v>709.5436304000001</v>
      </c>
      <c r="T14" s="19">
        <f>M14-1.0078246+0.00055</f>
        <v>701.52089579999995</v>
      </c>
      <c r="U14" s="19">
        <f>M14+44.99767+0.00055</f>
        <v>747.52639039999997</v>
      </c>
      <c r="V14" s="19">
        <f>M14+59.01332+0.00055</f>
        <v>761.54204040000002</v>
      </c>
      <c r="W14" s="46">
        <f>M14+34.968853-0.00055</f>
        <v>737.49647340000001</v>
      </c>
      <c r="Y14" s="62"/>
      <c r="Z14" s="62"/>
    </row>
    <row r="15" spans="1:26" x14ac:dyDescent="0.25">
      <c r="A15" s="18" t="s">
        <v>707</v>
      </c>
      <c r="B15" s="17" t="str">
        <f>IF(ISNUMBER(SEARCH("(",A15)),IF(ISNUMBER(SEARCH("/",A15)),CONCATENATE(MID(A15,1,4)," ",(SUM(MID(A15,FIND("(",A15)+1,FIND(":",A15)-FIND("(",A15)-1),MID(A15,FIND("/",A15)+1,FIND(":",A15,FIND("/",A15))-FIND("/",A15)-1))),":",SUM(MID(A15,FIND(":",A15)+1,FIND("/",A15)-FIND(":",A15)-1),MID(A15,FIND(":",A15,FIND("/",A15))+1,FIND(")",A15)-FIND(":",A15,FIND("/",A15))-1)),MID(A15,(FIND(")",A15)+1),100)),CONCATENATE(MID(A15,1,4)," ",(SUM(MID(A15,FIND("(",A15)+1,FIND(":",A15)-FIND("(",A15)-1),MID(A15,FIND("_",A15)+1,FIND(":",A15,FIND("_",A15))-FIND("_",A15)-1))),":",SUM(MID(A15,FIND(":",A15)+1,FIND("_",A15)-FIND(":",A15)-1),MID(A15,FIND(":",A15,FIND("_",A15))+1,FIND(")",A15)-FIND(":",A15,FIND("_",A15))-1)),MID(A15,(FIND(")",A15)+1),100))),A15)</f>
        <v>MGDG 31:2</v>
      </c>
      <c r="C15" s="1" t="str">
        <f>MID(B15,6,FIND(":",B15)-FIND(" ",B15)-1)</f>
        <v>31</v>
      </c>
      <c r="D15" s="1" t="str">
        <f>IF(ISNUMBER(SEARCH("__",B15)),MID(B15,FIND(":",B15)+1,FIND("__",B15)-FIND(":",B15)-1),MID(B15,FIND(":",B15)+1,7))</f>
        <v>2</v>
      </c>
      <c r="E15" s="17">
        <f>C15+9</f>
        <v>40</v>
      </c>
      <c r="F15" s="17">
        <f>2*E15-(2*D15)-4-((LEN(A15)-LEN(SUBSTITUTE(A15,"_O_","")))/LEN("_O_"))*2-((LEN(A15)-LEN(SUBSTITUTE(A15,"_CHO_","")))/LEN("_CHO_"))*2-((LEN(A15)-LEN(SUBSTITUTE(A15,"_COOH_","")))/LEN("_COOH_"))*2</f>
        <v>72</v>
      </c>
      <c r="G15" s="17">
        <v>0</v>
      </c>
      <c r="H15" s="17">
        <f>10+((LEN(A15)-LEN(SUBSTITUTE(A15,"_OH_","")))/LEN("_OH_"))*1+((LEN(A15)-LEN(SUBSTITUTE(A15,"_OOH_","")))/LEN("_OOH_"))*2+((LEN(A15)-LEN(SUBSTITUTE(A15,"_O_","")))/LEN("_O_"))*1+((LEN(A15)-LEN(SUBSTITUTE(A15,"_CHO_","")))/LEN("_CHO_"))*1+((LEN(A15)-LEN(SUBSTITUTE(A15,"_COOH_","")))/LEN("_COOH_"))*2</f>
        <v>10</v>
      </c>
      <c r="I15" s="17">
        <v>0</v>
      </c>
      <c r="L15" s="19" t="str">
        <f>CONCATENATE("C",E15,"H",F15,"O",H15,)</f>
        <v>C40H72O10</v>
      </c>
      <c r="M15" s="19">
        <f t="shared" si="8"/>
        <v>712.51252120000004</v>
      </c>
      <c r="N15" s="19">
        <f>M15+1.0078246-0.00055</f>
        <v>713.51979580000011</v>
      </c>
      <c r="O15" s="19">
        <f>N15-18.01057-0.00055</f>
        <v>695.50867580000011</v>
      </c>
      <c r="P15" s="19">
        <f>M15+18.03437-0.00055</f>
        <v>730.54634120000003</v>
      </c>
      <c r="Q15" s="19">
        <f>M15+22.98977-0.00055</f>
        <v>735.50174120000008</v>
      </c>
      <c r="R15" s="19">
        <f>M15+38.96371-0.00055</f>
        <v>751.47568120000005</v>
      </c>
      <c r="S15" s="19">
        <f>M15+7.01601-0.00055</f>
        <v>719.52798120000011</v>
      </c>
      <c r="T15" s="19">
        <f>M15-1.0078246+0.00055</f>
        <v>711.50524659999996</v>
      </c>
      <c r="U15" s="19">
        <f>M15+44.99767+0.00055</f>
        <v>757.51074119999998</v>
      </c>
      <c r="V15" s="19">
        <f>M15+59.01332+0.00055</f>
        <v>771.52639120000003</v>
      </c>
      <c r="W15" s="46">
        <f>M15+34.968853-0.00055</f>
        <v>747.48082420000003</v>
      </c>
      <c r="Y15" s="62"/>
      <c r="Z15" s="62"/>
    </row>
    <row r="16" spans="1:26" x14ac:dyDescent="0.25">
      <c r="A16" s="18" t="s">
        <v>708</v>
      </c>
      <c r="B16" s="17" t="str">
        <f>IF(ISNUMBER(SEARCH("(",A16)),IF(ISNUMBER(SEARCH("/",A16)),CONCATENATE(MID(A16,1,4)," ",(SUM(MID(A16,FIND("(",A16)+1,FIND(":",A16)-FIND("(",A16)-1),MID(A16,FIND("/",A16)+1,FIND(":",A16,FIND("/",A16))-FIND("/",A16)-1))),":",SUM(MID(A16,FIND(":",A16)+1,FIND("/",A16)-FIND(":",A16)-1),MID(A16,FIND(":",A16,FIND("/",A16))+1,FIND(")",A16)-FIND(":",A16,FIND("/",A16))-1)),MID(A16,(FIND(")",A16)+1),100)),CONCATENATE(MID(A16,1,4)," ",(SUM(MID(A16,FIND("(",A16)+1,FIND(":",A16)-FIND("(",A16)-1),MID(A16,FIND("_",A16)+1,FIND(":",A16,FIND("_",A16))-FIND("_",A16)-1))),":",SUM(MID(A16,FIND(":",A16)+1,FIND("_",A16)-FIND(":",A16)-1),MID(A16,FIND(":",A16,FIND("_",A16))+1,FIND(")",A16)-FIND(":",A16,FIND("_",A16))-1)),MID(A16,(FIND(")",A16)+1),100))),A16)</f>
        <v>MGDG 31:1</v>
      </c>
      <c r="C16" s="1" t="str">
        <f>MID(B16,6,FIND(":",B16)-FIND(" ",B16)-1)</f>
        <v>31</v>
      </c>
      <c r="D16" s="1" t="str">
        <f>IF(ISNUMBER(SEARCH("__",B16)),MID(B16,FIND(":",B16)+1,FIND("__",B16)-FIND(":",B16)-1),MID(B16,FIND(":",B16)+1,7))</f>
        <v>1</v>
      </c>
      <c r="E16" s="17">
        <f>C16+9</f>
        <v>40</v>
      </c>
      <c r="F16" s="17">
        <f>2*E16-(2*D16)-4-((LEN(A16)-LEN(SUBSTITUTE(A16,"_O_","")))/LEN("_O_"))*2-((LEN(A16)-LEN(SUBSTITUTE(A16,"_CHO_","")))/LEN("_CHO_"))*2-((LEN(A16)-LEN(SUBSTITUTE(A16,"_COOH_","")))/LEN("_COOH_"))*2</f>
        <v>74</v>
      </c>
      <c r="G16" s="17">
        <v>0</v>
      </c>
      <c r="H16" s="17">
        <f>10+((LEN(A16)-LEN(SUBSTITUTE(A16,"_OH_","")))/LEN("_OH_"))*1+((LEN(A16)-LEN(SUBSTITUTE(A16,"_OOH_","")))/LEN("_OOH_"))*2+((LEN(A16)-LEN(SUBSTITUTE(A16,"_O_","")))/LEN("_O_"))*1+((LEN(A16)-LEN(SUBSTITUTE(A16,"_CHO_","")))/LEN("_CHO_"))*1+((LEN(A16)-LEN(SUBSTITUTE(A16,"_COOH_","")))/LEN("_COOH_"))*2</f>
        <v>10</v>
      </c>
      <c r="I16" s="17">
        <v>0</v>
      </c>
      <c r="L16" s="19" t="str">
        <f>CONCATENATE("C",E16,"H",F16,"O",H16,)</f>
        <v>C40H74O10</v>
      </c>
      <c r="M16" s="19">
        <f t="shared" si="8"/>
        <v>714.52817040000002</v>
      </c>
      <c r="N16" s="19">
        <f>M16+1.0078246-0.00055</f>
        <v>715.5354450000001</v>
      </c>
      <c r="O16" s="19">
        <f>N16-18.01057-0.00055</f>
        <v>697.52432500000009</v>
      </c>
      <c r="P16" s="19">
        <f>M16+18.03437-0.00055</f>
        <v>732.56199040000001</v>
      </c>
      <c r="Q16" s="19">
        <f>M16+22.98977-0.00055</f>
        <v>737.51739040000007</v>
      </c>
      <c r="R16" s="19">
        <f>M16+38.96371-0.00055</f>
        <v>753.49133040000004</v>
      </c>
      <c r="S16" s="19">
        <f>M16+7.01601-0.00055</f>
        <v>721.5436304000001</v>
      </c>
      <c r="T16" s="19">
        <f>M16-1.0078246+0.00055</f>
        <v>713.52089579999995</v>
      </c>
      <c r="U16" s="19">
        <f>M16+44.99767+0.00055</f>
        <v>759.52639039999997</v>
      </c>
      <c r="V16" s="19">
        <f>M16+59.01332+0.00055</f>
        <v>773.54204040000002</v>
      </c>
      <c r="W16" s="46">
        <f>M16+34.968853-0.00055</f>
        <v>749.49647340000001</v>
      </c>
      <c r="Y16" s="62"/>
      <c r="Z16" s="62"/>
    </row>
    <row r="17" spans="1:26" x14ac:dyDescent="0.25">
      <c r="A17" s="18" t="s">
        <v>280</v>
      </c>
      <c r="B17" s="17" t="str">
        <f>IF(ISNUMBER(SEARCH("(",A17)),IF(ISNUMBER(SEARCH("/",A17)),CONCATENATE(MID(A17,1,4)," ",(SUM(MID(A17,FIND("(",A17)+1,FIND(":",A17)-FIND("(",A17)-1),MID(A17,FIND("/",A17)+1,FIND(":",A17,FIND("/",A17))-FIND("/",A17)-1))),":",SUM(MID(A17,FIND(":",A17)+1,FIND("/",A17)-FIND(":",A17)-1),MID(A17,FIND(":",A17,FIND("/",A17))+1,FIND(")",A17)-FIND(":",A17,FIND("/",A17))-1)),MID(A17,(FIND(")",A17)+1),100)),CONCATENATE(MID(A17,1,4)," ",(SUM(MID(A17,FIND("(",A17)+1,FIND(":",A17)-FIND("(",A17)-1),MID(A17,FIND("_",A17)+1,FIND(":",A17,FIND("_",A17))-FIND("_",A17)-1))),":",SUM(MID(A17,FIND(":",A17)+1,FIND("_",A17)-FIND(":",A17)-1),MID(A17,FIND(":",A17,FIND("_",A17))+1,FIND(")",A17)-FIND(":",A17,FIND("_",A17))-1)),MID(A17,(FIND(")",A17)+1),100))),A17)</f>
        <v>MGDG 31:0</v>
      </c>
      <c r="C17" s="1" t="str">
        <f>MID(B17,6,FIND(":",B17)-FIND(" ",B17)-1)</f>
        <v>31</v>
      </c>
      <c r="D17" s="1" t="str">
        <f>IF(ISNUMBER(SEARCH("__",B17)),MID(B17,FIND(":",B17)+1,FIND("__",B17)-FIND(":",B17)-1),MID(B17,FIND(":",B17)+1,7))</f>
        <v>0</v>
      </c>
      <c r="E17" s="17">
        <f>C17+9</f>
        <v>40</v>
      </c>
      <c r="F17" s="17">
        <f>2*E17-(2*D17)-4-((LEN(A17)-LEN(SUBSTITUTE(A17,"_O_","")))/LEN("_O_"))*2-((LEN(A17)-LEN(SUBSTITUTE(A17,"_CHO_","")))/LEN("_CHO_"))*2-((LEN(A17)-LEN(SUBSTITUTE(A17,"_COOH_","")))/LEN("_COOH_"))*2</f>
        <v>76</v>
      </c>
      <c r="G17" s="17">
        <v>0</v>
      </c>
      <c r="H17" s="17">
        <f>10+((LEN(A17)-LEN(SUBSTITUTE(A17,"_OH_","")))/LEN("_OH_"))*1+((LEN(A17)-LEN(SUBSTITUTE(A17,"_OOH_","")))/LEN("_OOH_"))*2+((LEN(A17)-LEN(SUBSTITUTE(A17,"_O_","")))/LEN("_O_"))*1+((LEN(A17)-LEN(SUBSTITUTE(A17,"_CHO_","")))/LEN("_CHO_"))*1+((LEN(A17)-LEN(SUBSTITUTE(A17,"_COOH_","")))/LEN("_COOH_"))*2</f>
        <v>10</v>
      </c>
      <c r="I17" s="17">
        <v>0</v>
      </c>
      <c r="L17" s="19" t="str">
        <f>CONCATENATE("C",E17,"H",F17,"O",H17,)</f>
        <v>C40H76O10</v>
      </c>
      <c r="M17" s="19">
        <f t="shared" si="8"/>
        <v>716.54381960000001</v>
      </c>
      <c r="N17" s="19">
        <f>M17+1.0078246-0.00055</f>
        <v>717.55109420000008</v>
      </c>
      <c r="O17" s="19">
        <f>N17-18.01057-0.00055</f>
        <v>699.53997420000007</v>
      </c>
      <c r="P17" s="19">
        <f>M17+18.03437-0.00055</f>
        <v>734.5776396</v>
      </c>
      <c r="Q17" s="19">
        <f>M17+22.98977-0.00055</f>
        <v>739.53303960000005</v>
      </c>
      <c r="R17" s="19">
        <f>M17+38.96371-0.00055</f>
        <v>755.50697960000002</v>
      </c>
      <c r="S17" s="19">
        <f>M17+7.01601-0.00055</f>
        <v>723.55927960000008</v>
      </c>
      <c r="T17" s="19">
        <f>M17-1.0078246+0.00055</f>
        <v>715.53654499999993</v>
      </c>
      <c r="U17" s="19">
        <f>M17+44.99767+0.00055</f>
        <v>761.54203959999995</v>
      </c>
      <c r="V17" s="19">
        <f>M17+59.01332+0.00055</f>
        <v>775.5576896</v>
      </c>
      <c r="W17" s="46">
        <f>M17+34.968853-0.00055</f>
        <v>751.5121226</v>
      </c>
      <c r="Y17" s="62"/>
      <c r="Z17" s="62"/>
    </row>
    <row r="18" spans="1:26" x14ac:dyDescent="0.25">
      <c r="A18" s="18" t="s">
        <v>651</v>
      </c>
      <c r="B18" s="17" t="str">
        <f>IF(ISNUMBER(SEARCH("(",A18)),IF(ISNUMBER(SEARCH("/",A18)),CONCATENATE(MID(A18,1,4)," ",(SUM(MID(A18,FIND("(",A18)+1,FIND(":",A18)-FIND("(",A18)-1),MID(A18,FIND("/",A18)+1,FIND(":",A18,FIND("/",A18))-FIND("/",A18)-1))),":",SUM(MID(A18,FIND(":",A18)+1,FIND("/",A18)-FIND(":",A18)-1),MID(A18,FIND(":",A18,FIND("/",A18))+1,FIND(")",A18)-FIND(":",A18,FIND("/",A18))-1)),MID(A18,(FIND(")",A18)+1),100)),CONCATENATE(MID(A18,1,4)," ",(SUM(MID(A18,FIND("(",A18)+1,FIND(":",A18)-FIND("(",A18)-1),MID(A18,FIND("_",A18)+1,FIND(":",A18,FIND("_",A18))-FIND("_",A18)-1))),":",SUM(MID(A18,FIND(":",A18)+1,FIND("_",A18)-FIND(":",A18)-1),MID(A18,FIND(":",A18,FIND("_",A18))+1,FIND(")",A18)-FIND(":",A18,FIND("_",A18))-1)),MID(A18,(FIND(")",A18)+1),100))),A18)</f>
        <v>MGDG 32:2</v>
      </c>
      <c r="C18" s="1" t="str">
        <f>MID(B18,6,FIND(":",B18)-FIND(" ",B18)-1)</f>
        <v>32</v>
      </c>
      <c r="D18" s="1" t="str">
        <f>IF(ISNUMBER(SEARCH("__",B18)),MID(B18,FIND(":",B18)+1,FIND("__",B18)-FIND(":",B18)-1),MID(B18,FIND(":",B18)+1,7))</f>
        <v>2</v>
      </c>
      <c r="E18" s="17">
        <f>C18+9</f>
        <v>41</v>
      </c>
      <c r="F18" s="17">
        <f>2*E18-(2*D18)-4-((LEN(A18)-LEN(SUBSTITUTE(A18,"_O_","")))/LEN("_O_"))*2-((LEN(A18)-LEN(SUBSTITUTE(A18,"_CHO_","")))/LEN("_CHO_"))*2-((LEN(A18)-LEN(SUBSTITUTE(A18,"_COOH_","")))/LEN("_COOH_"))*2</f>
        <v>74</v>
      </c>
      <c r="G18" s="17">
        <v>0</v>
      </c>
      <c r="H18" s="17">
        <f>10+((LEN(A18)-LEN(SUBSTITUTE(A18,"_OH_","")))/LEN("_OH_"))*1+((LEN(A18)-LEN(SUBSTITUTE(A18,"_OOH_","")))/LEN("_OOH_"))*2+((LEN(A18)-LEN(SUBSTITUTE(A18,"_O_","")))/LEN("_O_"))*1+((LEN(A18)-LEN(SUBSTITUTE(A18,"_CHO_","")))/LEN("_CHO_"))*1+((LEN(A18)-LEN(SUBSTITUTE(A18,"_COOH_","")))/LEN("_COOH_"))*2</f>
        <v>10</v>
      </c>
      <c r="I18" s="17">
        <v>0</v>
      </c>
      <c r="L18" s="19" t="str">
        <f>CONCATENATE("C",E18,"H",F18,"O",H18,)</f>
        <v>C41H74O10</v>
      </c>
      <c r="M18" s="19">
        <f t="shared" si="8"/>
        <v>726.52817040000002</v>
      </c>
      <c r="N18" s="19">
        <f>M18+1.0078246-0.00055</f>
        <v>727.5354450000001</v>
      </c>
      <c r="O18" s="19">
        <f>N18-18.01057-0.00055</f>
        <v>709.52432500000009</v>
      </c>
      <c r="P18" s="19">
        <f>M18+18.03437-0.00055</f>
        <v>744.56199040000001</v>
      </c>
      <c r="Q18" s="19">
        <f>M18+22.98977-0.00055</f>
        <v>749.51739040000007</v>
      </c>
      <c r="R18" s="19">
        <f>M18+38.96371-0.00055</f>
        <v>765.49133040000004</v>
      </c>
      <c r="S18" s="19">
        <f>M18+7.01601-0.00055</f>
        <v>733.5436304000001</v>
      </c>
      <c r="T18" s="19">
        <f>M18-1.0078246+0.00055</f>
        <v>725.52089579999995</v>
      </c>
      <c r="U18" s="19">
        <f>M18+44.99767+0.00055</f>
        <v>771.52639039999997</v>
      </c>
      <c r="V18" s="19">
        <f>M18+59.01332+0.00055</f>
        <v>785.54204040000002</v>
      </c>
      <c r="W18" s="46">
        <f>M18+34.968853-0.00055</f>
        <v>761.49647340000001</v>
      </c>
      <c r="Y18" s="62"/>
      <c r="Z18" s="62"/>
    </row>
    <row r="19" spans="1:26" x14ac:dyDescent="0.25">
      <c r="A19" s="18" t="s">
        <v>574</v>
      </c>
      <c r="B19" s="17" t="str">
        <f>IF(ISNUMBER(SEARCH("(",A19)),IF(ISNUMBER(SEARCH("/",A19)),CONCATENATE(MID(A19,1,4)," ",(SUM(MID(A19,FIND("(",A19)+1,FIND(":",A19)-FIND("(",A19)-1),MID(A19,FIND("/",A19)+1,FIND(":",A19,FIND("/",A19))-FIND("/",A19)-1))),":",SUM(MID(A19,FIND(":",A19)+1,FIND("/",A19)-FIND(":",A19)-1),MID(A19,FIND(":",A19,FIND("/",A19))+1,FIND(")",A19)-FIND(":",A19,FIND("/",A19))-1)),MID(A19,(FIND(")",A19)+1),100)),CONCATENATE(MID(A19,1,4)," ",(SUM(MID(A19,FIND("(",A19)+1,FIND(":",A19)-FIND("(",A19)-1),MID(A19,FIND("_",A19)+1,FIND(":",A19,FIND("_",A19))-FIND("_",A19)-1))),":",SUM(MID(A19,FIND(":",A19)+1,FIND("_",A19)-FIND(":",A19)-1),MID(A19,FIND(":",A19,FIND("_",A19))+1,FIND(")",A19)-FIND(":",A19,FIND("_",A19))-1)),MID(A19,(FIND(")",A19)+1),100))),A19)</f>
        <v>MGDG 32:1</v>
      </c>
      <c r="C19" s="1" t="str">
        <f>MID(B19,6,FIND(":",B19)-FIND(" ",B19)-1)</f>
        <v>32</v>
      </c>
      <c r="D19" s="1" t="str">
        <f>IF(ISNUMBER(SEARCH("__",B19)),MID(B19,FIND(":",B19)+1,FIND("__",B19)-FIND(":",B19)-1),MID(B19,FIND(":",B19)+1,7))</f>
        <v>1</v>
      </c>
      <c r="E19" s="17">
        <f>C19+9</f>
        <v>41</v>
      </c>
      <c r="F19" s="17">
        <f>2*E19-(2*D19)-4-((LEN(A19)-LEN(SUBSTITUTE(A19,"_O_","")))/LEN("_O_"))*2-((LEN(A19)-LEN(SUBSTITUTE(A19,"_CHO_","")))/LEN("_CHO_"))*2-((LEN(A19)-LEN(SUBSTITUTE(A19,"_COOH_","")))/LEN("_COOH_"))*2</f>
        <v>76</v>
      </c>
      <c r="G19" s="17">
        <v>0</v>
      </c>
      <c r="H19" s="17">
        <f>10+((LEN(A19)-LEN(SUBSTITUTE(A19,"_OH_","")))/LEN("_OH_"))*1+((LEN(A19)-LEN(SUBSTITUTE(A19,"_OOH_","")))/LEN("_OOH_"))*2+((LEN(A19)-LEN(SUBSTITUTE(A19,"_O_","")))/LEN("_O_"))*1+((LEN(A19)-LEN(SUBSTITUTE(A19,"_CHO_","")))/LEN("_CHO_"))*1+((LEN(A19)-LEN(SUBSTITUTE(A19,"_COOH_","")))/LEN("_COOH_"))*2</f>
        <v>10</v>
      </c>
      <c r="I19" s="17">
        <v>0</v>
      </c>
      <c r="L19" s="19" t="str">
        <f>CONCATENATE("C",E19,"H",F19,"O",H19,)</f>
        <v>C41H76O10</v>
      </c>
      <c r="M19" s="19">
        <f t="shared" si="8"/>
        <v>728.54381960000001</v>
      </c>
      <c r="N19" s="19">
        <f>M19+1.0078246-0.00055</f>
        <v>729.55109420000008</v>
      </c>
      <c r="O19" s="19">
        <f>N19-18.01057-0.00055</f>
        <v>711.53997420000007</v>
      </c>
      <c r="P19" s="19">
        <f>M19+18.03437-0.00055</f>
        <v>746.5776396</v>
      </c>
      <c r="Q19" s="19">
        <f>M19+22.98977-0.00055</f>
        <v>751.53303960000005</v>
      </c>
      <c r="R19" s="19">
        <f>M19+38.96371-0.00055</f>
        <v>767.50697960000002</v>
      </c>
      <c r="S19" s="19">
        <f>M19+7.01601-0.00055</f>
        <v>735.55927960000008</v>
      </c>
      <c r="T19" s="19">
        <f>M19-1.0078246+0.00055</f>
        <v>727.53654499999993</v>
      </c>
      <c r="U19" s="19">
        <f>M19+44.99767+0.00055</f>
        <v>773.54203959999995</v>
      </c>
      <c r="V19" s="19">
        <f>M19+59.01332+0.00055</f>
        <v>787.5576896</v>
      </c>
      <c r="W19" s="46">
        <f>M19+34.968853-0.00055</f>
        <v>763.5121226</v>
      </c>
      <c r="Y19" s="62"/>
      <c r="Z19" s="62"/>
    </row>
    <row r="20" spans="1:26" x14ac:dyDescent="0.25">
      <c r="A20" s="18" t="s">
        <v>281</v>
      </c>
      <c r="B20" s="17" t="str">
        <f>IF(ISNUMBER(SEARCH("(",A20)),IF(ISNUMBER(SEARCH("/",A20)),CONCATENATE(MID(A20,1,4)," ",(SUM(MID(A20,FIND("(",A20)+1,FIND(":",A20)-FIND("(",A20)-1),MID(A20,FIND("/",A20)+1,FIND(":",A20,FIND("/",A20))-FIND("/",A20)-1))),":",SUM(MID(A20,FIND(":",A20)+1,FIND("/",A20)-FIND(":",A20)-1),MID(A20,FIND(":",A20,FIND("/",A20))+1,FIND(")",A20)-FIND(":",A20,FIND("/",A20))-1)),MID(A20,(FIND(")",A20)+1),100)),CONCATENATE(MID(A20,1,4)," ",(SUM(MID(A20,FIND("(",A20)+1,FIND(":",A20)-FIND("(",A20)-1),MID(A20,FIND("_",A20)+1,FIND(":",A20,FIND("_",A20))-FIND("_",A20)-1))),":",SUM(MID(A20,FIND(":",A20)+1,FIND("_",A20)-FIND(":",A20)-1),MID(A20,FIND(":",A20,FIND("_",A20))+1,FIND(")",A20)-FIND(":",A20,FIND("_",A20))-1)),MID(A20,(FIND(")",A20)+1),100))),A20)</f>
        <v>MGDG 32:0</v>
      </c>
      <c r="C20" s="1" t="str">
        <f>MID(B20,6,FIND(":",B20)-FIND(" ",B20)-1)</f>
        <v>32</v>
      </c>
      <c r="D20" s="1" t="str">
        <f>IF(ISNUMBER(SEARCH("__",B20)),MID(B20,FIND(":",B20)+1,FIND("__",B20)-FIND(":",B20)-1),MID(B20,FIND(":",B20)+1,7))</f>
        <v>0</v>
      </c>
      <c r="E20" s="17">
        <f>C20+9</f>
        <v>41</v>
      </c>
      <c r="F20" s="17">
        <f>2*E20-(2*D20)-4-((LEN(A20)-LEN(SUBSTITUTE(A20,"_O_","")))/LEN("_O_"))*2-((LEN(A20)-LEN(SUBSTITUTE(A20,"_CHO_","")))/LEN("_CHO_"))*2-((LEN(A20)-LEN(SUBSTITUTE(A20,"_COOH_","")))/LEN("_COOH_"))*2</f>
        <v>78</v>
      </c>
      <c r="G20" s="17">
        <v>0</v>
      </c>
      <c r="H20" s="17">
        <f>10+((LEN(A20)-LEN(SUBSTITUTE(A20,"_OH_","")))/LEN("_OH_"))*1+((LEN(A20)-LEN(SUBSTITUTE(A20,"_OOH_","")))/LEN("_OOH_"))*2+((LEN(A20)-LEN(SUBSTITUTE(A20,"_O_","")))/LEN("_O_"))*1+((LEN(A20)-LEN(SUBSTITUTE(A20,"_CHO_","")))/LEN("_CHO_"))*1+((LEN(A20)-LEN(SUBSTITUTE(A20,"_COOH_","")))/LEN("_COOH_"))*2</f>
        <v>10</v>
      </c>
      <c r="I20" s="17">
        <v>0</v>
      </c>
      <c r="L20" s="19" t="str">
        <f>CONCATENATE("C",E20,"H",F20,"O",H20,)</f>
        <v>C41H78O10</v>
      </c>
      <c r="M20" s="19">
        <f t="shared" si="8"/>
        <v>730.55946879999999</v>
      </c>
      <c r="N20" s="19">
        <f>M20+1.0078246-0.00055</f>
        <v>731.56674340000006</v>
      </c>
      <c r="O20" s="19">
        <f>N20-18.01057-0.00055</f>
        <v>713.55562340000006</v>
      </c>
      <c r="P20" s="19">
        <f>M20+18.03437-0.00055</f>
        <v>748.59328879999998</v>
      </c>
      <c r="Q20" s="19">
        <f>M20+22.98977-0.00055</f>
        <v>753.54868880000004</v>
      </c>
      <c r="R20" s="19">
        <f>M20+38.96371-0.00055</f>
        <v>769.52262880000001</v>
      </c>
      <c r="S20" s="19">
        <f>M20+7.01601-0.00055</f>
        <v>737.57492880000007</v>
      </c>
      <c r="T20" s="19">
        <f>M20-1.0078246+0.00055</f>
        <v>729.55219419999992</v>
      </c>
      <c r="U20" s="19">
        <f>M20+44.99767+0.00055</f>
        <v>775.55768879999994</v>
      </c>
      <c r="V20" s="19">
        <f>M20+59.01332+0.00055</f>
        <v>789.57333879999999</v>
      </c>
      <c r="W20" s="46">
        <f>M20+34.968853-0.00055</f>
        <v>765.52777179999998</v>
      </c>
      <c r="Y20" s="62"/>
      <c r="Z20" s="62"/>
    </row>
    <row r="21" spans="1:26" x14ac:dyDescent="0.25">
      <c r="A21" s="17" t="s">
        <v>709</v>
      </c>
      <c r="B21" s="17" t="str">
        <f>IF(ISNUMBER(SEARCH("(",A21)),IF(ISNUMBER(SEARCH("/",A21)),CONCATENATE(MID(A21,1,4)," ",(SUM(MID(A21,FIND("(",A21)+1,FIND(":",A21)-FIND("(",A21)-1),MID(A21,FIND("/",A21)+1,FIND(":",A21,FIND("/",A21))-FIND("/",A21)-1))),":",SUM(MID(A21,FIND(":",A21)+1,FIND("/",A21)-FIND(":",A21)-1),MID(A21,FIND(":",A21,FIND("/",A21))+1,FIND(")",A21)-FIND(":",A21,FIND("/",A21))-1)),MID(A21,(FIND(")",A21)+1),100)),CONCATENATE(MID(A21,1,4)," ",(SUM(MID(A21,FIND("(",A21)+1,FIND(":",A21)-FIND("(",A21)-1),MID(A21,FIND("_",A21)+1,FIND(":",A21,FIND("_",A21))-FIND("_",A21)-1))),":",SUM(MID(A21,FIND(":",A21)+1,FIND("_",A21)-FIND(":",A21)-1),MID(A21,FIND(":",A21,FIND("_",A21))+1,FIND(")",A21)-FIND(":",A21,FIND("_",A21))-1)),MID(A21,(FIND(")",A21)+1),100))),A21)</f>
        <v>MGDG 33:2</v>
      </c>
      <c r="C21" s="1" t="str">
        <f>MID(B21,6,FIND(":",B21)-FIND(" ",B21)-1)</f>
        <v>33</v>
      </c>
      <c r="D21" s="1" t="str">
        <f>IF(ISNUMBER(SEARCH("__",B21)),MID(B21,FIND(":",B21)+1,FIND("__",B21)-FIND(":",B21)-1),MID(B21,FIND(":",B21)+1,7))</f>
        <v>2</v>
      </c>
      <c r="E21" s="17">
        <f>C21+9</f>
        <v>42</v>
      </c>
      <c r="F21" s="17">
        <f>2*E21-(2*D21)-4-((LEN(A21)-LEN(SUBSTITUTE(A21,"_O_","")))/LEN("_O_"))*2-((LEN(A21)-LEN(SUBSTITUTE(A21,"_CHO_","")))/LEN("_CHO_"))*2-((LEN(A21)-LEN(SUBSTITUTE(A21,"_COOH_","")))/LEN("_COOH_"))*2</f>
        <v>76</v>
      </c>
      <c r="G21" s="17">
        <v>0</v>
      </c>
      <c r="H21" s="17">
        <f>10+((LEN(A21)-LEN(SUBSTITUTE(A21,"_OH_","")))/LEN("_OH_"))*1+((LEN(A21)-LEN(SUBSTITUTE(A21,"_OOH_","")))/LEN("_OOH_"))*2+((LEN(A21)-LEN(SUBSTITUTE(A21,"_O_","")))/LEN("_O_"))*1+((LEN(A21)-LEN(SUBSTITUTE(A21,"_CHO_","")))/LEN("_CHO_"))*1+((LEN(A21)-LEN(SUBSTITUTE(A21,"_COOH_","")))/LEN("_COOH_"))*2</f>
        <v>10</v>
      </c>
      <c r="I21" s="17">
        <v>0</v>
      </c>
      <c r="L21" s="19" t="str">
        <f>CONCATENATE("C",E21,"H",F21,"O",H21,)</f>
        <v>C42H76O10</v>
      </c>
      <c r="M21" s="19">
        <f t="shared" si="8"/>
        <v>740.54381960000001</v>
      </c>
      <c r="N21" s="19">
        <f>M21+1.0078246-0.00055</f>
        <v>741.55109420000008</v>
      </c>
      <c r="O21" s="19">
        <f>N21-18.01057-0.00055</f>
        <v>723.53997420000007</v>
      </c>
      <c r="P21" s="19">
        <f>M21+18.03437-0.00055</f>
        <v>758.5776396</v>
      </c>
      <c r="Q21" s="19">
        <f>M21+22.98977-0.00055</f>
        <v>763.53303960000005</v>
      </c>
      <c r="R21" s="19">
        <f>M21+38.96371-0.00055</f>
        <v>779.50697960000002</v>
      </c>
      <c r="S21" s="19">
        <f>M21+7.01601-0.00055</f>
        <v>747.55927960000008</v>
      </c>
      <c r="T21" s="19">
        <f>M21-1.0078246+0.00055</f>
        <v>739.53654499999993</v>
      </c>
      <c r="U21" s="19">
        <f>M21+44.99767+0.00055</f>
        <v>785.54203959999995</v>
      </c>
      <c r="V21" s="19">
        <f>M21+59.01332+0.00055</f>
        <v>799.5576896</v>
      </c>
      <c r="W21" s="46">
        <f>M21+34.968853-0.00055</f>
        <v>775.5121226</v>
      </c>
      <c r="Y21" s="62"/>
      <c r="Z21" s="62"/>
    </row>
    <row r="22" spans="1:26" x14ac:dyDescent="0.25">
      <c r="A22" s="17" t="s">
        <v>671</v>
      </c>
      <c r="B22" s="17" t="str">
        <f>IF(ISNUMBER(SEARCH("(",A22)),IF(ISNUMBER(SEARCH("/",A22)),CONCATENATE(MID(A22,1,4)," ",(SUM(MID(A22,FIND("(",A22)+1,FIND(":",A22)-FIND("(",A22)-1),MID(A22,FIND("/",A22)+1,FIND(":",A22,FIND("/",A22))-FIND("/",A22)-1))),":",SUM(MID(A22,FIND(":",A22)+1,FIND("/",A22)-FIND(":",A22)-1),MID(A22,FIND(":",A22,FIND("/",A22))+1,FIND(")",A22)-FIND(":",A22,FIND("/",A22))-1)),MID(A22,(FIND(")",A22)+1),100)),CONCATENATE(MID(A22,1,4)," ",(SUM(MID(A22,FIND("(",A22)+1,FIND(":",A22)-FIND("(",A22)-1),MID(A22,FIND("_",A22)+1,FIND(":",A22,FIND("_",A22))-FIND("_",A22)-1))),":",SUM(MID(A22,FIND(":",A22)+1,FIND("_",A22)-FIND(":",A22)-1),MID(A22,FIND(":",A22,FIND("_",A22))+1,FIND(")",A22)-FIND(":",A22,FIND("_",A22))-1)),MID(A22,(FIND(")",A22)+1),100))),A22)</f>
        <v>MGDG 33:1</v>
      </c>
      <c r="C22" s="1" t="str">
        <f>MID(B22,6,FIND(":",B22)-FIND(" ",B22)-1)</f>
        <v>33</v>
      </c>
      <c r="D22" s="1" t="str">
        <f>IF(ISNUMBER(SEARCH("__",B22)),MID(B22,FIND(":",B22)+1,FIND("__",B22)-FIND(":",B22)-1),MID(B22,FIND(":",B22)+1,7))</f>
        <v>1</v>
      </c>
      <c r="E22" s="17">
        <f>C22+9</f>
        <v>42</v>
      </c>
      <c r="F22" s="17">
        <f>2*E22-(2*D22)-4-((LEN(A22)-LEN(SUBSTITUTE(A22,"_O_","")))/LEN("_O_"))*2-((LEN(A22)-LEN(SUBSTITUTE(A22,"_CHO_","")))/LEN("_CHO_"))*2-((LEN(A22)-LEN(SUBSTITUTE(A22,"_COOH_","")))/LEN("_COOH_"))*2</f>
        <v>78</v>
      </c>
      <c r="G22" s="17">
        <v>0</v>
      </c>
      <c r="H22" s="17">
        <f>10+((LEN(A22)-LEN(SUBSTITUTE(A22,"_OH_","")))/LEN("_OH_"))*1+((LEN(A22)-LEN(SUBSTITUTE(A22,"_OOH_","")))/LEN("_OOH_"))*2+((LEN(A22)-LEN(SUBSTITUTE(A22,"_O_","")))/LEN("_O_"))*1+((LEN(A22)-LEN(SUBSTITUTE(A22,"_CHO_","")))/LEN("_CHO_"))*1+((LEN(A22)-LEN(SUBSTITUTE(A22,"_COOH_","")))/LEN("_COOH_"))*2</f>
        <v>10</v>
      </c>
      <c r="I22" s="17">
        <v>0</v>
      </c>
      <c r="L22" s="19" t="str">
        <f>CONCATENATE("C",E22,"H",F22,"O",H22,)</f>
        <v>C42H78O10</v>
      </c>
      <c r="M22" s="19">
        <f t="shared" si="8"/>
        <v>742.55946879999999</v>
      </c>
      <c r="N22" s="19">
        <f>M22+1.0078246-0.00055</f>
        <v>743.56674340000006</v>
      </c>
      <c r="O22" s="19">
        <f>N22-18.01057-0.00055</f>
        <v>725.55562340000006</v>
      </c>
      <c r="P22" s="19">
        <f>M22+18.03437-0.00055</f>
        <v>760.59328879999998</v>
      </c>
      <c r="Q22" s="19">
        <f>M22+22.98977-0.00055</f>
        <v>765.54868880000004</v>
      </c>
      <c r="R22" s="19">
        <f>M22+38.96371-0.00055</f>
        <v>781.52262880000001</v>
      </c>
      <c r="S22" s="19">
        <f>M22+7.01601-0.00055</f>
        <v>749.57492880000007</v>
      </c>
      <c r="T22" s="19">
        <f>M22-1.0078246+0.00055</f>
        <v>741.55219419999992</v>
      </c>
      <c r="U22" s="19">
        <f>M22+44.99767+0.00055</f>
        <v>787.55768879999994</v>
      </c>
      <c r="V22" s="19">
        <f>M22+59.01332+0.00055</f>
        <v>801.57333879999999</v>
      </c>
      <c r="W22" s="46">
        <f>M22+34.968853-0.00055</f>
        <v>777.52777179999998</v>
      </c>
      <c r="Y22" s="62"/>
      <c r="Z22" s="62"/>
    </row>
    <row r="23" spans="1:26" x14ac:dyDescent="0.25">
      <c r="A23" s="17" t="s">
        <v>282</v>
      </c>
      <c r="B23" s="17" t="str">
        <f>IF(ISNUMBER(SEARCH("(",A23)),IF(ISNUMBER(SEARCH("/",A23)),CONCATENATE(MID(A23,1,4)," ",(SUM(MID(A23,FIND("(",A23)+1,FIND(":",A23)-FIND("(",A23)-1),MID(A23,FIND("/",A23)+1,FIND(":",A23,FIND("/",A23))-FIND("/",A23)-1))),":",SUM(MID(A23,FIND(":",A23)+1,FIND("/",A23)-FIND(":",A23)-1),MID(A23,FIND(":",A23,FIND("/",A23))+1,FIND(")",A23)-FIND(":",A23,FIND("/",A23))-1)),MID(A23,(FIND(")",A23)+1),100)),CONCATENATE(MID(A23,1,4)," ",(SUM(MID(A23,FIND("(",A23)+1,FIND(":",A23)-FIND("(",A23)-1),MID(A23,FIND("_",A23)+1,FIND(":",A23,FIND("_",A23))-FIND("_",A23)-1))),":",SUM(MID(A23,FIND(":",A23)+1,FIND("_",A23)-FIND(":",A23)-1),MID(A23,FIND(":",A23,FIND("_",A23))+1,FIND(")",A23)-FIND(":",A23,FIND("_",A23))-1)),MID(A23,(FIND(")",A23)+1),100))),A23)</f>
        <v>MGDG 33:0</v>
      </c>
      <c r="C23" s="1" t="str">
        <f>MID(B23,6,FIND(":",B23)-FIND(" ",B23)-1)</f>
        <v>33</v>
      </c>
      <c r="D23" s="1" t="str">
        <f>IF(ISNUMBER(SEARCH("__",B23)),MID(B23,FIND(":",B23)+1,FIND("__",B23)-FIND(":",B23)-1),MID(B23,FIND(":",B23)+1,7))</f>
        <v>0</v>
      </c>
      <c r="E23" s="17">
        <f>C23+9</f>
        <v>42</v>
      </c>
      <c r="F23" s="17">
        <f>2*E23-(2*D23)-4-((LEN(A23)-LEN(SUBSTITUTE(A23,"_O_","")))/LEN("_O_"))*2-((LEN(A23)-LEN(SUBSTITUTE(A23,"_CHO_","")))/LEN("_CHO_"))*2-((LEN(A23)-LEN(SUBSTITUTE(A23,"_COOH_","")))/LEN("_COOH_"))*2</f>
        <v>80</v>
      </c>
      <c r="G23" s="17">
        <v>0</v>
      </c>
      <c r="H23" s="17">
        <f>10+((LEN(A23)-LEN(SUBSTITUTE(A23,"_OH_","")))/LEN("_OH_"))*1+((LEN(A23)-LEN(SUBSTITUTE(A23,"_OOH_","")))/LEN("_OOH_"))*2+((LEN(A23)-LEN(SUBSTITUTE(A23,"_O_","")))/LEN("_O_"))*1+((LEN(A23)-LEN(SUBSTITUTE(A23,"_CHO_","")))/LEN("_CHO_"))*1+((LEN(A23)-LEN(SUBSTITUTE(A23,"_COOH_","")))/LEN("_COOH_"))*2</f>
        <v>10</v>
      </c>
      <c r="I23" s="17">
        <v>0</v>
      </c>
      <c r="L23" s="19" t="str">
        <f>CONCATENATE("C",E23,"H",F23,"O",H23,)</f>
        <v>C42H80O10</v>
      </c>
      <c r="M23" s="19">
        <f t="shared" si="8"/>
        <v>744.57511800000009</v>
      </c>
      <c r="N23" s="19">
        <f>M23+1.0078246-0.00055</f>
        <v>745.58239260000016</v>
      </c>
      <c r="O23" s="19">
        <f>N23-18.01057-0.00055</f>
        <v>727.57127260000016</v>
      </c>
      <c r="P23" s="19">
        <f>M23+18.03437-0.00055</f>
        <v>762.60893800000008</v>
      </c>
      <c r="Q23" s="19">
        <f>M23+22.98977-0.00055</f>
        <v>767.56433800000013</v>
      </c>
      <c r="R23" s="19">
        <f>M23+38.96371-0.00055</f>
        <v>783.5382780000001</v>
      </c>
      <c r="S23" s="19">
        <f>M23+7.01601-0.00055</f>
        <v>751.59057800000016</v>
      </c>
      <c r="T23" s="19">
        <f>M23-1.0078246+0.00055</f>
        <v>743.56784340000002</v>
      </c>
      <c r="U23" s="19">
        <f>M23+44.99767+0.00055</f>
        <v>789.57333800000004</v>
      </c>
      <c r="V23" s="19">
        <f>M23+59.01332+0.00055</f>
        <v>803.58898800000009</v>
      </c>
      <c r="W23" s="46">
        <f>M23+34.968853-0.00055</f>
        <v>779.54342100000008</v>
      </c>
      <c r="Y23" s="62"/>
      <c r="Z23" s="62"/>
    </row>
    <row r="24" spans="1:26" x14ac:dyDescent="0.25">
      <c r="A24" s="17" t="s">
        <v>652</v>
      </c>
      <c r="B24" s="17" t="str">
        <f>IF(ISNUMBER(SEARCH("(",A24)),IF(ISNUMBER(SEARCH("/",A24)),CONCATENATE(MID(A24,1,4)," ",(SUM(MID(A24,FIND("(",A24)+1,FIND(":",A24)-FIND("(",A24)-1),MID(A24,FIND("/",A24)+1,FIND(":",A24,FIND("/",A24))-FIND("/",A24)-1))),":",SUM(MID(A24,FIND(":",A24)+1,FIND("/",A24)-FIND(":",A24)-1),MID(A24,FIND(":",A24,FIND("/",A24))+1,FIND(")",A24)-FIND(":",A24,FIND("/",A24))-1)),MID(A24,(FIND(")",A24)+1),100)),CONCATENATE(MID(A24,1,4)," ",(SUM(MID(A24,FIND("(",A24)+1,FIND(":",A24)-FIND("(",A24)-1),MID(A24,FIND("_",A24)+1,FIND(":",A24,FIND("_",A24))-FIND("_",A24)-1))),":",SUM(MID(A24,FIND(":",A24)+1,FIND("_",A24)-FIND(":",A24)-1),MID(A24,FIND(":",A24,FIND("_",A24))+1,FIND(")",A24)-FIND(":",A24,FIND("_",A24))-1)),MID(A24,(FIND(")",A24)+1),100))),A24)</f>
        <v>MGDG 34:2</v>
      </c>
      <c r="C24" s="1" t="str">
        <f>MID(B24,6,FIND(":",B24)-FIND(" ",B24)-1)</f>
        <v>34</v>
      </c>
      <c r="D24" s="1" t="str">
        <f>IF(ISNUMBER(SEARCH("__",B24)),MID(B24,FIND(":",B24)+1,FIND("__",B24)-FIND(":",B24)-1),MID(B24,FIND(":",B24)+1,7))</f>
        <v>2</v>
      </c>
      <c r="E24" s="17">
        <f>C24+9</f>
        <v>43</v>
      </c>
      <c r="F24" s="17">
        <f>2*E24-(2*D24)-4-((LEN(A24)-LEN(SUBSTITUTE(A24,"_O_","")))/LEN("_O_"))*2-((LEN(A24)-LEN(SUBSTITUTE(A24,"_CHO_","")))/LEN("_CHO_"))*2-((LEN(A24)-LEN(SUBSTITUTE(A24,"_COOH_","")))/LEN("_COOH_"))*2</f>
        <v>78</v>
      </c>
      <c r="G24" s="17">
        <v>0</v>
      </c>
      <c r="H24" s="17">
        <f>10+((LEN(A24)-LEN(SUBSTITUTE(A24,"_OH_","")))/LEN("_OH_"))*1+((LEN(A24)-LEN(SUBSTITUTE(A24,"_OOH_","")))/LEN("_OOH_"))*2+((LEN(A24)-LEN(SUBSTITUTE(A24,"_O_","")))/LEN("_O_"))*1+((LEN(A24)-LEN(SUBSTITUTE(A24,"_CHO_","")))/LEN("_CHO_"))*1+((LEN(A24)-LEN(SUBSTITUTE(A24,"_COOH_","")))/LEN("_COOH_"))*2</f>
        <v>10</v>
      </c>
      <c r="I24" s="17">
        <v>0</v>
      </c>
      <c r="L24" s="19" t="str">
        <f>CONCATENATE("C",E24,"H",F24,"O",H24,)</f>
        <v>C43H78O10</v>
      </c>
      <c r="M24" s="19">
        <f t="shared" si="8"/>
        <v>754.55946879999999</v>
      </c>
      <c r="N24" s="19">
        <f>M24+1.0078246-0.00055</f>
        <v>755.56674340000006</v>
      </c>
      <c r="O24" s="19">
        <f>N24-18.01057-0.00055</f>
        <v>737.55562340000006</v>
      </c>
      <c r="P24" s="19">
        <f>M24+18.03437-0.00055</f>
        <v>772.59328879999998</v>
      </c>
      <c r="Q24" s="19">
        <f>M24+22.98977-0.00055</f>
        <v>777.54868880000004</v>
      </c>
      <c r="R24" s="19">
        <f>M24+38.96371-0.00055</f>
        <v>793.52262880000001</v>
      </c>
      <c r="S24" s="19">
        <f>M24+7.01601-0.00055</f>
        <v>761.57492880000007</v>
      </c>
      <c r="T24" s="19">
        <f>M24-1.0078246+0.00055</f>
        <v>753.55219419999992</v>
      </c>
      <c r="U24" s="19">
        <f>M24+44.99767+0.00055</f>
        <v>799.55768879999994</v>
      </c>
      <c r="V24" s="19">
        <f>M24+59.01332+0.00055</f>
        <v>813.57333879999999</v>
      </c>
      <c r="W24" s="46">
        <f>M24+34.968853-0.00055</f>
        <v>789.52777179999998</v>
      </c>
      <c r="Y24" s="62"/>
      <c r="Z24" s="62"/>
    </row>
    <row r="25" spans="1:26" x14ac:dyDescent="0.25">
      <c r="A25" s="17" t="s">
        <v>653</v>
      </c>
      <c r="B25" s="17" t="str">
        <f>IF(ISNUMBER(SEARCH("(",A25)),IF(ISNUMBER(SEARCH("/",A25)),CONCATENATE(MID(A25,1,4)," ",(SUM(MID(A25,FIND("(",A25)+1,FIND(":",A25)-FIND("(",A25)-1),MID(A25,FIND("/",A25)+1,FIND(":",A25,FIND("/",A25))-FIND("/",A25)-1))),":",SUM(MID(A25,FIND(":",A25)+1,FIND("/",A25)-FIND(":",A25)-1),MID(A25,FIND(":",A25,FIND("/",A25))+1,FIND(")",A25)-FIND(":",A25,FIND("/",A25))-1)),MID(A25,(FIND(")",A25)+1),100)),CONCATENATE(MID(A25,1,4)," ",(SUM(MID(A25,FIND("(",A25)+1,FIND(":",A25)-FIND("(",A25)-1),MID(A25,FIND("_",A25)+1,FIND(":",A25,FIND("_",A25))-FIND("_",A25)-1))),":",SUM(MID(A25,FIND(":",A25)+1,FIND("_",A25)-FIND(":",A25)-1),MID(A25,FIND(":",A25,FIND("_",A25))+1,FIND(")",A25)-FIND(":",A25,FIND("_",A25))-1)),MID(A25,(FIND(")",A25)+1),100))),A25)</f>
        <v>MGDG 34:1</v>
      </c>
      <c r="C25" s="1" t="str">
        <f>MID(B25,6,FIND(":",B25)-FIND(" ",B25)-1)</f>
        <v>34</v>
      </c>
      <c r="D25" s="1" t="str">
        <f>IF(ISNUMBER(SEARCH("__",B25)),MID(B25,FIND(":",B25)+1,FIND("__",B25)-FIND(":",B25)-1),MID(B25,FIND(":",B25)+1,7))</f>
        <v>1</v>
      </c>
      <c r="E25" s="17">
        <f>C25+9</f>
        <v>43</v>
      </c>
      <c r="F25" s="17">
        <f>2*E25-(2*D25)-4-((LEN(A25)-LEN(SUBSTITUTE(A25,"_O_","")))/LEN("_O_"))*2-((LEN(A25)-LEN(SUBSTITUTE(A25,"_CHO_","")))/LEN("_CHO_"))*2-((LEN(A25)-LEN(SUBSTITUTE(A25,"_COOH_","")))/LEN("_COOH_"))*2</f>
        <v>80</v>
      </c>
      <c r="G25" s="17">
        <v>0</v>
      </c>
      <c r="H25" s="17">
        <f>10+((LEN(A25)-LEN(SUBSTITUTE(A25,"_OH_","")))/LEN("_OH_"))*1+((LEN(A25)-LEN(SUBSTITUTE(A25,"_OOH_","")))/LEN("_OOH_"))*2+((LEN(A25)-LEN(SUBSTITUTE(A25,"_O_","")))/LEN("_O_"))*1+((LEN(A25)-LEN(SUBSTITUTE(A25,"_CHO_","")))/LEN("_CHO_"))*1+((LEN(A25)-LEN(SUBSTITUTE(A25,"_COOH_","")))/LEN("_COOH_"))*2</f>
        <v>10</v>
      </c>
      <c r="I25" s="17">
        <v>0</v>
      </c>
      <c r="L25" s="19" t="str">
        <f>CONCATENATE("C",E25,"H",F25,"O",H25,)</f>
        <v>C43H80O10</v>
      </c>
      <c r="M25" s="19">
        <f t="shared" si="8"/>
        <v>756.57511800000009</v>
      </c>
      <c r="N25" s="19">
        <f>M25+1.0078246-0.00055</f>
        <v>757.58239260000016</v>
      </c>
      <c r="O25" s="19">
        <f>N25-18.01057-0.00055</f>
        <v>739.57127260000016</v>
      </c>
      <c r="P25" s="19">
        <f>M25+18.03437-0.00055</f>
        <v>774.60893800000008</v>
      </c>
      <c r="Q25" s="19">
        <f>M25+22.98977-0.00055</f>
        <v>779.56433800000013</v>
      </c>
      <c r="R25" s="19">
        <f>M25+38.96371-0.00055</f>
        <v>795.5382780000001</v>
      </c>
      <c r="S25" s="19">
        <f>M25+7.01601-0.00055</f>
        <v>763.59057800000016</v>
      </c>
      <c r="T25" s="19">
        <f>M25-1.0078246+0.00055</f>
        <v>755.56784340000002</v>
      </c>
      <c r="U25" s="19">
        <f>M25+44.99767+0.00055</f>
        <v>801.57333800000004</v>
      </c>
      <c r="V25" s="19">
        <f>M25+59.01332+0.00055</f>
        <v>815.58898800000009</v>
      </c>
      <c r="W25" s="46">
        <f>M25+34.968853-0.00055</f>
        <v>791.54342100000008</v>
      </c>
      <c r="Y25" s="62"/>
      <c r="Z25" s="62"/>
    </row>
    <row r="26" spans="1:26" x14ac:dyDescent="0.25">
      <c r="A26" s="17" t="s">
        <v>283</v>
      </c>
      <c r="B26" s="17" t="str">
        <f>IF(ISNUMBER(SEARCH("(",A26)),IF(ISNUMBER(SEARCH("/",A26)),CONCATENATE(MID(A26,1,4)," ",(SUM(MID(A26,FIND("(",A26)+1,FIND(":",A26)-FIND("(",A26)-1),MID(A26,FIND("/",A26)+1,FIND(":",A26,FIND("/",A26))-FIND("/",A26)-1))),":",SUM(MID(A26,FIND(":",A26)+1,FIND("/",A26)-FIND(":",A26)-1),MID(A26,FIND(":",A26,FIND("/",A26))+1,FIND(")",A26)-FIND(":",A26,FIND("/",A26))-1)),MID(A26,(FIND(")",A26)+1),100)),CONCATENATE(MID(A26,1,4)," ",(SUM(MID(A26,FIND("(",A26)+1,FIND(":",A26)-FIND("(",A26)-1),MID(A26,FIND("_",A26)+1,FIND(":",A26,FIND("_",A26))-FIND("_",A26)-1))),":",SUM(MID(A26,FIND(":",A26)+1,FIND("_",A26)-FIND(":",A26)-1),MID(A26,FIND(":",A26,FIND("_",A26))+1,FIND(")",A26)-FIND(":",A26,FIND("_",A26))-1)),MID(A26,(FIND(")",A26)+1),100))),A26)</f>
        <v>MGDG 34:0</v>
      </c>
      <c r="C26" s="1" t="str">
        <f>MID(B26,6,FIND(":",B26)-FIND(" ",B26)-1)</f>
        <v>34</v>
      </c>
      <c r="D26" s="1" t="str">
        <f>IF(ISNUMBER(SEARCH("__",B26)),MID(B26,FIND(":",B26)+1,FIND("__",B26)-FIND(":",B26)-1),MID(B26,FIND(":",B26)+1,7))</f>
        <v>0</v>
      </c>
      <c r="E26" s="17">
        <f>C26+9</f>
        <v>43</v>
      </c>
      <c r="F26" s="17">
        <f>2*E26-(2*D26)-4-((LEN(A26)-LEN(SUBSTITUTE(A26,"_O_","")))/LEN("_O_"))*2-((LEN(A26)-LEN(SUBSTITUTE(A26,"_CHO_","")))/LEN("_CHO_"))*2-((LEN(A26)-LEN(SUBSTITUTE(A26,"_COOH_","")))/LEN("_COOH_"))*2</f>
        <v>82</v>
      </c>
      <c r="G26" s="17">
        <v>0</v>
      </c>
      <c r="H26" s="17">
        <f>10+((LEN(A26)-LEN(SUBSTITUTE(A26,"_OH_","")))/LEN("_OH_"))*1+((LEN(A26)-LEN(SUBSTITUTE(A26,"_OOH_","")))/LEN("_OOH_"))*2+((LEN(A26)-LEN(SUBSTITUTE(A26,"_O_","")))/LEN("_O_"))*1+((LEN(A26)-LEN(SUBSTITUTE(A26,"_CHO_","")))/LEN("_CHO_"))*1+((LEN(A26)-LEN(SUBSTITUTE(A26,"_COOH_","")))/LEN("_COOH_"))*2</f>
        <v>10</v>
      </c>
      <c r="I26" s="17">
        <v>0</v>
      </c>
      <c r="L26" s="19" t="str">
        <f>CONCATENATE("C",E26,"H",F26,"O",H26,)</f>
        <v>C43H82O10</v>
      </c>
      <c r="M26" s="19">
        <f t="shared" si="8"/>
        <v>758.59076720000007</v>
      </c>
      <c r="N26" s="19">
        <f>M26+1.0078246-0.00055</f>
        <v>759.59804180000015</v>
      </c>
      <c r="O26" s="19">
        <f>N26-18.01057-0.00055</f>
        <v>741.58692180000014</v>
      </c>
      <c r="P26" s="19">
        <f>M26+18.03437-0.00055</f>
        <v>776.62458720000006</v>
      </c>
      <c r="Q26" s="19">
        <f>M26+22.98977-0.00055</f>
        <v>781.57998720000012</v>
      </c>
      <c r="R26" s="19">
        <f>M26+38.96371-0.00055</f>
        <v>797.55392720000009</v>
      </c>
      <c r="S26" s="19">
        <f>M26+7.01601-0.00055</f>
        <v>765.60622720000015</v>
      </c>
      <c r="T26" s="19">
        <f>M26-1.0078246+0.00055</f>
        <v>757.5834926</v>
      </c>
      <c r="U26" s="19">
        <f>M26+44.99767+0.00055</f>
        <v>803.58898720000002</v>
      </c>
      <c r="V26" s="19">
        <f>M26+59.01332+0.00055</f>
        <v>817.60463720000007</v>
      </c>
      <c r="W26" s="46">
        <f>M26+34.968853-0.00055</f>
        <v>793.55907020000006</v>
      </c>
      <c r="Y26" s="62"/>
      <c r="Z26" s="62"/>
    </row>
    <row r="27" spans="1:26" x14ac:dyDescent="0.25">
      <c r="A27" s="17" t="s">
        <v>654</v>
      </c>
      <c r="B27" s="17" t="str">
        <f>IF(ISNUMBER(SEARCH("(",A27)),IF(ISNUMBER(SEARCH("/",A27)),CONCATENATE(MID(A27,1,4)," ",(SUM(MID(A27,FIND("(",A27)+1,FIND(":",A27)-FIND("(",A27)-1),MID(A27,FIND("/",A27)+1,FIND(":",A27,FIND("/",A27))-FIND("/",A27)-1))),":",SUM(MID(A27,FIND(":",A27)+1,FIND("/",A27)-FIND(":",A27)-1),MID(A27,FIND(":",A27,FIND("/",A27))+1,FIND(")",A27)-FIND(":",A27,FIND("/",A27))-1)),MID(A27,(FIND(")",A27)+1),100)),CONCATENATE(MID(A27,1,4)," ",(SUM(MID(A27,FIND("(",A27)+1,FIND(":",A27)-FIND("(",A27)-1),MID(A27,FIND("_",A27)+1,FIND(":",A27,FIND("_",A27))-FIND("_",A27)-1))),":",SUM(MID(A27,FIND(":",A27)+1,FIND("_",A27)-FIND(":",A27)-1),MID(A27,FIND(":",A27,FIND("_",A27))+1,FIND(")",A27)-FIND(":",A27,FIND("_",A27))-1)),MID(A27,(FIND(")",A27)+1),100))),A27)</f>
        <v>MGDG 35:2</v>
      </c>
      <c r="C27" s="1" t="str">
        <f>MID(B27,6,FIND(":",B27)-FIND(" ",B27)-1)</f>
        <v>35</v>
      </c>
      <c r="D27" s="1" t="str">
        <f>IF(ISNUMBER(SEARCH("__",B27)),MID(B27,FIND(":",B27)+1,FIND("__",B27)-FIND(":",B27)-1),MID(B27,FIND(":",B27)+1,7))</f>
        <v>2</v>
      </c>
      <c r="E27" s="17">
        <f>C27+9</f>
        <v>44</v>
      </c>
      <c r="F27" s="17">
        <f>2*E27-(2*D27)-4-((LEN(A27)-LEN(SUBSTITUTE(A27,"_O_","")))/LEN("_O_"))*2-((LEN(A27)-LEN(SUBSTITUTE(A27,"_CHO_","")))/LEN("_CHO_"))*2-((LEN(A27)-LEN(SUBSTITUTE(A27,"_COOH_","")))/LEN("_COOH_"))*2</f>
        <v>80</v>
      </c>
      <c r="G27" s="17">
        <v>0</v>
      </c>
      <c r="H27" s="17">
        <f>10+((LEN(A27)-LEN(SUBSTITUTE(A27,"_OH_","")))/LEN("_OH_"))*1+((LEN(A27)-LEN(SUBSTITUTE(A27,"_OOH_","")))/LEN("_OOH_"))*2+((LEN(A27)-LEN(SUBSTITUTE(A27,"_O_","")))/LEN("_O_"))*1+((LEN(A27)-LEN(SUBSTITUTE(A27,"_CHO_","")))/LEN("_CHO_"))*1+((LEN(A27)-LEN(SUBSTITUTE(A27,"_COOH_","")))/LEN("_COOH_"))*2</f>
        <v>10</v>
      </c>
      <c r="I27" s="17">
        <v>0</v>
      </c>
      <c r="L27" s="19" t="str">
        <f>CONCATENATE("C",E27,"H",F27,"O",H27,)</f>
        <v>C44H80O10</v>
      </c>
      <c r="M27" s="19">
        <f t="shared" si="8"/>
        <v>768.57511800000009</v>
      </c>
      <c r="N27" s="19">
        <f>M27+1.0078246-0.00055</f>
        <v>769.58239260000016</v>
      </c>
      <c r="O27" s="19">
        <f>N27-18.01057-0.00055</f>
        <v>751.57127260000016</v>
      </c>
      <c r="P27" s="19">
        <f>M27+18.03437-0.00055</f>
        <v>786.60893800000008</v>
      </c>
      <c r="Q27" s="19">
        <f>M27+22.98977-0.00055</f>
        <v>791.56433800000013</v>
      </c>
      <c r="R27" s="19">
        <f>M27+38.96371-0.00055</f>
        <v>807.5382780000001</v>
      </c>
      <c r="S27" s="19">
        <f>M27+7.01601-0.00055</f>
        <v>775.59057800000016</v>
      </c>
      <c r="T27" s="19">
        <f>M27-1.0078246+0.00055</f>
        <v>767.56784340000002</v>
      </c>
      <c r="U27" s="19">
        <f>M27+44.99767+0.00055</f>
        <v>813.57333800000004</v>
      </c>
      <c r="V27" s="19">
        <f>M27+59.01332+0.00055</f>
        <v>827.58898800000009</v>
      </c>
      <c r="W27" s="46">
        <f>M27+34.968853-0.00055</f>
        <v>803.54342100000008</v>
      </c>
      <c r="Y27" s="62"/>
      <c r="Z27" s="62"/>
    </row>
    <row r="28" spans="1:26" x14ac:dyDescent="0.25">
      <c r="A28" s="17" t="s">
        <v>655</v>
      </c>
      <c r="B28" s="17" t="str">
        <f>IF(ISNUMBER(SEARCH("(",A28)),IF(ISNUMBER(SEARCH("/",A28)),CONCATENATE(MID(A28,1,4)," ",(SUM(MID(A28,FIND("(",A28)+1,FIND(":",A28)-FIND("(",A28)-1),MID(A28,FIND("/",A28)+1,FIND(":",A28,FIND("/",A28))-FIND("/",A28)-1))),":",SUM(MID(A28,FIND(":",A28)+1,FIND("/",A28)-FIND(":",A28)-1),MID(A28,FIND(":",A28,FIND("/",A28))+1,FIND(")",A28)-FIND(":",A28,FIND("/",A28))-1)),MID(A28,(FIND(")",A28)+1),100)),CONCATENATE(MID(A28,1,4)," ",(SUM(MID(A28,FIND("(",A28)+1,FIND(":",A28)-FIND("(",A28)-1),MID(A28,FIND("_",A28)+1,FIND(":",A28,FIND("_",A28))-FIND("_",A28)-1))),":",SUM(MID(A28,FIND(":",A28)+1,FIND("_",A28)-FIND(":",A28)-1),MID(A28,FIND(":",A28,FIND("_",A28))+1,FIND(")",A28)-FIND(":",A28,FIND("_",A28))-1)),MID(A28,(FIND(")",A28)+1),100))),A28)</f>
        <v>MGDG 35:1</v>
      </c>
      <c r="C28" s="1" t="str">
        <f>MID(B28,6,FIND(":",B28)-FIND(" ",B28)-1)</f>
        <v>35</v>
      </c>
      <c r="D28" s="1" t="str">
        <f>IF(ISNUMBER(SEARCH("__",B28)),MID(B28,FIND(":",B28)+1,FIND("__",B28)-FIND(":",B28)-1),MID(B28,FIND(":",B28)+1,7))</f>
        <v>1</v>
      </c>
      <c r="E28" s="17">
        <f>C28+9</f>
        <v>44</v>
      </c>
      <c r="F28" s="17">
        <f>2*E28-(2*D28)-4-((LEN(A28)-LEN(SUBSTITUTE(A28,"_O_","")))/LEN("_O_"))*2-((LEN(A28)-LEN(SUBSTITUTE(A28,"_CHO_","")))/LEN("_CHO_"))*2-((LEN(A28)-LEN(SUBSTITUTE(A28,"_COOH_","")))/LEN("_COOH_"))*2</f>
        <v>82</v>
      </c>
      <c r="G28" s="17">
        <v>0</v>
      </c>
      <c r="H28" s="17">
        <f>10+((LEN(A28)-LEN(SUBSTITUTE(A28,"_OH_","")))/LEN("_OH_"))*1+((LEN(A28)-LEN(SUBSTITUTE(A28,"_OOH_","")))/LEN("_OOH_"))*2+((LEN(A28)-LEN(SUBSTITUTE(A28,"_O_","")))/LEN("_O_"))*1+((LEN(A28)-LEN(SUBSTITUTE(A28,"_CHO_","")))/LEN("_CHO_"))*1+((LEN(A28)-LEN(SUBSTITUTE(A28,"_COOH_","")))/LEN("_COOH_"))*2</f>
        <v>10</v>
      </c>
      <c r="I28" s="17">
        <v>0</v>
      </c>
      <c r="L28" s="19" t="str">
        <f>CONCATENATE("C",E28,"H",F28,"O",H28,)</f>
        <v>C44H82O10</v>
      </c>
      <c r="M28" s="19">
        <f t="shared" si="8"/>
        <v>770.59076720000007</v>
      </c>
      <c r="N28" s="19">
        <f>M28+1.0078246-0.00055</f>
        <v>771.59804180000015</v>
      </c>
      <c r="O28" s="19">
        <f>N28-18.01057-0.00055</f>
        <v>753.58692180000014</v>
      </c>
      <c r="P28" s="19">
        <f>M28+18.03437-0.00055</f>
        <v>788.62458720000006</v>
      </c>
      <c r="Q28" s="19">
        <f>M28+22.98977-0.00055</f>
        <v>793.57998720000012</v>
      </c>
      <c r="R28" s="19">
        <f>M28+38.96371-0.00055</f>
        <v>809.55392720000009</v>
      </c>
      <c r="S28" s="19">
        <f>M28+7.01601-0.00055</f>
        <v>777.60622720000015</v>
      </c>
      <c r="T28" s="19">
        <f>M28-1.0078246+0.00055</f>
        <v>769.5834926</v>
      </c>
      <c r="U28" s="19">
        <f>M28+44.99767+0.00055</f>
        <v>815.58898720000002</v>
      </c>
      <c r="V28" s="19">
        <f>M28+59.01332+0.00055</f>
        <v>829.60463720000007</v>
      </c>
      <c r="W28" s="46">
        <f>M28+34.968853-0.00055</f>
        <v>805.55907020000006</v>
      </c>
      <c r="Y28" s="62"/>
      <c r="Z28" s="62"/>
    </row>
    <row r="29" spans="1:26" x14ac:dyDescent="0.25">
      <c r="A29" s="17" t="s">
        <v>284</v>
      </c>
      <c r="B29" s="17" t="str">
        <f>IF(ISNUMBER(SEARCH("(",A29)),IF(ISNUMBER(SEARCH("/",A29)),CONCATENATE(MID(A29,1,4)," ",(SUM(MID(A29,FIND("(",A29)+1,FIND(":",A29)-FIND("(",A29)-1),MID(A29,FIND("/",A29)+1,FIND(":",A29,FIND("/",A29))-FIND("/",A29)-1))),":",SUM(MID(A29,FIND(":",A29)+1,FIND("/",A29)-FIND(":",A29)-1),MID(A29,FIND(":",A29,FIND("/",A29))+1,FIND(")",A29)-FIND(":",A29,FIND("/",A29))-1)),MID(A29,(FIND(")",A29)+1),100)),CONCATENATE(MID(A29,1,4)," ",(SUM(MID(A29,FIND("(",A29)+1,FIND(":",A29)-FIND("(",A29)-1),MID(A29,FIND("_",A29)+1,FIND(":",A29,FIND("_",A29))-FIND("_",A29)-1))),":",SUM(MID(A29,FIND(":",A29)+1,FIND("_",A29)-FIND(":",A29)-1),MID(A29,FIND(":",A29,FIND("_",A29))+1,FIND(")",A29)-FIND(":",A29,FIND("_",A29))-1)),MID(A29,(FIND(")",A29)+1),100))),A29)</f>
        <v>MGDG 35:0</v>
      </c>
      <c r="C29" s="1" t="str">
        <f>MID(B29,6,FIND(":",B29)-FIND(" ",B29)-1)</f>
        <v>35</v>
      </c>
      <c r="D29" s="1" t="str">
        <f>IF(ISNUMBER(SEARCH("__",B29)),MID(B29,FIND(":",B29)+1,FIND("__",B29)-FIND(":",B29)-1),MID(B29,FIND(":",B29)+1,7))</f>
        <v>0</v>
      </c>
      <c r="E29" s="17">
        <f>C29+9</f>
        <v>44</v>
      </c>
      <c r="F29" s="17">
        <f>2*E29-(2*D29)-4-((LEN(A29)-LEN(SUBSTITUTE(A29,"_O_","")))/LEN("_O_"))*2-((LEN(A29)-LEN(SUBSTITUTE(A29,"_CHO_","")))/LEN("_CHO_"))*2-((LEN(A29)-LEN(SUBSTITUTE(A29,"_COOH_","")))/LEN("_COOH_"))*2</f>
        <v>84</v>
      </c>
      <c r="G29" s="17">
        <v>0</v>
      </c>
      <c r="H29" s="17">
        <f>10+((LEN(A29)-LEN(SUBSTITUTE(A29,"_OH_","")))/LEN("_OH_"))*1+((LEN(A29)-LEN(SUBSTITUTE(A29,"_OOH_","")))/LEN("_OOH_"))*2+((LEN(A29)-LEN(SUBSTITUTE(A29,"_O_","")))/LEN("_O_"))*1+((LEN(A29)-LEN(SUBSTITUTE(A29,"_CHO_","")))/LEN("_CHO_"))*1+((LEN(A29)-LEN(SUBSTITUTE(A29,"_COOH_","")))/LEN("_COOH_"))*2</f>
        <v>10</v>
      </c>
      <c r="I29" s="17">
        <v>0</v>
      </c>
      <c r="L29" s="19" t="str">
        <f>CONCATENATE("C",E29,"H",F29,"O",H29,)</f>
        <v>C44H84O10</v>
      </c>
      <c r="M29" s="19">
        <f t="shared" si="8"/>
        <v>772.60641640000006</v>
      </c>
      <c r="N29" s="19">
        <f>M29+1.0078246-0.00055</f>
        <v>773.61369100000013</v>
      </c>
      <c r="O29" s="19">
        <f>N29-18.01057-0.00055</f>
        <v>755.60257100000013</v>
      </c>
      <c r="P29" s="19">
        <f>M29+18.03437-0.00055</f>
        <v>790.64023640000005</v>
      </c>
      <c r="Q29" s="19">
        <f>M29+22.98977-0.00055</f>
        <v>795.5956364000001</v>
      </c>
      <c r="R29" s="19">
        <f>M29+38.96371-0.00055</f>
        <v>811.56957640000007</v>
      </c>
      <c r="S29" s="19">
        <f>M29+7.01601-0.00055</f>
        <v>779.62187640000013</v>
      </c>
      <c r="T29" s="19">
        <f>M29-1.0078246+0.00055</f>
        <v>771.59914179999998</v>
      </c>
      <c r="U29" s="19">
        <f>M29+44.99767+0.00055</f>
        <v>817.6046364</v>
      </c>
      <c r="V29" s="19">
        <f>M29+59.01332+0.00055</f>
        <v>831.62028640000005</v>
      </c>
      <c r="W29" s="46">
        <f>M29+34.968853-0.00055</f>
        <v>807.57471940000005</v>
      </c>
      <c r="Y29" s="62"/>
      <c r="Z29" s="62"/>
    </row>
    <row r="30" spans="1:26" x14ac:dyDescent="0.25">
      <c r="A30" s="17" t="s">
        <v>656</v>
      </c>
      <c r="B30" s="17" t="str">
        <f>IF(ISNUMBER(SEARCH("(",A30)),IF(ISNUMBER(SEARCH("/",A30)),CONCATENATE(MID(A30,1,4)," ",(SUM(MID(A30,FIND("(",A30)+1,FIND(":",A30)-FIND("(",A30)-1),MID(A30,FIND("/",A30)+1,FIND(":",A30,FIND("/",A30))-FIND("/",A30)-1))),":",SUM(MID(A30,FIND(":",A30)+1,FIND("/",A30)-FIND(":",A30)-1),MID(A30,FIND(":",A30,FIND("/",A30))+1,FIND(")",A30)-FIND(":",A30,FIND("/",A30))-1)),MID(A30,(FIND(")",A30)+1),100)),CONCATENATE(MID(A30,1,4)," ",(SUM(MID(A30,FIND("(",A30)+1,FIND(":",A30)-FIND("(",A30)-1),MID(A30,FIND("_",A30)+1,FIND(":",A30,FIND("_",A30))-FIND("_",A30)-1))),":",SUM(MID(A30,FIND(":",A30)+1,FIND("_",A30)-FIND(":",A30)-1),MID(A30,FIND(":",A30,FIND("_",A30))+1,FIND(")",A30)-FIND(":",A30,FIND("_",A30))-1)),MID(A30,(FIND(")",A30)+1),100))),A30)</f>
        <v>MGDG 36:2</v>
      </c>
      <c r="C30" s="1" t="str">
        <f>MID(B30,6,FIND(":",B30)-FIND(" ",B30)-1)</f>
        <v>36</v>
      </c>
      <c r="D30" s="1" t="str">
        <f>IF(ISNUMBER(SEARCH("__",B30)),MID(B30,FIND(":",B30)+1,FIND("__",B30)-FIND(":",B30)-1),MID(B30,FIND(":",B30)+1,7))</f>
        <v>2</v>
      </c>
      <c r="E30" s="17">
        <f>C30+9</f>
        <v>45</v>
      </c>
      <c r="F30" s="17">
        <f>2*E30-(2*D30)-4-((LEN(A30)-LEN(SUBSTITUTE(A30,"_O_","")))/LEN("_O_"))*2-((LEN(A30)-LEN(SUBSTITUTE(A30,"_CHO_","")))/LEN("_CHO_"))*2-((LEN(A30)-LEN(SUBSTITUTE(A30,"_COOH_","")))/LEN("_COOH_"))*2</f>
        <v>82</v>
      </c>
      <c r="G30" s="17">
        <v>0</v>
      </c>
      <c r="H30" s="17">
        <f>10+((LEN(A30)-LEN(SUBSTITUTE(A30,"_OH_","")))/LEN("_OH_"))*1+((LEN(A30)-LEN(SUBSTITUTE(A30,"_OOH_","")))/LEN("_OOH_"))*2+((LEN(A30)-LEN(SUBSTITUTE(A30,"_O_","")))/LEN("_O_"))*1+((LEN(A30)-LEN(SUBSTITUTE(A30,"_CHO_","")))/LEN("_CHO_"))*1+((LEN(A30)-LEN(SUBSTITUTE(A30,"_COOH_","")))/LEN("_COOH_"))*2</f>
        <v>10</v>
      </c>
      <c r="I30" s="17">
        <v>0</v>
      </c>
      <c r="L30" s="19" t="str">
        <f>CONCATENATE("C",E30,"H",F30,"O",H30,)</f>
        <v>C45H82O10</v>
      </c>
      <c r="M30" s="19">
        <f t="shared" si="8"/>
        <v>782.59076720000007</v>
      </c>
      <c r="N30" s="19">
        <f>M30+1.0078246-0.00055</f>
        <v>783.59804180000015</v>
      </c>
      <c r="O30" s="19">
        <f>N30-18.01057-0.00055</f>
        <v>765.58692180000014</v>
      </c>
      <c r="P30" s="19">
        <f>M30+18.03437-0.00055</f>
        <v>800.62458720000006</v>
      </c>
      <c r="Q30" s="19">
        <f>M30+22.98977-0.00055</f>
        <v>805.57998720000012</v>
      </c>
      <c r="R30" s="19">
        <f>M30+38.96371-0.00055</f>
        <v>821.55392720000009</v>
      </c>
      <c r="S30" s="19">
        <f>M30+7.01601-0.00055</f>
        <v>789.60622720000015</v>
      </c>
      <c r="T30" s="19">
        <f>M30-1.0078246+0.00055</f>
        <v>781.5834926</v>
      </c>
      <c r="U30" s="19">
        <f>M30+44.99767+0.00055</f>
        <v>827.58898720000002</v>
      </c>
      <c r="V30" s="19">
        <f>M30+59.01332+0.00055</f>
        <v>841.60463720000007</v>
      </c>
      <c r="W30" s="46">
        <f>M30+34.968853-0.00055</f>
        <v>817.55907020000006</v>
      </c>
      <c r="Y30" s="62"/>
      <c r="Z30" s="62"/>
    </row>
    <row r="31" spans="1:26" x14ac:dyDescent="0.25">
      <c r="A31" s="17" t="s">
        <v>657</v>
      </c>
      <c r="B31" s="17" t="str">
        <f>IF(ISNUMBER(SEARCH("(",A31)),IF(ISNUMBER(SEARCH("/",A31)),CONCATENATE(MID(A31,1,4)," ",(SUM(MID(A31,FIND("(",A31)+1,FIND(":",A31)-FIND("(",A31)-1),MID(A31,FIND("/",A31)+1,FIND(":",A31,FIND("/",A31))-FIND("/",A31)-1))),":",SUM(MID(A31,FIND(":",A31)+1,FIND("/",A31)-FIND(":",A31)-1),MID(A31,FIND(":",A31,FIND("/",A31))+1,FIND(")",A31)-FIND(":",A31,FIND("/",A31))-1)),MID(A31,(FIND(")",A31)+1),100)),CONCATENATE(MID(A31,1,4)," ",(SUM(MID(A31,FIND("(",A31)+1,FIND(":",A31)-FIND("(",A31)-1),MID(A31,FIND("_",A31)+1,FIND(":",A31,FIND("_",A31))-FIND("_",A31)-1))),":",SUM(MID(A31,FIND(":",A31)+1,FIND("_",A31)-FIND(":",A31)-1),MID(A31,FIND(":",A31,FIND("_",A31))+1,FIND(")",A31)-FIND(":",A31,FIND("_",A31))-1)),MID(A31,(FIND(")",A31)+1),100))),A31)</f>
        <v>MGDG 36:1</v>
      </c>
      <c r="C31" s="1" t="str">
        <f>MID(B31,6,FIND(":",B31)-FIND(" ",B31)-1)</f>
        <v>36</v>
      </c>
      <c r="D31" s="1" t="str">
        <f>IF(ISNUMBER(SEARCH("__",B31)),MID(B31,FIND(":",B31)+1,FIND("__",B31)-FIND(":",B31)-1),MID(B31,FIND(":",B31)+1,7))</f>
        <v>1</v>
      </c>
      <c r="E31" s="17">
        <f>C31+9</f>
        <v>45</v>
      </c>
      <c r="F31" s="17">
        <f>2*E31-(2*D31)-4-((LEN(A31)-LEN(SUBSTITUTE(A31,"_O_","")))/LEN("_O_"))*2-((LEN(A31)-LEN(SUBSTITUTE(A31,"_CHO_","")))/LEN("_CHO_"))*2-((LEN(A31)-LEN(SUBSTITUTE(A31,"_COOH_","")))/LEN("_COOH_"))*2</f>
        <v>84</v>
      </c>
      <c r="G31" s="17">
        <v>0</v>
      </c>
      <c r="H31" s="17">
        <f>10+((LEN(A31)-LEN(SUBSTITUTE(A31,"_OH_","")))/LEN("_OH_"))*1+((LEN(A31)-LEN(SUBSTITUTE(A31,"_OOH_","")))/LEN("_OOH_"))*2+((LEN(A31)-LEN(SUBSTITUTE(A31,"_O_","")))/LEN("_O_"))*1+((LEN(A31)-LEN(SUBSTITUTE(A31,"_CHO_","")))/LEN("_CHO_"))*1+((LEN(A31)-LEN(SUBSTITUTE(A31,"_COOH_","")))/LEN("_COOH_"))*2</f>
        <v>10</v>
      </c>
      <c r="I31" s="17">
        <v>0</v>
      </c>
      <c r="L31" s="19" t="str">
        <f>CONCATENATE("C",E31,"H",F31,"O",H31,)</f>
        <v>C45H84O10</v>
      </c>
      <c r="M31" s="19">
        <f t="shared" si="8"/>
        <v>784.60641640000006</v>
      </c>
      <c r="N31" s="19">
        <f>M31+1.0078246-0.00055</f>
        <v>785.61369100000013</v>
      </c>
      <c r="O31" s="19">
        <f>N31-18.01057-0.00055</f>
        <v>767.60257100000013</v>
      </c>
      <c r="P31" s="19">
        <f>M31+18.03437-0.00055</f>
        <v>802.64023640000005</v>
      </c>
      <c r="Q31" s="19">
        <f>M31+22.98977-0.00055</f>
        <v>807.5956364000001</v>
      </c>
      <c r="R31" s="19">
        <f>M31+38.96371-0.00055</f>
        <v>823.56957640000007</v>
      </c>
      <c r="S31" s="19">
        <f>M31+7.01601-0.00055</f>
        <v>791.62187640000013</v>
      </c>
      <c r="T31" s="19">
        <f>M31-1.0078246+0.00055</f>
        <v>783.59914179999998</v>
      </c>
      <c r="U31" s="19">
        <f>M31+44.99767+0.00055</f>
        <v>829.6046364</v>
      </c>
      <c r="V31" s="19">
        <f>M31+59.01332+0.00055</f>
        <v>843.62028640000005</v>
      </c>
      <c r="W31" s="46">
        <f>M31+34.968853-0.00055</f>
        <v>819.57471940000005</v>
      </c>
      <c r="Y31" s="62"/>
      <c r="Z31" s="62"/>
    </row>
    <row r="32" spans="1:26" x14ac:dyDescent="0.25">
      <c r="A32" s="17" t="s">
        <v>285</v>
      </c>
      <c r="B32" s="17" t="str">
        <f>IF(ISNUMBER(SEARCH("(",A32)),IF(ISNUMBER(SEARCH("/",A32)),CONCATENATE(MID(A32,1,4)," ",(SUM(MID(A32,FIND("(",A32)+1,FIND(":",A32)-FIND("(",A32)-1),MID(A32,FIND("/",A32)+1,FIND(":",A32,FIND("/",A32))-FIND("/",A32)-1))),":",SUM(MID(A32,FIND(":",A32)+1,FIND("/",A32)-FIND(":",A32)-1),MID(A32,FIND(":",A32,FIND("/",A32))+1,FIND(")",A32)-FIND(":",A32,FIND("/",A32))-1)),MID(A32,(FIND(")",A32)+1),100)),CONCATENATE(MID(A32,1,4)," ",(SUM(MID(A32,FIND("(",A32)+1,FIND(":",A32)-FIND("(",A32)-1),MID(A32,FIND("_",A32)+1,FIND(":",A32,FIND("_",A32))-FIND("_",A32)-1))),":",SUM(MID(A32,FIND(":",A32)+1,FIND("_",A32)-FIND(":",A32)-1),MID(A32,FIND(":",A32,FIND("_",A32))+1,FIND(")",A32)-FIND(":",A32,FIND("_",A32))-1)),MID(A32,(FIND(")",A32)+1),100))),A32)</f>
        <v>MGDG 36:0</v>
      </c>
      <c r="C32" s="1" t="str">
        <f>MID(B32,6,FIND(":",B32)-FIND(" ",B32)-1)</f>
        <v>36</v>
      </c>
      <c r="D32" s="1" t="str">
        <f>IF(ISNUMBER(SEARCH("__",B32)),MID(B32,FIND(":",B32)+1,FIND("__",B32)-FIND(":",B32)-1),MID(B32,FIND(":",B32)+1,7))</f>
        <v>0</v>
      </c>
      <c r="E32" s="17">
        <f>C32+9</f>
        <v>45</v>
      </c>
      <c r="F32" s="17">
        <f>2*E32-(2*D32)-4-((LEN(A32)-LEN(SUBSTITUTE(A32,"_O_","")))/LEN("_O_"))*2-((LEN(A32)-LEN(SUBSTITUTE(A32,"_CHO_","")))/LEN("_CHO_"))*2-((LEN(A32)-LEN(SUBSTITUTE(A32,"_COOH_","")))/LEN("_COOH_"))*2</f>
        <v>86</v>
      </c>
      <c r="G32" s="17">
        <v>0</v>
      </c>
      <c r="H32" s="17">
        <f>10+((LEN(A32)-LEN(SUBSTITUTE(A32,"_OH_","")))/LEN("_OH_"))*1+((LEN(A32)-LEN(SUBSTITUTE(A32,"_OOH_","")))/LEN("_OOH_"))*2+((LEN(A32)-LEN(SUBSTITUTE(A32,"_O_","")))/LEN("_O_"))*1+((LEN(A32)-LEN(SUBSTITUTE(A32,"_CHO_","")))/LEN("_CHO_"))*1+((LEN(A32)-LEN(SUBSTITUTE(A32,"_COOH_","")))/LEN("_COOH_"))*2</f>
        <v>10</v>
      </c>
      <c r="I32" s="17">
        <v>0</v>
      </c>
      <c r="L32" s="19" t="str">
        <f>CONCATENATE("C",E32,"H",F32,"O",H32,)</f>
        <v>C45H86O10</v>
      </c>
      <c r="M32" s="19">
        <f t="shared" si="8"/>
        <v>786.62206560000004</v>
      </c>
      <c r="N32" s="19">
        <f>M32+1.0078246-0.00055</f>
        <v>787.62934020000012</v>
      </c>
      <c r="O32" s="19">
        <f>N32-18.01057-0.00055</f>
        <v>769.61822020000011</v>
      </c>
      <c r="P32" s="19">
        <f>M32+18.03437-0.00055</f>
        <v>804.65588560000003</v>
      </c>
      <c r="Q32" s="19">
        <f>M32+22.98977-0.00055</f>
        <v>809.61128560000009</v>
      </c>
      <c r="R32" s="19">
        <f>M32+38.96371-0.00055</f>
        <v>825.58522560000006</v>
      </c>
      <c r="S32" s="19">
        <f>M32+7.01601-0.00055</f>
        <v>793.63752560000012</v>
      </c>
      <c r="T32" s="19">
        <f>M32-1.0078246+0.00055</f>
        <v>785.61479099999997</v>
      </c>
      <c r="U32" s="19">
        <f>M32+44.99767+0.00055</f>
        <v>831.62028559999999</v>
      </c>
      <c r="V32" s="19">
        <f>M32+59.01332+0.00055</f>
        <v>845.63593560000004</v>
      </c>
      <c r="W32" s="46">
        <f>M32+34.968853-0.00055</f>
        <v>821.59036860000003</v>
      </c>
      <c r="Y32" s="62"/>
      <c r="Z32" s="62"/>
    </row>
    <row r="33" spans="1:26" x14ac:dyDescent="0.25">
      <c r="A33" s="17" t="s">
        <v>658</v>
      </c>
      <c r="B33" s="17" t="str">
        <f>IF(ISNUMBER(SEARCH("(",A33)),IF(ISNUMBER(SEARCH("/",A33)),CONCATENATE(MID(A33,1,4)," ",(SUM(MID(A33,FIND("(",A33)+1,FIND(":",A33)-FIND("(",A33)-1),MID(A33,FIND("/",A33)+1,FIND(":",A33,FIND("/",A33))-FIND("/",A33)-1))),":",SUM(MID(A33,FIND(":",A33)+1,FIND("/",A33)-FIND(":",A33)-1),MID(A33,FIND(":",A33,FIND("/",A33))+1,FIND(")",A33)-FIND(":",A33,FIND("/",A33))-1)),MID(A33,(FIND(")",A33)+1),100)),CONCATENATE(MID(A33,1,4)," ",(SUM(MID(A33,FIND("(",A33)+1,FIND(":",A33)-FIND("(",A33)-1),MID(A33,FIND("_",A33)+1,FIND(":",A33,FIND("_",A33))-FIND("_",A33)-1))),":",SUM(MID(A33,FIND(":",A33)+1,FIND("_",A33)-FIND(":",A33)-1),MID(A33,FIND(":",A33,FIND("_",A33))+1,FIND(")",A33)-FIND(":",A33,FIND("_",A33))-1)),MID(A33,(FIND(")",A33)+1),100))),A33)</f>
        <v>MGDG 37:2</v>
      </c>
      <c r="C33" s="1" t="str">
        <f>MID(B33,6,FIND(":",B33)-FIND(" ",B33)-1)</f>
        <v>37</v>
      </c>
      <c r="D33" s="1" t="str">
        <f>IF(ISNUMBER(SEARCH("__",B33)),MID(B33,FIND(":",B33)+1,FIND("__",B33)-FIND(":",B33)-1),MID(B33,FIND(":",B33)+1,7))</f>
        <v>2</v>
      </c>
      <c r="E33" s="17">
        <f>C33+9</f>
        <v>46</v>
      </c>
      <c r="F33" s="17">
        <f>2*E33-(2*D33)-4-((LEN(A33)-LEN(SUBSTITUTE(A33,"_O_","")))/LEN("_O_"))*2-((LEN(A33)-LEN(SUBSTITUTE(A33,"_CHO_","")))/LEN("_CHO_"))*2-((LEN(A33)-LEN(SUBSTITUTE(A33,"_COOH_","")))/LEN("_COOH_"))*2</f>
        <v>84</v>
      </c>
      <c r="G33" s="17">
        <v>0</v>
      </c>
      <c r="H33" s="17">
        <f>10+((LEN(A33)-LEN(SUBSTITUTE(A33,"_OH_","")))/LEN("_OH_"))*1+((LEN(A33)-LEN(SUBSTITUTE(A33,"_OOH_","")))/LEN("_OOH_"))*2+((LEN(A33)-LEN(SUBSTITUTE(A33,"_O_","")))/LEN("_O_"))*1+((LEN(A33)-LEN(SUBSTITUTE(A33,"_CHO_","")))/LEN("_CHO_"))*1+((LEN(A33)-LEN(SUBSTITUTE(A33,"_COOH_","")))/LEN("_COOH_"))*2</f>
        <v>10</v>
      </c>
      <c r="I33" s="17">
        <v>0</v>
      </c>
      <c r="L33" s="19" t="str">
        <f>CONCATENATE("C",E33,"H",F33,"O",H33,)</f>
        <v>C46H84O10</v>
      </c>
      <c r="M33" s="19">
        <f t="shared" si="8"/>
        <v>796.60641640000006</v>
      </c>
      <c r="N33" s="19">
        <f>M33+1.0078246-0.00055</f>
        <v>797.61369100000013</v>
      </c>
      <c r="O33" s="19">
        <f>N33-18.01057-0.00055</f>
        <v>779.60257100000013</v>
      </c>
      <c r="P33" s="19">
        <f>M33+18.03437-0.00055</f>
        <v>814.64023640000005</v>
      </c>
      <c r="Q33" s="19">
        <f>M33+22.98977-0.00055</f>
        <v>819.5956364000001</v>
      </c>
      <c r="R33" s="19">
        <f>M33+38.96371-0.00055</f>
        <v>835.56957640000007</v>
      </c>
      <c r="S33" s="19">
        <f>M33+7.01601-0.00055</f>
        <v>803.62187640000013</v>
      </c>
      <c r="T33" s="19">
        <f>M33-1.0078246+0.00055</f>
        <v>795.59914179999998</v>
      </c>
      <c r="U33" s="19">
        <f>M33+44.99767+0.00055</f>
        <v>841.6046364</v>
      </c>
      <c r="V33" s="19">
        <f>M33+59.01332+0.00055</f>
        <v>855.62028640000005</v>
      </c>
      <c r="W33" s="46">
        <f>M33+34.968853-0.00055</f>
        <v>831.57471940000005</v>
      </c>
      <c r="Y33" s="62"/>
      <c r="Z33" s="62"/>
    </row>
    <row r="34" spans="1:26" x14ac:dyDescent="0.25">
      <c r="A34" s="17" t="s">
        <v>659</v>
      </c>
      <c r="B34" s="17" t="str">
        <f>IF(ISNUMBER(SEARCH("(",A34)),IF(ISNUMBER(SEARCH("/",A34)),CONCATENATE(MID(A34,1,4)," ",(SUM(MID(A34,FIND("(",A34)+1,FIND(":",A34)-FIND("(",A34)-1),MID(A34,FIND("/",A34)+1,FIND(":",A34,FIND("/",A34))-FIND("/",A34)-1))),":",SUM(MID(A34,FIND(":",A34)+1,FIND("/",A34)-FIND(":",A34)-1),MID(A34,FIND(":",A34,FIND("/",A34))+1,FIND(")",A34)-FIND(":",A34,FIND("/",A34))-1)),MID(A34,(FIND(")",A34)+1),100)),CONCATENATE(MID(A34,1,4)," ",(SUM(MID(A34,FIND("(",A34)+1,FIND(":",A34)-FIND("(",A34)-1),MID(A34,FIND("_",A34)+1,FIND(":",A34,FIND("_",A34))-FIND("_",A34)-1))),":",SUM(MID(A34,FIND(":",A34)+1,FIND("_",A34)-FIND(":",A34)-1),MID(A34,FIND(":",A34,FIND("_",A34))+1,FIND(")",A34)-FIND(":",A34,FIND("_",A34))-1)),MID(A34,(FIND(")",A34)+1),100))),A34)</f>
        <v>MGDG 37:1</v>
      </c>
      <c r="C34" s="1" t="str">
        <f>MID(B34,6,FIND(":",B34)-FIND(" ",B34)-1)</f>
        <v>37</v>
      </c>
      <c r="D34" s="1" t="str">
        <f>IF(ISNUMBER(SEARCH("__",B34)),MID(B34,FIND(":",B34)+1,FIND("__",B34)-FIND(":",B34)-1),MID(B34,FIND(":",B34)+1,7))</f>
        <v>1</v>
      </c>
      <c r="E34" s="17">
        <f>C34+9</f>
        <v>46</v>
      </c>
      <c r="F34" s="17">
        <f>2*E34-(2*D34)-4-((LEN(A34)-LEN(SUBSTITUTE(A34,"_O_","")))/LEN("_O_"))*2-((LEN(A34)-LEN(SUBSTITUTE(A34,"_CHO_","")))/LEN("_CHO_"))*2-((LEN(A34)-LEN(SUBSTITUTE(A34,"_COOH_","")))/LEN("_COOH_"))*2</f>
        <v>86</v>
      </c>
      <c r="G34" s="17">
        <v>0</v>
      </c>
      <c r="H34" s="17">
        <f>10+((LEN(A34)-LEN(SUBSTITUTE(A34,"_OH_","")))/LEN("_OH_"))*1+((LEN(A34)-LEN(SUBSTITUTE(A34,"_OOH_","")))/LEN("_OOH_"))*2+((LEN(A34)-LEN(SUBSTITUTE(A34,"_O_","")))/LEN("_O_"))*1+((LEN(A34)-LEN(SUBSTITUTE(A34,"_CHO_","")))/LEN("_CHO_"))*1+((LEN(A34)-LEN(SUBSTITUTE(A34,"_COOH_","")))/LEN("_COOH_"))*2</f>
        <v>10</v>
      </c>
      <c r="I34" s="17">
        <v>0</v>
      </c>
      <c r="L34" s="19" t="str">
        <f>CONCATENATE("C",E34,"H",F34,"O",H34,)</f>
        <v>C46H86O10</v>
      </c>
      <c r="M34" s="19">
        <f t="shared" si="8"/>
        <v>798.62206560000004</v>
      </c>
      <c r="N34" s="19">
        <f>M34+1.0078246-0.00055</f>
        <v>799.62934020000012</v>
      </c>
      <c r="O34" s="19">
        <f>N34-18.01057-0.00055</f>
        <v>781.61822020000011</v>
      </c>
      <c r="P34" s="19">
        <f>M34+18.03437-0.00055</f>
        <v>816.65588560000003</v>
      </c>
      <c r="Q34" s="19">
        <f>M34+22.98977-0.00055</f>
        <v>821.61128560000009</v>
      </c>
      <c r="R34" s="19">
        <f>M34+38.96371-0.00055</f>
        <v>837.58522560000006</v>
      </c>
      <c r="S34" s="19">
        <f>M34+7.01601-0.00055</f>
        <v>805.63752560000012</v>
      </c>
      <c r="T34" s="19">
        <f>M34-1.0078246+0.00055</f>
        <v>797.61479099999997</v>
      </c>
      <c r="U34" s="19">
        <f>M34+44.99767+0.00055</f>
        <v>843.62028559999999</v>
      </c>
      <c r="V34" s="19">
        <f>M34+59.01332+0.00055</f>
        <v>857.63593560000004</v>
      </c>
      <c r="W34" s="46">
        <f>M34+34.968853-0.00055</f>
        <v>833.59036860000003</v>
      </c>
      <c r="Y34" s="62"/>
      <c r="Z34" s="62"/>
    </row>
    <row r="35" spans="1:26" x14ac:dyDescent="0.25">
      <c r="A35" s="17" t="s">
        <v>286</v>
      </c>
      <c r="B35" s="17" t="str">
        <f>IF(ISNUMBER(SEARCH("(",A35)),IF(ISNUMBER(SEARCH("/",A35)),CONCATENATE(MID(A35,1,4)," ",(SUM(MID(A35,FIND("(",A35)+1,FIND(":",A35)-FIND("(",A35)-1),MID(A35,FIND("/",A35)+1,FIND(":",A35,FIND("/",A35))-FIND("/",A35)-1))),":",SUM(MID(A35,FIND(":",A35)+1,FIND("/",A35)-FIND(":",A35)-1),MID(A35,FIND(":",A35,FIND("/",A35))+1,FIND(")",A35)-FIND(":",A35,FIND("/",A35))-1)),MID(A35,(FIND(")",A35)+1),100)),CONCATENATE(MID(A35,1,4)," ",(SUM(MID(A35,FIND("(",A35)+1,FIND(":",A35)-FIND("(",A35)-1),MID(A35,FIND("_",A35)+1,FIND(":",A35,FIND("_",A35))-FIND("_",A35)-1))),":",SUM(MID(A35,FIND(":",A35)+1,FIND("_",A35)-FIND(":",A35)-1),MID(A35,FIND(":",A35,FIND("_",A35))+1,FIND(")",A35)-FIND(":",A35,FIND("_",A35))-1)),MID(A35,(FIND(")",A35)+1),100))),A35)</f>
        <v>MGDG 37:0</v>
      </c>
      <c r="C35" s="1" t="str">
        <f>MID(B35,6,FIND(":",B35)-FIND(" ",B35)-1)</f>
        <v>37</v>
      </c>
      <c r="D35" s="1" t="str">
        <f>IF(ISNUMBER(SEARCH("__",B35)),MID(B35,FIND(":",B35)+1,FIND("__",B35)-FIND(":",B35)-1),MID(B35,FIND(":",B35)+1,7))</f>
        <v>0</v>
      </c>
      <c r="E35" s="17">
        <f>C35+9</f>
        <v>46</v>
      </c>
      <c r="F35" s="17">
        <f>2*E35-(2*D35)-4-((LEN(A35)-LEN(SUBSTITUTE(A35,"_O_","")))/LEN("_O_"))*2-((LEN(A35)-LEN(SUBSTITUTE(A35,"_CHO_","")))/LEN("_CHO_"))*2-((LEN(A35)-LEN(SUBSTITUTE(A35,"_COOH_","")))/LEN("_COOH_"))*2</f>
        <v>88</v>
      </c>
      <c r="G35" s="17">
        <v>0</v>
      </c>
      <c r="H35" s="17">
        <f>10+((LEN(A35)-LEN(SUBSTITUTE(A35,"_OH_","")))/LEN("_OH_"))*1+((LEN(A35)-LEN(SUBSTITUTE(A35,"_OOH_","")))/LEN("_OOH_"))*2+((LEN(A35)-LEN(SUBSTITUTE(A35,"_O_","")))/LEN("_O_"))*1+((LEN(A35)-LEN(SUBSTITUTE(A35,"_CHO_","")))/LEN("_CHO_"))*1+((LEN(A35)-LEN(SUBSTITUTE(A35,"_COOH_","")))/LEN("_COOH_"))*2</f>
        <v>10</v>
      </c>
      <c r="I35" s="17">
        <v>0</v>
      </c>
      <c r="L35" s="19" t="str">
        <f>CONCATENATE("C",E35,"H",F35,"O",H35,)</f>
        <v>C46H88O10</v>
      </c>
      <c r="M35" s="19">
        <f t="shared" si="8"/>
        <v>800.63771480000003</v>
      </c>
      <c r="N35" s="19">
        <f>M35+1.0078246-0.00055</f>
        <v>801.6449894000001</v>
      </c>
      <c r="O35" s="19">
        <f>N35-18.01057-0.00055</f>
        <v>783.63386940000009</v>
      </c>
      <c r="P35" s="19">
        <f>M35+18.03437-0.00055</f>
        <v>818.67153480000002</v>
      </c>
      <c r="Q35" s="19">
        <f>M35+22.98977-0.00055</f>
        <v>823.62693480000007</v>
      </c>
      <c r="R35" s="19">
        <f>M35+38.96371-0.00055</f>
        <v>839.60087480000004</v>
      </c>
      <c r="S35" s="19">
        <f>M35+7.01601-0.00055</f>
        <v>807.6531748000001</v>
      </c>
      <c r="T35" s="19">
        <f>M35-1.0078246+0.00055</f>
        <v>799.63044019999995</v>
      </c>
      <c r="U35" s="19">
        <f>M35+44.99767+0.00055</f>
        <v>845.63593479999997</v>
      </c>
      <c r="V35" s="19">
        <f>M35+59.01332+0.00055</f>
        <v>859.65158480000002</v>
      </c>
      <c r="W35" s="46">
        <f>M35+34.968853-0.00055</f>
        <v>835.60601780000002</v>
      </c>
      <c r="Y35" s="62"/>
      <c r="Z35" s="62"/>
    </row>
    <row r="36" spans="1:26" x14ac:dyDescent="0.25">
      <c r="A36" s="17" t="s">
        <v>660</v>
      </c>
      <c r="B36" s="17" t="str">
        <f>IF(ISNUMBER(SEARCH("(",A36)),IF(ISNUMBER(SEARCH("/",A36)),CONCATENATE(MID(A36,1,4)," ",(SUM(MID(A36,FIND("(",A36)+1,FIND(":",A36)-FIND("(",A36)-1),MID(A36,FIND("/",A36)+1,FIND(":",A36,FIND("/",A36))-FIND("/",A36)-1))),":",SUM(MID(A36,FIND(":",A36)+1,FIND("/",A36)-FIND(":",A36)-1),MID(A36,FIND(":",A36,FIND("/",A36))+1,FIND(")",A36)-FIND(":",A36,FIND("/",A36))-1)),MID(A36,(FIND(")",A36)+1),100)),CONCATENATE(MID(A36,1,4)," ",(SUM(MID(A36,FIND("(",A36)+1,FIND(":",A36)-FIND("(",A36)-1),MID(A36,FIND("_",A36)+1,FIND(":",A36,FIND("_",A36))-FIND("_",A36)-1))),":",SUM(MID(A36,FIND(":",A36)+1,FIND("_",A36)-FIND(":",A36)-1),MID(A36,FIND(":",A36,FIND("_",A36))+1,FIND(")",A36)-FIND(":",A36,FIND("_",A36))-1)),MID(A36,(FIND(")",A36)+1),100))),A36)</f>
        <v>MGDG 38:2</v>
      </c>
      <c r="C36" s="1" t="str">
        <f>MID(B36,6,FIND(":",B36)-FIND(" ",B36)-1)</f>
        <v>38</v>
      </c>
      <c r="D36" s="1" t="str">
        <f>IF(ISNUMBER(SEARCH("__",B36)),MID(B36,FIND(":",B36)+1,FIND("__",B36)-FIND(":",B36)-1),MID(B36,FIND(":",B36)+1,7))</f>
        <v>2</v>
      </c>
      <c r="E36" s="17">
        <f>C36+9</f>
        <v>47</v>
      </c>
      <c r="F36" s="17">
        <f>2*E36-(2*D36)-4-((LEN(A36)-LEN(SUBSTITUTE(A36,"_O_","")))/LEN("_O_"))*2-((LEN(A36)-LEN(SUBSTITUTE(A36,"_CHO_","")))/LEN("_CHO_"))*2-((LEN(A36)-LEN(SUBSTITUTE(A36,"_COOH_","")))/LEN("_COOH_"))*2</f>
        <v>86</v>
      </c>
      <c r="G36" s="17">
        <v>0</v>
      </c>
      <c r="H36" s="17">
        <f>10+((LEN(A36)-LEN(SUBSTITUTE(A36,"_OH_","")))/LEN("_OH_"))*1+((LEN(A36)-LEN(SUBSTITUTE(A36,"_OOH_","")))/LEN("_OOH_"))*2+((LEN(A36)-LEN(SUBSTITUTE(A36,"_O_","")))/LEN("_O_"))*1+((LEN(A36)-LEN(SUBSTITUTE(A36,"_CHO_","")))/LEN("_CHO_"))*1+((LEN(A36)-LEN(SUBSTITUTE(A36,"_COOH_","")))/LEN("_COOH_"))*2</f>
        <v>10</v>
      </c>
      <c r="I36" s="17">
        <v>0</v>
      </c>
      <c r="L36" s="19" t="str">
        <f>CONCATENATE("C",E36,"H",F36,"O",H36,)</f>
        <v>C47H86O10</v>
      </c>
      <c r="M36" s="19">
        <f t="shared" si="8"/>
        <v>810.62206560000004</v>
      </c>
      <c r="N36" s="19">
        <f>M36+1.0078246-0.00055</f>
        <v>811.62934020000012</v>
      </c>
      <c r="O36" s="19">
        <f>N36-18.01057-0.00055</f>
        <v>793.61822020000011</v>
      </c>
      <c r="P36" s="19">
        <f>M36+18.03437-0.00055</f>
        <v>828.65588560000003</v>
      </c>
      <c r="Q36" s="19">
        <f>M36+22.98977-0.00055</f>
        <v>833.61128560000009</v>
      </c>
      <c r="R36" s="19">
        <f>M36+38.96371-0.00055</f>
        <v>849.58522560000006</v>
      </c>
      <c r="S36" s="19">
        <f>M36+7.01601-0.00055</f>
        <v>817.63752560000012</v>
      </c>
      <c r="T36" s="19">
        <f>M36-1.0078246+0.00055</f>
        <v>809.61479099999997</v>
      </c>
      <c r="U36" s="19">
        <f>M36+44.99767+0.00055</f>
        <v>855.62028559999999</v>
      </c>
      <c r="V36" s="19">
        <f>M36+59.01332+0.00055</f>
        <v>869.63593560000004</v>
      </c>
      <c r="W36" s="46">
        <f>M36+34.968853-0.00055</f>
        <v>845.59036860000003</v>
      </c>
      <c r="Y36" s="62"/>
      <c r="Z36" s="62"/>
    </row>
    <row r="37" spans="1:26" x14ac:dyDescent="0.25">
      <c r="A37" s="17" t="s">
        <v>661</v>
      </c>
      <c r="B37" s="17" t="str">
        <f>IF(ISNUMBER(SEARCH("(",A37)),IF(ISNUMBER(SEARCH("/",A37)),CONCATENATE(MID(A37,1,4)," ",(SUM(MID(A37,FIND("(",A37)+1,FIND(":",A37)-FIND("(",A37)-1),MID(A37,FIND("/",A37)+1,FIND(":",A37,FIND("/",A37))-FIND("/",A37)-1))),":",SUM(MID(A37,FIND(":",A37)+1,FIND("/",A37)-FIND(":",A37)-1),MID(A37,FIND(":",A37,FIND("/",A37))+1,FIND(")",A37)-FIND(":",A37,FIND("/",A37))-1)),MID(A37,(FIND(")",A37)+1),100)),CONCATENATE(MID(A37,1,4)," ",(SUM(MID(A37,FIND("(",A37)+1,FIND(":",A37)-FIND("(",A37)-1),MID(A37,FIND("_",A37)+1,FIND(":",A37,FIND("_",A37))-FIND("_",A37)-1))),":",SUM(MID(A37,FIND(":",A37)+1,FIND("_",A37)-FIND(":",A37)-1),MID(A37,FIND(":",A37,FIND("_",A37))+1,FIND(")",A37)-FIND(":",A37,FIND("_",A37))-1)),MID(A37,(FIND(")",A37)+1),100))),A37)</f>
        <v>MGDG 38:1</v>
      </c>
      <c r="C37" s="1" t="str">
        <f>MID(B37,6,FIND(":",B37)-FIND(" ",B37)-1)</f>
        <v>38</v>
      </c>
      <c r="D37" s="1" t="str">
        <f>IF(ISNUMBER(SEARCH("__",B37)),MID(B37,FIND(":",B37)+1,FIND("__",B37)-FIND(":",B37)-1),MID(B37,FIND(":",B37)+1,7))</f>
        <v>1</v>
      </c>
      <c r="E37" s="17">
        <f>C37+9</f>
        <v>47</v>
      </c>
      <c r="F37" s="17">
        <f>2*E37-(2*D37)-4-((LEN(A37)-LEN(SUBSTITUTE(A37,"_O_","")))/LEN("_O_"))*2-((LEN(A37)-LEN(SUBSTITUTE(A37,"_CHO_","")))/LEN("_CHO_"))*2-((LEN(A37)-LEN(SUBSTITUTE(A37,"_COOH_","")))/LEN("_COOH_"))*2</f>
        <v>88</v>
      </c>
      <c r="G37" s="17">
        <v>0</v>
      </c>
      <c r="H37" s="17">
        <f>10+((LEN(A37)-LEN(SUBSTITUTE(A37,"_OH_","")))/LEN("_OH_"))*1+((LEN(A37)-LEN(SUBSTITUTE(A37,"_OOH_","")))/LEN("_OOH_"))*2+((LEN(A37)-LEN(SUBSTITUTE(A37,"_O_","")))/LEN("_O_"))*1+((LEN(A37)-LEN(SUBSTITUTE(A37,"_CHO_","")))/LEN("_CHO_"))*1+((LEN(A37)-LEN(SUBSTITUTE(A37,"_COOH_","")))/LEN("_COOH_"))*2</f>
        <v>10</v>
      </c>
      <c r="I37" s="17">
        <v>0</v>
      </c>
      <c r="L37" s="19" t="str">
        <f>CONCATENATE("C",E37,"H",F37,"O",H37,)</f>
        <v>C47H88O10</v>
      </c>
      <c r="M37" s="19">
        <f t="shared" si="8"/>
        <v>812.63771480000003</v>
      </c>
      <c r="N37" s="19">
        <f>M37+1.0078246-0.00055</f>
        <v>813.6449894000001</v>
      </c>
      <c r="O37" s="19">
        <f>N37-18.01057-0.00055</f>
        <v>795.63386940000009</v>
      </c>
      <c r="P37" s="19">
        <f>M37+18.03437-0.00055</f>
        <v>830.67153480000002</v>
      </c>
      <c r="Q37" s="19">
        <f>M37+22.98977-0.00055</f>
        <v>835.62693480000007</v>
      </c>
      <c r="R37" s="19">
        <f>M37+38.96371-0.00055</f>
        <v>851.60087480000004</v>
      </c>
      <c r="S37" s="19">
        <f>M37+7.01601-0.00055</f>
        <v>819.6531748000001</v>
      </c>
      <c r="T37" s="19">
        <f>M37-1.0078246+0.00055</f>
        <v>811.63044019999995</v>
      </c>
      <c r="U37" s="19">
        <f>M37+44.99767+0.00055</f>
        <v>857.63593479999997</v>
      </c>
      <c r="V37" s="19">
        <f>M37+59.01332+0.00055</f>
        <v>871.65158480000002</v>
      </c>
      <c r="W37" s="46">
        <f>M37+34.968853-0.00055</f>
        <v>847.60601780000002</v>
      </c>
      <c r="Y37" s="62"/>
      <c r="Z37" s="62"/>
    </row>
    <row r="38" spans="1:26" x14ac:dyDescent="0.25">
      <c r="A38" s="17" t="s">
        <v>287</v>
      </c>
      <c r="B38" s="17" t="str">
        <f>IF(ISNUMBER(SEARCH("(",A38)),IF(ISNUMBER(SEARCH("/",A38)),CONCATENATE(MID(A38,1,4)," ",(SUM(MID(A38,FIND("(",A38)+1,FIND(":",A38)-FIND("(",A38)-1),MID(A38,FIND("/",A38)+1,FIND(":",A38,FIND("/",A38))-FIND("/",A38)-1))),":",SUM(MID(A38,FIND(":",A38)+1,FIND("/",A38)-FIND(":",A38)-1),MID(A38,FIND(":",A38,FIND("/",A38))+1,FIND(")",A38)-FIND(":",A38,FIND("/",A38))-1)),MID(A38,(FIND(")",A38)+1),100)),CONCATENATE(MID(A38,1,4)," ",(SUM(MID(A38,FIND("(",A38)+1,FIND(":",A38)-FIND("(",A38)-1),MID(A38,FIND("_",A38)+1,FIND(":",A38,FIND("_",A38))-FIND("_",A38)-1))),":",SUM(MID(A38,FIND(":",A38)+1,FIND("_",A38)-FIND(":",A38)-1),MID(A38,FIND(":",A38,FIND("_",A38))+1,FIND(")",A38)-FIND(":",A38,FIND("_",A38))-1)),MID(A38,(FIND(")",A38)+1),100))),A38)</f>
        <v>MGDG 38:0</v>
      </c>
      <c r="C38" s="1" t="str">
        <f>MID(B38,6,FIND(":",B38)-FIND(" ",B38)-1)</f>
        <v>38</v>
      </c>
      <c r="D38" s="1" t="str">
        <f>IF(ISNUMBER(SEARCH("__",B38)),MID(B38,FIND(":",B38)+1,FIND("__",B38)-FIND(":",B38)-1),MID(B38,FIND(":",B38)+1,7))</f>
        <v>0</v>
      </c>
      <c r="E38" s="17">
        <f>C38+9</f>
        <v>47</v>
      </c>
      <c r="F38" s="17">
        <f>2*E38-(2*D38)-4-((LEN(A38)-LEN(SUBSTITUTE(A38,"_O_","")))/LEN("_O_"))*2-((LEN(A38)-LEN(SUBSTITUTE(A38,"_CHO_","")))/LEN("_CHO_"))*2-((LEN(A38)-LEN(SUBSTITUTE(A38,"_COOH_","")))/LEN("_COOH_"))*2</f>
        <v>90</v>
      </c>
      <c r="G38" s="17">
        <v>0</v>
      </c>
      <c r="H38" s="17">
        <f>10+((LEN(A38)-LEN(SUBSTITUTE(A38,"_OH_","")))/LEN("_OH_"))*1+((LEN(A38)-LEN(SUBSTITUTE(A38,"_OOH_","")))/LEN("_OOH_"))*2+((LEN(A38)-LEN(SUBSTITUTE(A38,"_O_","")))/LEN("_O_"))*1+((LEN(A38)-LEN(SUBSTITUTE(A38,"_CHO_","")))/LEN("_CHO_"))*1+((LEN(A38)-LEN(SUBSTITUTE(A38,"_COOH_","")))/LEN("_COOH_"))*2</f>
        <v>10</v>
      </c>
      <c r="I38" s="17">
        <v>0</v>
      </c>
      <c r="L38" s="19" t="str">
        <f>CONCATENATE("C",E38,"H",F38,"O",H38,)</f>
        <v>C47H90O10</v>
      </c>
      <c r="M38" s="19">
        <f t="shared" si="8"/>
        <v>814.65336400000001</v>
      </c>
      <c r="N38" s="19">
        <f>M38+1.0078246-0.00055</f>
        <v>815.66063860000008</v>
      </c>
      <c r="O38" s="19">
        <f>N38-18.01057-0.00055</f>
        <v>797.64951860000008</v>
      </c>
      <c r="P38" s="19">
        <f>M38+18.03437-0.00055</f>
        <v>832.687184</v>
      </c>
      <c r="Q38" s="19">
        <f>M38+22.98977-0.00055</f>
        <v>837.64258400000006</v>
      </c>
      <c r="R38" s="19">
        <f>M38+38.96371-0.00055</f>
        <v>853.61652400000003</v>
      </c>
      <c r="S38" s="19">
        <f>M38+7.01601-0.00055</f>
        <v>821.66882400000009</v>
      </c>
      <c r="T38" s="19">
        <f>M38-1.0078246+0.00055</f>
        <v>813.64608939999994</v>
      </c>
      <c r="U38" s="19">
        <f>M38+44.99767+0.00055</f>
        <v>859.65158399999996</v>
      </c>
      <c r="V38" s="19">
        <f>M38+59.01332+0.00055</f>
        <v>873.66723400000001</v>
      </c>
      <c r="W38" s="46">
        <f>M38+34.968853-0.00055</f>
        <v>849.621667</v>
      </c>
      <c r="Y38" s="62"/>
      <c r="Z38" s="6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1"/>
  <dimension ref="A1:X69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M14" sqref="M14"/>
    </sheetView>
  </sheetViews>
  <sheetFormatPr defaultColWidth="9.140625" defaultRowHeight="15.75" x14ac:dyDescent="0.25"/>
  <cols>
    <col min="1" max="1" width="18.42578125" style="17" customWidth="1"/>
    <col min="2" max="2" width="0.42578125" style="17" customWidth="1"/>
    <col min="3" max="5" width="10.85546875" style="17" hidden="1" customWidth="1"/>
    <col min="6" max="6" width="12.140625" style="17" hidden="1" customWidth="1"/>
    <col min="7" max="7" width="9.5703125" style="17" hidden="1" customWidth="1"/>
    <col min="8" max="8" width="10.85546875" style="17" hidden="1" customWidth="1"/>
    <col min="9" max="9" width="9.5703125" style="17" hidden="1" customWidth="1"/>
    <col min="10" max="10" width="9.140625" style="17" hidden="1" customWidth="1"/>
    <col min="11" max="11" width="0.140625" style="17" hidden="1" customWidth="1"/>
    <col min="12" max="12" width="15.42578125" style="19" bestFit="1" customWidth="1"/>
    <col min="13" max="13" width="15.85546875" style="21" bestFit="1" customWidth="1"/>
    <col min="14" max="14" width="10.85546875" style="46" bestFit="1" customWidth="1"/>
    <col min="15" max="15" width="14.42578125" style="46" bestFit="1" customWidth="1"/>
    <col min="16" max="18" width="12.140625" style="46" bestFit="1" customWidth="1"/>
    <col min="19" max="20" width="10.85546875" style="46" bestFit="1" customWidth="1"/>
    <col min="21" max="21" width="13.5703125" style="46" bestFit="1" customWidth="1"/>
    <col min="22" max="22" width="16.5703125" style="46" bestFit="1" customWidth="1"/>
    <col min="23" max="23" width="12.140625" style="17" bestFit="1" customWidth="1"/>
    <col min="24" max="24" width="15.42578125" style="17" bestFit="1" customWidth="1"/>
  </cols>
  <sheetData>
    <row r="1" spans="1:24" s="28" customFormat="1" ht="15" customHeight="1" x14ac:dyDescent="0.25">
      <c r="A1" s="27" t="s">
        <v>74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52" t="s">
        <v>3</v>
      </c>
      <c r="N1" s="44" t="s">
        <v>7</v>
      </c>
      <c r="O1" s="44" t="s">
        <v>13</v>
      </c>
      <c r="P1" s="44" t="s">
        <v>4</v>
      </c>
      <c r="Q1" s="44" t="s">
        <v>6</v>
      </c>
      <c r="R1" s="44" t="s">
        <v>29</v>
      </c>
      <c r="S1" s="44" t="s">
        <v>30</v>
      </c>
      <c r="T1" s="44" t="s">
        <v>12</v>
      </c>
      <c r="U1" s="44" t="s">
        <v>10</v>
      </c>
      <c r="V1" s="44" t="s">
        <v>11</v>
      </c>
      <c r="W1" s="27" t="s">
        <v>433</v>
      </c>
      <c r="X1" s="27"/>
    </row>
    <row r="2" spans="1:24" ht="15.75" hidden="1" customHeight="1" x14ac:dyDescent="0.25">
      <c r="A2" s="17" t="s">
        <v>344</v>
      </c>
      <c r="B2" s="17" t="str">
        <f t="shared" ref="B2:B40" si="0">IF(ISNUMBER(SEARCH("(",A2)),IF(ISNUMBER(SEARCH("/",A2)),CONCATENATE(MID(A2,1,4),"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2,1,4)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DGDG 34:0</v>
      </c>
      <c r="C2" s="1" t="str">
        <f t="shared" ref="C2:C41" si="1">MID(B2,6,FIND(":",B2)-FIND(" ",B2)-1)</f>
        <v>34</v>
      </c>
      <c r="D2" s="1" t="str">
        <f t="shared" ref="D2:D41" si="2">IF(ISNUMBER(SEARCH("__",B2)),MID(B2,FIND(":",B2)+1,FIND("__",B2)-FIND(":",B2)-1),MID(B2,FIND(":",B2)+1,7))</f>
        <v>0</v>
      </c>
      <c r="E2" s="17">
        <f t="shared" ref="E2:E41" si="3">C2+15</f>
        <v>49</v>
      </c>
      <c r="F2" s="17">
        <f t="shared" ref="F2:F41" si="4">2*E2-(2*D2)-4-((LEN(A2)-LEN(SUBSTITUTE(A2,"_O_","")))/LEN("_O_"))*2-((LEN(A2)-LEN(SUBSTITUTE(A2,"_CHO_","")))/LEN("_CHO_"))*2-((LEN(A2)-LEN(SUBSTITUTE(A2,"_COOH_","")))/LEN("_COOH_"))*2-2</f>
        <v>92</v>
      </c>
      <c r="G2" s="17">
        <v>0</v>
      </c>
      <c r="H2" s="17">
        <f t="shared" ref="H2:H41" si="5">10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+5</f>
        <v>15</v>
      </c>
      <c r="I2" s="17">
        <v>0</v>
      </c>
      <c r="L2" s="19" t="str">
        <f t="shared" ref="L2:L41" si="6">CONCATENATE("C",E2,"H",F2,"O",H2,)</f>
        <v>C49H92O15</v>
      </c>
      <c r="M2" s="21">
        <f t="shared" ref="M2" si="7">(E2*12)+(F2*1.0078246)+(G2*14.003074)+(H2*15.994915)+(I2*30.973763)</f>
        <v>920.64358819999995</v>
      </c>
      <c r="N2" s="46">
        <f t="shared" ref="N2:N40" si="8">M2+1.0078246-0.00055</f>
        <v>921.65086280000003</v>
      </c>
      <c r="O2" s="46">
        <f t="shared" ref="O2:O40" si="9">N2-18.01057-0.00055</f>
        <v>903.63974280000002</v>
      </c>
      <c r="P2" s="46">
        <f t="shared" ref="P2:P40" si="10">M2+18.03437-0.00055</f>
        <v>938.67740819999995</v>
      </c>
      <c r="Q2" s="46">
        <f t="shared" ref="Q2:Q40" si="11">M2+22.98977-0.00055</f>
        <v>943.6328082</v>
      </c>
      <c r="R2" s="46">
        <f t="shared" ref="R2:R40" si="12">M2+38.96371-0.00055</f>
        <v>959.60674819999997</v>
      </c>
      <c r="S2" s="46">
        <f t="shared" ref="S2:S40" si="13">M2+7.01601-0.00055</f>
        <v>927.65904820000003</v>
      </c>
      <c r="T2" s="46">
        <f t="shared" ref="T2:T40" si="14">M2-1.0078246+0.00055</f>
        <v>919.63631359999988</v>
      </c>
      <c r="U2" s="46">
        <f t="shared" ref="U2:U40" si="15">M2+44.99767+0.00055</f>
        <v>965.6418081999999</v>
      </c>
      <c r="V2" s="46">
        <f t="shared" ref="V2:V40" si="16">M2+59.01332+0.00055</f>
        <v>979.65745819999995</v>
      </c>
      <c r="W2" s="46">
        <f t="shared" ref="W2:W25" si="17">M2+34.968853-0.00055</f>
        <v>955.61189119999995</v>
      </c>
    </row>
    <row r="3" spans="1:24" x14ac:dyDescent="0.25">
      <c r="A3" s="18" t="s">
        <v>345</v>
      </c>
      <c r="B3" s="17" t="str">
        <f t="shared" si="0"/>
        <v>DGDG 25:0</v>
      </c>
      <c r="C3" s="1" t="str">
        <f t="shared" si="1"/>
        <v>25</v>
      </c>
      <c r="D3" s="1" t="str">
        <f t="shared" si="2"/>
        <v>0</v>
      </c>
      <c r="E3" s="17">
        <f t="shared" si="3"/>
        <v>40</v>
      </c>
      <c r="F3" s="17">
        <f t="shared" si="4"/>
        <v>74</v>
      </c>
      <c r="G3" s="17">
        <v>0</v>
      </c>
      <c r="H3" s="17">
        <f t="shared" si="5"/>
        <v>15</v>
      </c>
      <c r="I3" s="17">
        <v>0</v>
      </c>
      <c r="L3" s="19" t="str">
        <f t="shared" si="6"/>
        <v>C40H74O15</v>
      </c>
      <c r="M3" s="21">
        <f t="shared" ref="M3:M40" si="18">(E3*12)+(F3*1.0078246)+(G3*14.003074)+(H3*15.994915)+(I3*30.973763)</f>
        <v>794.50274539999998</v>
      </c>
      <c r="N3" s="46">
        <f t="shared" si="8"/>
        <v>795.51002000000005</v>
      </c>
      <c r="O3" s="46">
        <f t="shared" si="9"/>
        <v>777.49890000000005</v>
      </c>
      <c r="P3" s="46">
        <f t="shared" si="10"/>
        <v>812.53656539999997</v>
      </c>
      <c r="Q3" s="46">
        <f t="shared" si="11"/>
        <v>817.49196540000003</v>
      </c>
      <c r="R3" s="46">
        <f t="shared" si="12"/>
        <v>833.4659054</v>
      </c>
      <c r="S3" s="46">
        <f t="shared" si="13"/>
        <v>801.51820540000006</v>
      </c>
      <c r="T3" s="46">
        <f t="shared" si="14"/>
        <v>793.49547079999991</v>
      </c>
      <c r="U3" s="46">
        <f t="shared" si="15"/>
        <v>839.50096539999993</v>
      </c>
      <c r="V3" s="46">
        <f t="shared" si="16"/>
        <v>853.51661539999998</v>
      </c>
      <c r="W3" s="46">
        <f t="shared" si="17"/>
        <v>829.47104839999997</v>
      </c>
    </row>
    <row r="4" spans="1:24" x14ac:dyDescent="0.25">
      <c r="A4" s="18" t="s">
        <v>346</v>
      </c>
      <c r="B4" s="17" t="str">
        <f t="shared" si="0"/>
        <v>DGDG 26:0</v>
      </c>
      <c r="C4" s="1" t="str">
        <f t="shared" si="1"/>
        <v>26</v>
      </c>
      <c r="D4" s="1" t="str">
        <f t="shared" si="2"/>
        <v>0</v>
      </c>
      <c r="E4" s="17">
        <f t="shared" si="3"/>
        <v>41</v>
      </c>
      <c r="F4" s="17">
        <f t="shared" si="4"/>
        <v>76</v>
      </c>
      <c r="G4" s="17">
        <v>0</v>
      </c>
      <c r="H4" s="17">
        <f t="shared" si="5"/>
        <v>15</v>
      </c>
      <c r="I4" s="17">
        <v>0</v>
      </c>
      <c r="L4" s="19" t="str">
        <f t="shared" si="6"/>
        <v>C41H76O15</v>
      </c>
      <c r="M4" s="21">
        <f t="shared" si="18"/>
        <v>808.51839459999997</v>
      </c>
      <c r="N4" s="46">
        <f t="shared" si="8"/>
        <v>809.52566920000004</v>
      </c>
      <c r="O4" s="46">
        <f t="shared" si="9"/>
        <v>791.51454920000003</v>
      </c>
      <c r="P4" s="46">
        <f t="shared" si="10"/>
        <v>826.55221459999996</v>
      </c>
      <c r="Q4" s="46">
        <f t="shared" si="11"/>
        <v>831.50761460000001</v>
      </c>
      <c r="R4" s="46">
        <f t="shared" si="12"/>
        <v>847.48155459999998</v>
      </c>
      <c r="S4" s="46">
        <f t="shared" si="13"/>
        <v>815.53385460000004</v>
      </c>
      <c r="T4" s="46">
        <f t="shared" si="14"/>
        <v>807.51111999999989</v>
      </c>
      <c r="U4" s="46">
        <f t="shared" si="15"/>
        <v>853.51661459999991</v>
      </c>
      <c r="V4" s="46">
        <f t="shared" si="16"/>
        <v>867.53226459999996</v>
      </c>
      <c r="W4" s="46">
        <f t="shared" si="17"/>
        <v>843.48669759999996</v>
      </c>
    </row>
    <row r="5" spans="1:24" x14ac:dyDescent="0.25">
      <c r="A5" s="18" t="s">
        <v>347</v>
      </c>
      <c r="B5" s="17" t="str">
        <f t="shared" si="0"/>
        <v>DGDG 27:0</v>
      </c>
      <c r="C5" s="1" t="str">
        <f t="shared" si="1"/>
        <v>27</v>
      </c>
      <c r="D5" s="1" t="str">
        <f t="shared" si="2"/>
        <v>0</v>
      </c>
      <c r="E5" s="17">
        <f t="shared" si="3"/>
        <v>42</v>
      </c>
      <c r="F5" s="17">
        <f t="shared" si="4"/>
        <v>78</v>
      </c>
      <c r="G5" s="17">
        <v>0</v>
      </c>
      <c r="H5" s="17">
        <f t="shared" si="5"/>
        <v>15</v>
      </c>
      <c r="I5" s="17">
        <v>0</v>
      </c>
      <c r="L5" s="19" t="str">
        <f t="shared" si="6"/>
        <v>C42H78O15</v>
      </c>
      <c r="M5" s="21">
        <f t="shared" si="18"/>
        <v>822.53404379999995</v>
      </c>
      <c r="N5" s="46">
        <f t="shared" si="8"/>
        <v>823.54131840000002</v>
      </c>
      <c r="O5" s="46">
        <f t="shared" si="9"/>
        <v>805.53019840000002</v>
      </c>
      <c r="P5" s="46">
        <f t="shared" si="10"/>
        <v>840.56786379999994</v>
      </c>
      <c r="Q5" s="46">
        <f t="shared" si="11"/>
        <v>845.5232638</v>
      </c>
      <c r="R5" s="46">
        <f t="shared" si="12"/>
        <v>861.49720379999997</v>
      </c>
      <c r="S5" s="46">
        <f t="shared" si="13"/>
        <v>829.54950380000002</v>
      </c>
      <c r="T5" s="46">
        <f t="shared" si="14"/>
        <v>821.52676919999988</v>
      </c>
      <c r="U5" s="46">
        <f t="shared" si="15"/>
        <v>867.5322637999999</v>
      </c>
      <c r="V5" s="46">
        <f t="shared" si="16"/>
        <v>881.54791379999995</v>
      </c>
      <c r="W5" s="46">
        <f t="shared" si="17"/>
        <v>857.50234679999994</v>
      </c>
    </row>
    <row r="6" spans="1:24" x14ac:dyDescent="0.25">
      <c r="A6" s="18" t="s">
        <v>348</v>
      </c>
      <c r="B6" s="17" t="str">
        <f t="shared" si="0"/>
        <v>DGDG 28:2</v>
      </c>
      <c r="C6" s="1" t="str">
        <f t="shared" si="1"/>
        <v>28</v>
      </c>
      <c r="D6" s="1" t="str">
        <f t="shared" si="2"/>
        <v>2</v>
      </c>
      <c r="E6" s="17">
        <f t="shared" si="3"/>
        <v>43</v>
      </c>
      <c r="F6" s="17">
        <f t="shared" si="4"/>
        <v>76</v>
      </c>
      <c r="G6" s="17">
        <v>0</v>
      </c>
      <c r="H6" s="17">
        <f t="shared" si="5"/>
        <v>15</v>
      </c>
      <c r="I6" s="17">
        <v>0</v>
      </c>
      <c r="L6" s="19" t="str">
        <f t="shared" si="6"/>
        <v>C43H76O15</v>
      </c>
      <c r="M6" s="21">
        <f t="shared" si="18"/>
        <v>832.51839459999997</v>
      </c>
      <c r="N6" s="46">
        <f t="shared" si="8"/>
        <v>833.52566920000004</v>
      </c>
      <c r="O6" s="46">
        <f t="shared" si="9"/>
        <v>815.51454920000003</v>
      </c>
      <c r="P6" s="46">
        <f t="shared" si="10"/>
        <v>850.55221459999996</v>
      </c>
      <c r="Q6" s="46">
        <f t="shared" si="11"/>
        <v>855.50761460000001</v>
      </c>
      <c r="R6" s="46">
        <f t="shared" si="12"/>
        <v>871.48155459999998</v>
      </c>
      <c r="S6" s="46">
        <f t="shared" si="13"/>
        <v>839.53385460000004</v>
      </c>
      <c r="T6" s="46">
        <f t="shared" si="14"/>
        <v>831.51111999999989</v>
      </c>
      <c r="U6" s="46">
        <f t="shared" si="15"/>
        <v>877.51661459999991</v>
      </c>
      <c r="V6" s="46">
        <f t="shared" si="16"/>
        <v>891.53226459999996</v>
      </c>
      <c r="W6" s="46">
        <f t="shared" si="17"/>
        <v>867.48669759999996</v>
      </c>
    </row>
    <row r="7" spans="1:24" x14ac:dyDescent="0.25">
      <c r="A7" s="18" t="s">
        <v>349</v>
      </c>
      <c r="B7" s="17" t="str">
        <f t="shared" si="0"/>
        <v>DGDG 28:1</v>
      </c>
      <c r="C7" s="1" t="str">
        <f t="shared" si="1"/>
        <v>28</v>
      </c>
      <c r="D7" s="1" t="str">
        <f t="shared" si="2"/>
        <v>1</v>
      </c>
      <c r="E7" s="17">
        <f t="shared" si="3"/>
        <v>43</v>
      </c>
      <c r="F7" s="17">
        <f t="shared" si="4"/>
        <v>78</v>
      </c>
      <c r="G7" s="17">
        <v>0</v>
      </c>
      <c r="H7" s="17">
        <f t="shared" si="5"/>
        <v>15</v>
      </c>
      <c r="I7" s="17">
        <v>0</v>
      </c>
      <c r="L7" s="19" t="str">
        <f t="shared" si="6"/>
        <v>C43H78O15</v>
      </c>
      <c r="M7" s="21">
        <f t="shared" si="18"/>
        <v>834.53404379999995</v>
      </c>
      <c r="N7" s="46">
        <f t="shared" si="8"/>
        <v>835.54131840000002</v>
      </c>
      <c r="O7" s="46">
        <f t="shared" si="9"/>
        <v>817.53019840000002</v>
      </c>
      <c r="P7" s="46">
        <f t="shared" si="10"/>
        <v>852.56786379999994</v>
      </c>
      <c r="Q7" s="46">
        <f t="shared" si="11"/>
        <v>857.5232638</v>
      </c>
      <c r="R7" s="46">
        <f t="shared" si="12"/>
        <v>873.49720379999997</v>
      </c>
      <c r="S7" s="46">
        <f t="shared" si="13"/>
        <v>841.54950380000002</v>
      </c>
      <c r="T7" s="46">
        <f t="shared" si="14"/>
        <v>833.52676919999988</v>
      </c>
      <c r="U7" s="46">
        <f t="shared" si="15"/>
        <v>879.5322637999999</v>
      </c>
      <c r="V7" s="46">
        <f t="shared" si="16"/>
        <v>893.54791379999995</v>
      </c>
      <c r="W7" s="46">
        <f t="shared" si="17"/>
        <v>869.50234679999994</v>
      </c>
    </row>
    <row r="8" spans="1:24" x14ac:dyDescent="0.25">
      <c r="A8" s="18" t="s">
        <v>350</v>
      </c>
      <c r="B8" s="17" t="str">
        <f t="shared" si="0"/>
        <v>DGDG 28:0</v>
      </c>
      <c r="C8" s="1" t="str">
        <f t="shared" si="1"/>
        <v>28</v>
      </c>
      <c r="D8" s="1" t="str">
        <f t="shared" si="2"/>
        <v>0</v>
      </c>
      <c r="E8" s="17">
        <f t="shared" si="3"/>
        <v>43</v>
      </c>
      <c r="F8" s="17">
        <f t="shared" si="4"/>
        <v>80</v>
      </c>
      <c r="G8" s="17">
        <v>0</v>
      </c>
      <c r="H8" s="17">
        <f t="shared" si="5"/>
        <v>15</v>
      </c>
      <c r="I8" s="17">
        <v>0</v>
      </c>
      <c r="L8" s="19" t="str">
        <f t="shared" si="6"/>
        <v>C43H80O15</v>
      </c>
      <c r="M8" s="21">
        <f t="shared" si="18"/>
        <v>836.54969300000005</v>
      </c>
      <c r="N8" s="46">
        <f t="shared" si="8"/>
        <v>837.55696760000012</v>
      </c>
      <c r="O8" s="46">
        <f t="shared" si="9"/>
        <v>819.54584760000012</v>
      </c>
      <c r="P8" s="46">
        <f t="shared" si="10"/>
        <v>854.58351300000004</v>
      </c>
      <c r="Q8" s="46">
        <f t="shared" si="11"/>
        <v>859.53891300000009</v>
      </c>
      <c r="R8" s="46">
        <f t="shared" si="12"/>
        <v>875.51285300000006</v>
      </c>
      <c r="S8" s="46">
        <f t="shared" si="13"/>
        <v>843.56515300000012</v>
      </c>
      <c r="T8" s="46">
        <f t="shared" si="14"/>
        <v>835.54241839999997</v>
      </c>
      <c r="U8" s="46">
        <f t="shared" si="15"/>
        <v>881.54791299999999</v>
      </c>
      <c r="V8" s="46">
        <f t="shared" si="16"/>
        <v>895.56356300000004</v>
      </c>
      <c r="W8" s="46">
        <f t="shared" si="17"/>
        <v>871.51799600000004</v>
      </c>
    </row>
    <row r="9" spans="1:24" x14ac:dyDescent="0.25">
      <c r="A9" s="18" t="s">
        <v>351</v>
      </c>
      <c r="B9" s="17" t="str">
        <f t="shared" si="0"/>
        <v>DGDG 29:2</v>
      </c>
      <c r="C9" s="1" t="str">
        <f t="shared" si="1"/>
        <v>29</v>
      </c>
      <c r="D9" s="1" t="str">
        <f t="shared" si="2"/>
        <v>2</v>
      </c>
      <c r="E9" s="17">
        <f t="shared" si="3"/>
        <v>44</v>
      </c>
      <c r="F9" s="17">
        <f t="shared" si="4"/>
        <v>78</v>
      </c>
      <c r="G9" s="17">
        <v>0</v>
      </c>
      <c r="H9" s="17">
        <f t="shared" si="5"/>
        <v>15</v>
      </c>
      <c r="I9" s="17">
        <v>0</v>
      </c>
      <c r="L9" s="19" t="str">
        <f t="shared" si="6"/>
        <v>C44H78O15</v>
      </c>
      <c r="M9" s="21">
        <f t="shared" si="18"/>
        <v>846.53404379999995</v>
      </c>
      <c r="N9" s="46">
        <f t="shared" si="8"/>
        <v>847.54131840000002</v>
      </c>
      <c r="O9" s="46">
        <f t="shared" si="9"/>
        <v>829.53019840000002</v>
      </c>
      <c r="P9" s="46">
        <f t="shared" si="10"/>
        <v>864.56786379999994</v>
      </c>
      <c r="Q9" s="46">
        <f t="shared" si="11"/>
        <v>869.5232638</v>
      </c>
      <c r="R9" s="46">
        <f t="shared" si="12"/>
        <v>885.49720379999997</v>
      </c>
      <c r="S9" s="46">
        <f t="shared" si="13"/>
        <v>853.54950380000002</v>
      </c>
      <c r="T9" s="46">
        <f t="shared" si="14"/>
        <v>845.52676919999988</v>
      </c>
      <c r="U9" s="46">
        <f t="shared" si="15"/>
        <v>891.5322637999999</v>
      </c>
      <c r="V9" s="46">
        <f t="shared" si="16"/>
        <v>905.54791379999995</v>
      </c>
      <c r="W9" s="46">
        <f t="shared" si="17"/>
        <v>881.50234679999994</v>
      </c>
    </row>
    <row r="10" spans="1:24" x14ac:dyDescent="0.25">
      <c r="A10" s="18" t="s">
        <v>352</v>
      </c>
      <c r="B10" s="17" t="str">
        <f t="shared" si="0"/>
        <v>DGDG 29:1</v>
      </c>
      <c r="C10" s="1" t="str">
        <f t="shared" si="1"/>
        <v>29</v>
      </c>
      <c r="D10" s="1" t="str">
        <f t="shared" si="2"/>
        <v>1</v>
      </c>
      <c r="E10" s="17">
        <f t="shared" si="3"/>
        <v>44</v>
      </c>
      <c r="F10" s="17">
        <f t="shared" si="4"/>
        <v>80</v>
      </c>
      <c r="G10" s="17">
        <v>0</v>
      </c>
      <c r="H10" s="17">
        <f t="shared" si="5"/>
        <v>15</v>
      </c>
      <c r="I10" s="17">
        <v>0</v>
      </c>
      <c r="L10" s="19" t="str">
        <f t="shared" si="6"/>
        <v>C44H80O15</v>
      </c>
      <c r="M10" s="21">
        <f t="shared" si="18"/>
        <v>848.54969300000005</v>
      </c>
      <c r="N10" s="46">
        <f t="shared" si="8"/>
        <v>849.55696760000012</v>
      </c>
      <c r="O10" s="46">
        <f t="shared" si="9"/>
        <v>831.54584760000012</v>
      </c>
      <c r="P10" s="46">
        <f t="shared" si="10"/>
        <v>866.58351300000004</v>
      </c>
      <c r="Q10" s="46">
        <f t="shared" si="11"/>
        <v>871.53891300000009</v>
      </c>
      <c r="R10" s="46">
        <f t="shared" si="12"/>
        <v>887.51285300000006</v>
      </c>
      <c r="S10" s="46">
        <f t="shared" si="13"/>
        <v>855.56515300000012</v>
      </c>
      <c r="T10" s="46">
        <f t="shared" si="14"/>
        <v>847.54241839999997</v>
      </c>
      <c r="U10" s="46">
        <f t="shared" si="15"/>
        <v>893.54791299999999</v>
      </c>
      <c r="V10" s="46">
        <f t="shared" si="16"/>
        <v>907.56356300000004</v>
      </c>
      <c r="W10" s="46">
        <f t="shared" si="17"/>
        <v>883.51799600000004</v>
      </c>
    </row>
    <row r="11" spans="1:24" x14ac:dyDescent="0.25">
      <c r="A11" s="18" t="s">
        <v>353</v>
      </c>
      <c r="B11" s="17" t="str">
        <f t="shared" si="0"/>
        <v>DGDG 29:0</v>
      </c>
      <c r="C11" s="1" t="str">
        <f t="shared" si="1"/>
        <v>29</v>
      </c>
      <c r="D11" s="1" t="str">
        <f t="shared" si="2"/>
        <v>0</v>
      </c>
      <c r="E11" s="17">
        <f t="shared" si="3"/>
        <v>44</v>
      </c>
      <c r="F11" s="17">
        <f t="shared" si="4"/>
        <v>82</v>
      </c>
      <c r="G11" s="17">
        <v>0</v>
      </c>
      <c r="H11" s="17">
        <f t="shared" si="5"/>
        <v>15</v>
      </c>
      <c r="I11" s="17">
        <v>0</v>
      </c>
      <c r="L11" s="19" t="str">
        <f t="shared" si="6"/>
        <v>C44H82O15</v>
      </c>
      <c r="M11" s="21">
        <f t="shared" si="18"/>
        <v>850.56534220000003</v>
      </c>
      <c r="N11" s="46">
        <f t="shared" si="8"/>
        <v>851.57261680000011</v>
      </c>
      <c r="O11" s="46">
        <f t="shared" si="9"/>
        <v>833.5614968000001</v>
      </c>
      <c r="P11" s="46">
        <f t="shared" si="10"/>
        <v>868.59916220000002</v>
      </c>
      <c r="Q11" s="46">
        <f t="shared" si="11"/>
        <v>873.55456220000008</v>
      </c>
      <c r="R11" s="46">
        <f t="shared" si="12"/>
        <v>889.52850220000005</v>
      </c>
      <c r="S11" s="46">
        <f t="shared" si="13"/>
        <v>857.58080220000011</v>
      </c>
      <c r="T11" s="46">
        <f t="shared" si="14"/>
        <v>849.55806759999996</v>
      </c>
      <c r="U11" s="46">
        <f t="shared" si="15"/>
        <v>895.56356219999998</v>
      </c>
      <c r="V11" s="46">
        <f t="shared" si="16"/>
        <v>909.57921220000003</v>
      </c>
      <c r="W11" s="46">
        <f t="shared" si="17"/>
        <v>885.53364520000002</v>
      </c>
    </row>
    <row r="12" spans="1:24" x14ac:dyDescent="0.25">
      <c r="A12" s="18" t="s">
        <v>354</v>
      </c>
      <c r="B12" s="17" t="str">
        <f t="shared" si="0"/>
        <v>DGDG 30:2</v>
      </c>
      <c r="C12" s="1" t="str">
        <f t="shared" si="1"/>
        <v>30</v>
      </c>
      <c r="D12" s="1" t="str">
        <f t="shared" si="2"/>
        <v>2</v>
      </c>
      <c r="E12" s="17">
        <f t="shared" si="3"/>
        <v>45</v>
      </c>
      <c r="F12" s="17">
        <f t="shared" si="4"/>
        <v>80</v>
      </c>
      <c r="G12" s="17">
        <v>0</v>
      </c>
      <c r="H12" s="17">
        <f t="shared" si="5"/>
        <v>15</v>
      </c>
      <c r="I12" s="17">
        <v>0</v>
      </c>
      <c r="L12" s="19" t="str">
        <f t="shared" si="6"/>
        <v>C45H80O15</v>
      </c>
      <c r="M12" s="21">
        <f t="shared" si="18"/>
        <v>860.54969300000005</v>
      </c>
      <c r="N12" s="46">
        <f t="shared" si="8"/>
        <v>861.55696760000012</v>
      </c>
      <c r="O12" s="46">
        <f t="shared" si="9"/>
        <v>843.54584760000012</v>
      </c>
      <c r="P12" s="46">
        <f t="shared" si="10"/>
        <v>878.58351300000004</v>
      </c>
      <c r="Q12" s="46">
        <f t="shared" si="11"/>
        <v>883.53891300000009</v>
      </c>
      <c r="R12" s="46">
        <f t="shared" si="12"/>
        <v>899.51285300000006</v>
      </c>
      <c r="S12" s="46">
        <f t="shared" si="13"/>
        <v>867.56515300000012</v>
      </c>
      <c r="T12" s="46">
        <f t="shared" si="14"/>
        <v>859.54241839999997</v>
      </c>
      <c r="U12" s="46">
        <f t="shared" si="15"/>
        <v>905.54791299999999</v>
      </c>
      <c r="V12" s="46">
        <f t="shared" si="16"/>
        <v>919.56356300000004</v>
      </c>
      <c r="W12" s="46">
        <f t="shared" si="17"/>
        <v>895.51799600000004</v>
      </c>
    </row>
    <row r="13" spans="1:24" x14ac:dyDescent="0.25">
      <c r="A13" s="18" t="s">
        <v>355</v>
      </c>
      <c r="B13" s="17" t="str">
        <f t="shared" si="0"/>
        <v>DGDG 30:1</v>
      </c>
      <c r="C13" s="1" t="str">
        <f t="shared" si="1"/>
        <v>30</v>
      </c>
      <c r="D13" s="1" t="str">
        <f t="shared" si="2"/>
        <v>1</v>
      </c>
      <c r="E13" s="17">
        <f t="shared" si="3"/>
        <v>45</v>
      </c>
      <c r="F13" s="17">
        <f t="shared" si="4"/>
        <v>82</v>
      </c>
      <c r="G13" s="17">
        <v>0</v>
      </c>
      <c r="H13" s="17">
        <f t="shared" si="5"/>
        <v>15</v>
      </c>
      <c r="I13" s="17">
        <v>0</v>
      </c>
      <c r="L13" s="19" t="str">
        <f t="shared" si="6"/>
        <v>C45H82O15</v>
      </c>
      <c r="M13" s="21">
        <f t="shared" si="18"/>
        <v>862.56534220000003</v>
      </c>
      <c r="N13" s="46">
        <f t="shared" si="8"/>
        <v>863.57261680000011</v>
      </c>
      <c r="O13" s="46">
        <f t="shared" si="9"/>
        <v>845.5614968000001</v>
      </c>
      <c r="P13" s="46">
        <f t="shared" si="10"/>
        <v>880.59916220000002</v>
      </c>
      <c r="Q13" s="46">
        <f t="shared" si="11"/>
        <v>885.55456220000008</v>
      </c>
      <c r="R13" s="46">
        <f t="shared" si="12"/>
        <v>901.52850220000005</v>
      </c>
      <c r="S13" s="46">
        <f t="shared" si="13"/>
        <v>869.58080220000011</v>
      </c>
      <c r="T13" s="46">
        <f t="shared" si="14"/>
        <v>861.55806759999996</v>
      </c>
      <c r="U13" s="46">
        <f t="shared" si="15"/>
        <v>907.56356219999998</v>
      </c>
      <c r="V13" s="46">
        <f t="shared" si="16"/>
        <v>921.57921220000003</v>
      </c>
      <c r="W13" s="46">
        <f t="shared" si="17"/>
        <v>897.53364520000002</v>
      </c>
    </row>
    <row r="14" spans="1:24" x14ac:dyDescent="0.25">
      <c r="A14" s="18" t="s">
        <v>356</v>
      </c>
      <c r="B14" s="17" t="str">
        <f t="shared" si="0"/>
        <v>DGDG 30:0</v>
      </c>
      <c r="C14" s="1" t="str">
        <f t="shared" si="1"/>
        <v>30</v>
      </c>
      <c r="D14" s="1" t="str">
        <f t="shared" si="2"/>
        <v>0</v>
      </c>
      <c r="E14" s="17">
        <f t="shared" si="3"/>
        <v>45</v>
      </c>
      <c r="F14" s="17">
        <f t="shared" si="4"/>
        <v>84</v>
      </c>
      <c r="G14" s="17">
        <v>0</v>
      </c>
      <c r="H14" s="17">
        <f t="shared" si="5"/>
        <v>15</v>
      </c>
      <c r="I14" s="17">
        <v>0</v>
      </c>
      <c r="L14" s="19" t="str">
        <f t="shared" si="6"/>
        <v>C45H84O15</v>
      </c>
      <c r="M14" s="21">
        <f t="shared" si="18"/>
        <v>864.58099140000002</v>
      </c>
      <c r="N14" s="46">
        <f t="shared" si="8"/>
        <v>865.58826600000009</v>
      </c>
      <c r="O14" s="46">
        <f t="shared" si="9"/>
        <v>847.57714600000008</v>
      </c>
      <c r="P14" s="46">
        <f t="shared" si="10"/>
        <v>882.61481140000001</v>
      </c>
      <c r="Q14" s="46">
        <f t="shared" si="11"/>
        <v>887.57021140000006</v>
      </c>
      <c r="R14" s="46">
        <f t="shared" si="12"/>
        <v>903.54415140000003</v>
      </c>
      <c r="S14" s="46">
        <f t="shared" si="13"/>
        <v>871.59645140000009</v>
      </c>
      <c r="T14" s="46">
        <f t="shared" si="14"/>
        <v>863.57371679999994</v>
      </c>
      <c r="U14" s="46">
        <f t="shared" si="15"/>
        <v>909.57921139999996</v>
      </c>
      <c r="V14" s="46">
        <f t="shared" si="16"/>
        <v>923.59486140000001</v>
      </c>
      <c r="W14" s="46">
        <f t="shared" si="17"/>
        <v>899.54929440000001</v>
      </c>
    </row>
    <row r="15" spans="1:24" x14ac:dyDescent="0.25">
      <c r="A15" s="18" t="s">
        <v>357</v>
      </c>
      <c r="B15" s="17" t="str">
        <f t="shared" si="0"/>
        <v>DGDG 31:3</v>
      </c>
      <c r="C15" s="1" t="str">
        <f t="shared" si="1"/>
        <v>31</v>
      </c>
      <c r="D15" s="1" t="str">
        <f t="shared" si="2"/>
        <v>3</v>
      </c>
      <c r="E15" s="17">
        <f t="shared" si="3"/>
        <v>46</v>
      </c>
      <c r="F15" s="17">
        <f t="shared" si="4"/>
        <v>80</v>
      </c>
      <c r="G15" s="17">
        <v>0</v>
      </c>
      <c r="H15" s="17">
        <f t="shared" si="5"/>
        <v>15</v>
      </c>
      <c r="I15" s="17">
        <v>0</v>
      </c>
      <c r="L15" s="19" t="str">
        <f t="shared" si="6"/>
        <v>C46H80O15</v>
      </c>
      <c r="M15" s="21">
        <f t="shared" si="18"/>
        <v>872.54969300000005</v>
      </c>
      <c r="N15" s="46">
        <f t="shared" si="8"/>
        <v>873.55696760000012</v>
      </c>
      <c r="O15" s="46">
        <f t="shared" si="9"/>
        <v>855.54584760000012</v>
      </c>
      <c r="P15" s="46">
        <f t="shared" si="10"/>
        <v>890.58351300000004</v>
      </c>
      <c r="Q15" s="46">
        <f t="shared" si="11"/>
        <v>895.53891300000009</v>
      </c>
      <c r="R15" s="46">
        <f t="shared" si="12"/>
        <v>911.51285300000006</v>
      </c>
      <c r="S15" s="46">
        <f t="shared" si="13"/>
        <v>879.56515300000012</v>
      </c>
      <c r="T15" s="46">
        <f t="shared" si="14"/>
        <v>871.54241839999997</v>
      </c>
      <c r="U15" s="46">
        <f t="shared" si="15"/>
        <v>917.54791299999999</v>
      </c>
      <c r="V15" s="46">
        <f t="shared" si="16"/>
        <v>931.56356300000004</v>
      </c>
      <c r="W15" s="46">
        <f t="shared" si="17"/>
        <v>907.51799600000004</v>
      </c>
    </row>
    <row r="16" spans="1:24" x14ac:dyDescent="0.25">
      <c r="A16" s="18" t="s">
        <v>358</v>
      </c>
      <c r="B16" s="17" t="str">
        <f t="shared" si="0"/>
        <v>DGDG 31:2</v>
      </c>
      <c r="C16" s="1" t="str">
        <f t="shared" si="1"/>
        <v>31</v>
      </c>
      <c r="D16" s="1" t="str">
        <f t="shared" si="2"/>
        <v>2</v>
      </c>
      <c r="E16" s="17">
        <f t="shared" si="3"/>
        <v>46</v>
      </c>
      <c r="F16" s="17">
        <f t="shared" si="4"/>
        <v>82</v>
      </c>
      <c r="G16" s="17">
        <v>0</v>
      </c>
      <c r="H16" s="17">
        <f t="shared" si="5"/>
        <v>15</v>
      </c>
      <c r="I16" s="17">
        <v>0</v>
      </c>
      <c r="L16" s="19" t="str">
        <f t="shared" si="6"/>
        <v>C46H82O15</v>
      </c>
      <c r="M16" s="21">
        <f t="shared" si="18"/>
        <v>874.56534220000003</v>
      </c>
      <c r="N16" s="46">
        <f t="shared" si="8"/>
        <v>875.57261680000011</v>
      </c>
      <c r="O16" s="46">
        <f t="shared" si="9"/>
        <v>857.5614968000001</v>
      </c>
      <c r="P16" s="46">
        <f t="shared" si="10"/>
        <v>892.59916220000002</v>
      </c>
      <c r="Q16" s="46">
        <f t="shared" si="11"/>
        <v>897.55456220000008</v>
      </c>
      <c r="R16" s="46">
        <f t="shared" si="12"/>
        <v>913.52850220000005</v>
      </c>
      <c r="S16" s="46">
        <f t="shared" si="13"/>
        <v>881.58080220000011</v>
      </c>
      <c r="T16" s="46">
        <f t="shared" si="14"/>
        <v>873.55806759999996</v>
      </c>
      <c r="U16" s="46">
        <f t="shared" si="15"/>
        <v>919.56356219999998</v>
      </c>
      <c r="V16" s="46">
        <f t="shared" si="16"/>
        <v>933.57921220000003</v>
      </c>
      <c r="W16" s="46">
        <f t="shared" si="17"/>
        <v>909.53364520000002</v>
      </c>
    </row>
    <row r="17" spans="1:23" x14ac:dyDescent="0.25">
      <c r="A17" s="18" t="s">
        <v>359</v>
      </c>
      <c r="B17" s="17" t="str">
        <f t="shared" si="0"/>
        <v>DGDG 31:1</v>
      </c>
      <c r="C17" s="1" t="str">
        <f t="shared" si="1"/>
        <v>31</v>
      </c>
      <c r="D17" s="1" t="str">
        <f t="shared" si="2"/>
        <v>1</v>
      </c>
      <c r="E17" s="17">
        <f t="shared" si="3"/>
        <v>46</v>
      </c>
      <c r="F17" s="17">
        <f t="shared" si="4"/>
        <v>84</v>
      </c>
      <c r="G17" s="17">
        <v>0</v>
      </c>
      <c r="H17" s="17">
        <f t="shared" si="5"/>
        <v>15</v>
      </c>
      <c r="I17" s="17">
        <v>0</v>
      </c>
      <c r="L17" s="19" t="str">
        <f t="shared" si="6"/>
        <v>C46H84O15</v>
      </c>
      <c r="M17" s="21">
        <f t="shared" si="18"/>
        <v>876.58099140000002</v>
      </c>
      <c r="N17" s="46">
        <f t="shared" si="8"/>
        <v>877.58826600000009</v>
      </c>
      <c r="O17" s="46">
        <f t="shared" si="9"/>
        <v>859.57714600000008</v>
      </c>
      <c r="P17" s="46">
        <f t="shared" si="10"/>
        <v>894.61481140000001</v>
      </c>
      <c r="Q17" s="46">
        <f t="shared" si="11"/>
        <v>899.57021140000006</v>
      </c>
      <c r="R17" s="46">
        <f t="shared" si="12"/>
        <v>915.54415140000003</v>
      </c>
      <c r="S17" s="46">
        <f t="shared" si="13"/>
        <v>883.59645140000009</v>
      </c>
      <c r="T17" s="46">
        <f t="shared" si="14"/>
        <v>875.57371679999994</v>
      </c>
      <c r="U17" s="46">
        <f t="shared" si="15"/>
        <v>921.57921139999996</v>
      </c>
      <c r="V17" s="46">
        <f t="shared" si="16"/>
        <v>935.59486140000001</v>
      </c>
      <c r="W17" s="46">
        <f t="shared" si="17"/>
        <v>911.54929440000001</v>
      </c>
    </row>
    <row r="18" spans="1:23" x14ac:dyDescent="0.25">
      <c r="A18" s="18" t="s">
        <v>360</v>
      </c>
      <c r="B18" s="17" t="str">
        <f t="shared" si="0"/>
        <v>DGDG 31:0</v>
      </c>
      <c r="C18" s="1" t="str">
        <f t="shared" si="1"/>
        <v>31</v>
      </c>
      <c r="D18" s="1" t="str">
        <f t="shared" si="2"/>
        <v>0</v>
      </c>
      <c r="E18" s="17">
        <f t="shared" si="3"/>
        <v>46</v>
      </c>
      <c r="F18" s="17">
        <f t="shared" si="4"/>
        <v>86</v>
      </c>
      <c r="G18" s="17">
        <v>0</v>
      </c>
      <c r="H18" s="17">
        <f t="shared" si="5"/>
        <v>15</v>
      </c>
      <c r="I18" s="17">
        <v>0</v>
      </c>
      <c r="L18" s="19" t="str">
        <f t="shared" si="6"/>
        <v>C46H86O15</v>
      </c>
      <c r="M18" s="21">
        <f t="shared" si="18"/>
        <v>878.5966406</v>
      </c>
      <c r="N18" s="46">
        <f t="shared" si="8"/>
        <v>879.60391520000007</v>
      </c>
      <c r="O18" s="46">
        <f t="shared" si="9"/>
        <v>861.59279520000007</v>
      </c>
      <c r="P18" s="46">
        <f t="shared" si="10"/>
        <v>896.63046059999999</v>
      </c>
      <c r="Q18" s="46">
        <f t="shared" si="11"/>
        <v>901.58586060000005</v>
      </c>
      <c r="R18" s="46">
        <f t="shared" si="12"/>
        <v>917.55980060000002</v>
      </c>
      <c r="S18" s="46">
        <f t="shared" si="13"/>
        <v>885.61210060000008</v>
      </c>
      <c r="T18" s="46">
        <f t="shared" si="14"/>
        <v>877.58936599999993</v>
      </c>
      <c r="U18" s="46">
        <f t="shared" si="15"/>
        <v>923.59486059999995</v>
      </c>
      <c r="V18" s="46">
        <f t="shared" si="16"/>
        <v>937.6105106</v>
      </c>
      <c r="W18" s="46">
        <f t="shared" si="17"/>
        <v>913.56494359999999</v>
      </c>
    </row>
    <row r="19" spans="1:23" x14ac:dyDescent="0.25">
      <c r="A19" s="18" t="s">
        <v>361</v>
      </c>
      <c r="B19" s="17" t="str">
        <f t="shared" si="0"/>
        <v>DGDG 32:2</v>
      </c>
      <c r="C19" s="1" t="str">
        <f t="shared" si="1"/>
        <v>32</v>
      </c>
      <c r="D19" s="1" t="str">
        <f t="shared" si="2"/>
        <v>2</v>
      </c>
      <c r="E19" s="17">
        <f t="shared" si="3"/>
        <v>47</v>
      </c>
      <c r="F19" s="17">
        <f t="shared" si="4"/>
        <v>84</v>
      </c>
      <c r="G19" s="17">
        <v>0</v>
      </c>
      <c r="H19" s="17">
        <f t="shared" si="5"/>
        <v>15</v>
      </c>
      <c r="I19" s="17">
        <v>0</v>
      </c>
      <c r="L19" s="19" t="str">
        <f t="shared" si="6"/>
        <v>C47H84O15</v>
      </c>
      <c r="M19" s="21">
        <f t="shared" si="18"/>
        <v>888.58099140000002</v>
      </c>
      <c r="N19" s="46">
        <f t="shared" si="8"/>
        <v>889.58826600000009</v>
      </c>
      <c r="O19" s="46">
        <f t="shared" si="9"/>
        <v>871.57714600000008</v>
      </c>
      <c r="P19" s="46">
        <f t="shared" si="10"/>
        <v>906.61481140000001</v>
      </c>
      <c r="Q19" s="46">
        <f t="shared" si="11"/>
        <v>911.57021140000006</v>
      </c>
      <c r="R19" s="46">
        <f t="shared" si="12"/>
        <v>927.54415140000003</v>
      </c>
      <c r="S19" s="46">
        <f t="shared" si="13"/>
        <v>895.59645140000009</v>
      </c>
      <c r="T19" s="46">
        <f t="shared" si="14"/>
        <v>887.57371679999994</v>
      </c>
      <c r="U19" s="46">
        <f t="shared" si="15"/>
        <v>933.57921139999996</v>
      </c>
      <c r="V19" s="46">
        <f t="shared" si="16"/>
        <v>947.59486140000001</v>
      </c>
      <c r="W19" s="46">
        <f t="shared" si="17"/>
        <v>923.54929440000001</v>
      </c>
    </row>
    <row r="20" spans="1:23" x14ac:dyDescent="0.25">
      <c r="A20" s="18" t="s">
        <v>362</v>
      </c>
      <c r="B20" s="17" t="str">
        <f t="shared" si="0"/>
        <v>DGDG 32:1</v>
      </c>
      <c r="C20" s="1" t="str">
        <f t="shared" si="1"/>
        <v>32</v>
      </c>
      <c r="D20" s="1" t="str">
        <f t="shared" si="2"/>
        <v>1</v>
      </c>
      <c r="E20" s="17">
        <f t="shared" si="3"/>
        <v>47</v>
      </c>
      <c r="F20" s="17">
        <f t="shared" si="4"/>
        <v>86</v>
      </c>
      <c r="G20" s="17">
        <v>0</v>
      </c>
      <c r="H20" s="17">
        <f t="shared" si="5"/>
        <v>15</v>
      </c>
      <c r="I20" s="17">
        <v>0</v>
      </c>
      <c r="L20" s="19" t="str">
        <f t="shared" si="6"/>
        <v>C47H86O15</v>
      </c>
      <c r="M20" s="21">
        <f t="shared" si="18"/>
        <v>890.5966406</v>
      </c>
      <c r="N20" s="46">
        <f t="shared" si="8"/>
        <v>891.60391520000007</v>
      </c>
      <c r="O20" s="46">
        <f t="shared" si="9"/>
        <v>873.59279520000007</v>
      </c>
      <c r="P20" s="46">
        <f t="shared" si="10"/>
        <v>908.63046059999999</v>
      </c>
      <c r="Q20" s="46">
        <f t="shared" si="11"/>
        <v>913.58586060000005</v>
      </c>
      <c r="R20" s="46">
        <f t="shared" si="12"/>
        <v>929.55980060000002</v>
      </c>
      <c r="S20" s="46">
        <f t="shared" si="13"/>
        <v>897.61210060000008</v>
      </c>
      <c r="T20" s="46">
        <f t="shared" si="14"/>
        <v>889.58936599999993</v>
      </c>
      <c r="U20" s="46">
        <f t="shared" si="15"/>
        <v>935.59486059999995</v>
      </c>
      <c r="V20" s="46">
        <f t="shared" si="16"/>
        <v>949.6105106</v>
      </c>
      <c r="W20" s="46">
        <f t="shared" si="17"/>
        <v>925.56494359999999</v>
      </c>
    </row>
    <row r="21" spans="1:23" x14ac:dyDescent="0.25">
      <c r="A21" s="18" t="s">
        <v>363</v>
      </c>
      <c r="B21" s="17" t="str">
        <f t="shared" si="0"/>
        <v>DGDG 32:0</v>
      </c>
      <c r="C21" s="1" t="str">
        <f t="shared" si="1"/>
        <v>32</v>
      </c>
      <c r="D21" s="1" t="str">
        <f t="shared" si="2"/>
        <v>0</v>
      </c>
      <c r="E21" s="17">
        <f t="shared" si="3"/>
        <v>47</v>
      </c>
      <c r="F21" s="17">
        <f t="shared" si="4"/>
        <v>88</v>
      </c>
      <c r="G21" s="17">
        <v>0</v>
      </c>
      <c r="H21" s="17">
        <f t="shared" si="5"/>
        <v>15</v>
      </c>
      <c r="I21" s="17">
        <v>0</v>
      </c>
      <c r="L21" s="19" t="str">
        <f t="shared" si="6"/>
        <v>C47H88O15</v>
      </c>
      <c r="M21" s="21">
        <f t="shared" si="18"/>
        <v>892.61228979999999</v>
      </c>
      <c r="N21" s="46">
        <f t="shared" si="8"/>
        <v>893.61956440000006</v>
      </c>
      <c r="O21" s="46">
        <f t="shared" si="9"/>
        <v>875.60844440000005</v>
      </c>
      <c r="P21" s="46">
        <f t="shared" si="10"/>
        <v>910.64610979999998</v>
      </c>
      <c r="Q21" s="46">
        <f t="shared" si="11"/>
        <v>915.60150980000003</v>
      </c>
      <c r="R21" s="46">
        <f t="shared" si="12"/>
        <v>931.5754498</v>
      </c>
      <c r="S21" s="46">
        <f t="shared" si="13"/>
        <v>899.62774980000006</v>
      </c>
      <c r="T21" s="46">
        <f t="shared" si="14"/>
        <v>891.60501519999991</v>
      </c>
      <c r="U21" s="46">
        <f t="shared" si="15"/>
        <v>937.61050979999993</v>
      </c>
      <c r="V21" s="46">
        <f t="shared" si="16"/>
        <v>951.62615979999998</v>
      </c>
      <c r="W21" s="46">
        <f t="shared" si="17"/>
        <v>927.58059279999998</v>
      </c>
    </row>
    <row r="22" spans="1:23" x14ac:dyDescent="0.25">
      <c r="A22" s="18" t="s">
        <v>364</v>
      </c>
      <c r="B22" s="17" t="str">
        <f t="shared" si="0"/>
        <v>DGDG 33:2</v>
      </c>
      <c r="C22" s="1" t="str">
        <f t="shared" si="1"/>
        <v>33</v>
      </c>
      <c r="D22" s="1" t="str">
        <f t="shared" si="2"/>
        <v>2</v>
      </c>
      <c r="E22" s="17">
        <f t="shared" si="3"/>
        <v>48</v>
      </c>
      <c r="F22" s="17">
        <f t="shared" si="4"/>
        <v>86</v>
      </c>
      <c r="G22" s="17">
        <v>0</v>
      </c>
      <c r="H22" s="17">
        <f t="shared" si="5"/>
        <v>15</v>
      </c>
      <c r="I22" s="17">
        <v>0</v>
      </c>
      <c r="L22" s="19" t="str">
        <f t="shared" si="6"/>
        <v>C48H86O15</v>
      </c>
      <c r="M22" s="21">
        <f t="shared" si="18"/>
        <v>902.5966406</v>
      </c>
      <c r="N22" s="46">
        <f t="shared" si="8"/>
        <v>903.60391520000007</v>
      </c>
      <c r="O22" s="46">
        <f t="shared" si="9"/>
        <v>885.59279520000007</v>
      </c>
      <c r="P22" s="46">
        <f t="shared" si="10"/>
        <v>920.63046059999999</v>
      </c>
      <c r="Q22" s="46">
        <f t="shared" si="11"/>
        <v>925.58586060000005</v>
      </c>
      <c r="R22" s="46">
        <f t="shared" si="12"/>
        <v>941.55980060000002</v>
      </c>
      <c r="S22" s="46">
        <f t="shared" si="13"/>
        <v>909.61210060000008</v>
      </c>
      <c r="T22" s="46">
        <f t="shared" si="14"/>
        <v>901.58936599999993</v>
      </c>
      <c r="U22" s="46">
        <f t="shared" si="15"/>
        <v>947.59486059999995</v>
      </c>
      <c r="V22" s="46">
        <f t="shared" si="16"/>
        <v>961.6105106</v>
      </c>
      <c r="W22" s="46">
        <f t="shared" si="17"/>
        <v>937.56494359999999</v>
      </c>
    </row>
    <row r="23" spans="1:23" x14ac:dyDescent="0.25">
      <c r="A23" s="18" t="s">
        <v>365</v>
      </c>
      <c r="B23" s="17" t="str">
        <f t="shared" si="0"/>
        <v>DGDG 33:1</v>
      </c>
      <c r="C23" s="1" t="str">
        <f t="shared" si="1"/>
        <v>33</v>
      </c>
      <c r="D23" s="1" t="str">
        <f t="shared" si="2"/>
        <v>1</v>
      </c>
      <c r="E23" s="17">
        <f t="shared" si="3"/>
        <v>48</v>
      </c>
      <c r="F23" s="17">
        <f t="shared" si="4"/>
        <v>88</v>
      </c>
      <c r="G23" s="17">
        <v>0</v>
      </c>
      <c r="H23" s="17">
        <f t="shared" si="5"/>
        <v>15</v>
      </c>
      <c r="I23" s="17">
        <v>0</v>
      </c>
      <c r="L23" s="19" t="str">
        <f t="shared" si="6"/>
        <v>C48H88O15</v>
      </c>
      <c r="M23" s="21">
        <f t="shared" si="18"/>
        <v>904.61228979999999</v>
      </c>
      <c r="N23" s="46">
        <f t="shared" si="8"/>
        <v>905.61956440000006</v>
      </c>
      <c r="O23" s="46">
        <f t="shared" si="9"/>
        <v>887.60844440000005</v>
      </c>
      <c r="P23" s="46">
        <f t="shared" si="10"/>
        <v>922.64610979999998</v>
      </c>
      <c r="Q23" s="46">
        <f t="shared" si="11"/>
        <v>927.60150980000003</v>
      </c>
      <c r="R23" s="46">
        <f t="shared" si="12"/>
        <v>943.5754498</v>
      </c>
      <c r="S23" s="46">
        <f t="shared" si="13"/>
        <v>911.62774980000006</v>
      </c>
      <c r="T23" s="46">
        <f t="shared" si="14"/>
        <v>903.60501519999991</v>
      </c>
      <c r="U23" s="46">
        <f t="shared" si="15"/>
        <v>949.61050979999993</v>
      </c>
      <c r="V23" s="46">
        <f t="shared" si="16"/>
        <v>963.62615979999998</v>
      </c>
      <c r="W23" s="46">
        <f t="shared" si="17"/>
        <v>939.58059279999998</v>
      </c>
    </row>
    <row r="24" spans="1:23" x14ac:dyDescent="0.25">
      <c r="A24" s="18" t="s">
        <v>366</v>
      </c>
      <c r="B24" s="17" t="str">
        <f t="shared" si="0"/>
        <v>DGDG 33:0</v>
      </c>
      <c r="C24" s="1" t="str">
        <f t="shared" si="1"/>
        <v>33</v>
      </c>
      <c r="D24" s="1" t="str">
        <f t="shared" si="2"/>
        <v>0</v>
      </c>
      <c r="E24" s="17">
        <f t="shared" si="3"/>
        <v>48</v>
      </c>
      <c r="F24" s="17">
        <f t="shared" si="4"/>
        <v>90</v>
      </c>
      <c r="G24" s="17">
        <v>0</v>
      </c>
      <c r="H24" s="17">
        <f t="shared" si="5"/>
        <v>15</v>
      </c>
      <c r="I24" s="17">
        <v>0</v>
      </c>
      <c r="L24" s="19" t="str">
        <f t="shared" si="6"/>
        <v>C48H90O15</v>
      </c>
      <c r="M24" s="21">
        <f t="shared" si="18"/>
        <v>906.62793899999997</v>
      </c>
      <c r="N24" s="46">
        <f t="shared" si="8"/>
        <v>907.63521360000004</v>
      </c>
      <c r="O24" s="46">
        <f t="shared" si="9"/>
        <v>889.62409360000004</v>
      </c>
      <c r="P24" s="46">
        <f t="shared" si="10"/>
        <v>924.66175899999996</v>
      </c>
      <c r="Q24" s="46">
        <f t="shared" si="11"/>
        <v>929.61715900000002</v>
      </c>
      <c r="R24" s="46">
        <f t="shared" si="12"/>
        <v>945.59109899999999</v>
      </c>
      <c r="S24" s="46">
        <f t="shared" si="13"/>
        <v>913.64339900000004</v>
      </c>
      <c r="T24" s="46">
        <f t="shared" si="14"/>
        <v>905.6206643999999</v>
      </c>
      <c r="U24" s="46">
        <f t="shared" si="15"/>
        <v>951.62615899999992</v>
      </c>
      <c r="V24" s="46">
        <f t="shared" si="16"/>
        <v>965.64180899999997</v>
      </c>
      <c r="W24" s="46">
        <f t="shared" si="17"/>
        <v>941.59624199999996</v>
      </c>
    </row>
    <row r="25" spans="1:23" x14ac:dyDescent="0.25">
      <c r="A25" s="18" t="s">
        <v>367</v>
      </c>
      <c r="B25" s="17" t="str">
        <f t="shared" si="0"/>
        <v>DGDG 34:2</v>
      </c>
      <c r="C25" s="1" t="str">
        <f t="shared" si="1"/>
        <v>34</v>
      </c>
      <c r="D25" s="1" t="str">
        <f t="shared" si="2"/>
        <v>2</v>
      </c>
      <c r="E25" s="17">
        <f t="shared" si="3"/>
        <v>49</v>
      </c>
      <c r="F25" s="17">
        <f t="shared" si="4"/>
        <v>88</v>
      </c>
      <c r="G25" s="17">
        <v>0</v>
      </c>
      <c r="H25" s="17">
        <f t="shared" si="5"/>
        <v>15</v>
      </c>
      <c r="I25" s="17">
        <v>0</v>
      </c>
      <c r="L25" s="19" t="str">
        <f t="shared" si="6"/>
        <v>C49H88O15</v>
      </c>
      <c r="M25" s="21">
        <f t="shared" si="18"/>
        <v>916.61228979999999</v>
      </c>
      <c r="N25" s="46">
        <f t="shared" si="8"/>
        <v>917.61956440000006</v>
      </c>
      <c r="O25" s="46">
        <f t="shared" si="9"/>
        <v>899.60844440000005</v>
      </c>
      <c r="P25" s="46">
        <f t="shared" si="10"/>
        <v>934.64610979999998</v>
      </c>
      <c r="Q25" s="46">
        <f t="shared" si="11"/>
        <v>939.60150980000003</v>
      </c>
      <c r="R25" s="46">
        <f t="shared" si="12"/>
        <v>955.5754498</v>
      </c>
      <c r="S25" s="46">
        <f t="shared" si="13"/>
        <v>923.62774980000006</v>
      </c>
      <c r="T25" s="46">
        <f t="shared" si="14"/>
        <v>915.60501519999991</v>
      </c>
      <c r="U25" s="46">
        <f t="shared" si="15"/>
        <v>961.61050979999993</v>
      </c>
      <c r="V25" s="46">
        <f t="shared" si="16"/>
        <v>975.62615979999998</v>
      </c>
      <c r="W25" s="46">
        <f t="shared" si="17"/>
        <v>951.58059279999998</v>
      </c>
    </row>
    <row r="26" spans="1:23" x14ac:dyDescent="0.25">
      <c r="A26" s="18" t="s">
        <v>368</v>
      </c>
      <c r="B26" s="17" t="str">
        <f t="shared" si="0"/>
        <v>DGDG 34:1</v>
      </c>
      <c r="C26" s="1" t="str">
        <f t="shared" si="1"/>
        <v>34</v>
      </c>
      <c r="D26" s="1" t="str">
        <f t="shared" si="2"/>
        <v>1</v>
      </c>
      <c r="E26" s="17">
        <f t="shared" si="3"/>
        <v>49</v>
      </c>
      <c r="F26" s="17">
        <f t="shared" si="4"/>
        <v>90</v>
      </c>
      <c r="G26" s="17">
        <v>0</v>
      </c>
      <c r="H26" s="17">
        <f t="shared" si="5"/>
        <v>15</v>
      </c>
      <c r="I26" s="17">
        <v>0</v>
      </c>
      <c r="L26" s="19" t="str">
        <f t="shared" si="6"/>
        <v>C49H90O15</v>
      </c>
      <c r="M26" s="21">
        <f t="shared" si="18"/>
        <v>918.62793899999997</v>
      </c>
      <c r="N26" s="46">
        <f t="shared" si="8"/>
        <v>919.63521360000004</v>
      </c>
      <c r="O26" s="46">
        <f t="shared" si="9"/>
        <v>901.62409360000004</v>
      </c>
      <c r="P26" s="46">
        <f t="shared" si="10"/>
        <v>936.66175899999996</v>
      </c>
      <c r="Q26" s="46">
        <f t="shared" si="11"/>
        <v>941.61715900000002</v>
      </c>
      <c r="R26" s="46">
        <f t="shared" si="12"/>
        <v>957.59109899999999</v>
      </c>
      <c r="S26" s="46">
        <f t="shared" si="13"/>
        <v>925.64339900000004</v>
      </c>
      <c r="T26" s="46">
        <f t="shared" si="14"/>
        <v>917.6206643999999</v>
      </c>
      <c r="U26" s="46">
        <f t="shared" si="15"/>
        <v>963.62615899999992</v>
      </c>
      <c r="V26" s="46">
        <f t="shared" si="16"/>
        <v>977.64180899999997</v>
      </c>
      <c r="W26" s="46">
        <f>M26+34.968853-0.00055</f>
        <v>953.59624199999996</v>
      </c>
    </row>
    <row r="27" spans="1:23" x14ac:dyDescent="0.25">
      <c r="A27" s="18" t="s">
        <v>344</v>
      </c>
      <c r="B27" s="17" t="str">
        <f t="shared" si="0"/>
        <v>DGDG 34:0</v>
      </c>
      <c r="C27" s="1" t="str">
        <f t="shared" si="1"/>
        <v>34</v>
      </c>
      <c r="D27" s="1" t="str">
        <f t="shared" si="2"/>
        <v>0</v>
      </c>
      <c r="E27" s="17">
        <f t="shared" si="3"/>
        <v>49</v>
      </c>
      <c r="F27" s="17">
        <f t="shared" si="4"/>
        <v>92</v>
      </c>
      <c r="G27" s="17">
        <v>0</v>
      </c>
      <c r="H27" s="17">
        <f t="shared" si="5"/>
        <v>15</v>
      </c>
      <c r="I27" s="17">
        <v>0</v>
      </c>
      <c r="L27" s="19" t="str">
        <f t="shared" si="6"/>
        <v>C49H92O15</v>
      </c>
      <c r="M27" s="21">
        <f t="shared" si="18"/>
        <v>920.64358819999995</v>
      </c>
      <c r="N27" s="46">
        <f t="shared" si="8"/>
        <v>921.65086280000003</v>
      </c>
      <c r="O27" s="46">
        <f t="shared" si="9"/>
        <v>903.63974280000002</v>
      </c>
      <c r="P27" s="46">
        <f t="shared" si="10"/>
        <v>938.67740819999995</v>
      </c>
      <c r="Q27" s="46">
        <f t="shared" si="11"/>
        <v>943.6328082</v>
      </c>
      <c r="R27" s="46">
        <f t="shared" si="12"/>
        <v>959.60674819999997</v>
      </c>
      <c r="S27" s="46">
        <f t="shared" si="13"/>
        <v>927.65904820000003</v>
      </c>
      <c r="T27" s="46">
        <f t="shared" si="14"/>
        <v>919.63631359999988</v>
      </c>
      <c r="U27" s="46">
        <f t="shared" si="15"/>
        <v>965.6418081999999</v>
      </c>
      <c r="V27" s="46">
        <f t="shared" si="16"/>
        <v>979.65745819999995</v>
      </c>
      <c r="W27" s="46">
        <f t="shared" ref="W27:W40" si="19">M27+34.968853-0.00055</f>
        <v>955.61189119999995</v>
      </c>
    </row>
    <row r="28" spans="1:23" x14ac:dyDescent="0.25">
      <c r="A28" s="18" t="s">
        <v>369</v>
      </c>
      <c r="B28" s="17" t="str">
        <f t="shared" si="0"/>
        <v>DGDG 35:2</v>
      </c>
      <c r="C28" s="1" t="str">
        <f t="shared" si="1"/>
        <v>35</v>
      </c>
      <c r="D28" s="1" t="str">
        <f t="shared" si="2"/>
        <v>2</v>
      </c>
      <c r="E28" s="17">
        <f t="shared" si="3"/>
        <v>50</v>
      </c>
      <c r="F28" s="17">
        <f t="shared" si="4"/>
        <v>90</v>
      </c>
      <c r="G28" s="17">
        <v>0</v>
      </c>
      <c r="H28" s="17">
        <f t="shared" si="5"/>
        <v>15</v>
      </c>
      <c r="I28" s="17">
        <v>0</v>
      </c>
      <c r="L28" s="19" t="str">
        <f t="shared" si="6"/>
        <v>C50H90O15</v>
      </c>
      <c r="M28" s="21">
        <f t="shared" si="18"/>
        <v>930.62793899999997</v>
      </c>
      <c r="N28" s="46">
        <f t="shared" si="8"/>
        <v>931.63521360000004</v>
      </c>
      <c r="O28" s="46">
        <f t="shared" si="9"/>
        <v>913.62409360000004</v>
      </c>
      <c r="P28" s="46">
        <f t="shared" si="10"/>
        <v>948.66175899999996</v>
      </c>
      <c r="Q28" s="46">
        <f t="shared" si="11"/>
        <v>953.61715900000002</v>
      </c>
      <c r="R28" s="46">
        <f t="shared" si="12"/>
        <v>969.59109899999999</v>
      </c>
      <c r="S28" s="46">
        <f t="shared" si="13"/>
        <v>937.64339900000004</v>
      </c>
      <c r="T28" s="46">
        <f t="shared" si="14"/>
        <v>929.6206643999999</v>
      </c>
      <c r="U28" s="46">
        <f t="shared" si="15"/>
        <v>975.62615899999992</v>
      </c>
      <c r="V28" s="46">
        <f t="shared" si="16"/>
        <v>989.64180899999997</v>
      </c>
      <c r="W28" s="46">
        <f t="shared" si="19"/>
        <v>965.59624199999996</v>
      </c>
    </row>
    <row r="29" spans="1:23" x14ac:dyDescent="0.25">
      <c r="A29" s="18" t="s">
        <v>370</v>
      </c>
      <c r="B29" s="17" t="str">
        <f t="shared" si="0"/>
        <v>DGDG 35:1</v>
      </c>
      <c r="C29" s="1" t="str">
        <f t="shared" si="1"/>
        <v>35</v>
      </c>
      <c r="D29" s="1" t="str">
        <f t="shared" si="2"/>
        <v>1</v>
      </c>
      <c r="E29" s="17">
        <f t="shared" si="3"/>
        <v>50</v>
      </c>
      <c r="F29" s="17">
        <f t="shared" si="4"/>
        <v>92</v>
      </c>
      <c r="G29" s="17">
        <v>0</v>
      </c>
      <c r="H29" s="17">
        <f t="shared" si="5"/>
        <v>15</v>
      </c>
      <c r="I29" s="17">
        <v>0</v>
      </c>
      <c r="L29" s="19" t="str">
        <f t="shared" si="6"/>
        <v>C50H92O15</v>
      </c>
      <c r="M29" s="21">
        <f t="shared" si="18"/>
        <v>932.64358819999995</v>
      </c>
      <c r="N29" s="46">
        <f t="shared" si="8"/>
        <v>933.65086280000003</v>
      </c>
      <c r="O29" s="46">
        <f t="shared" si="9"/>
        <v>915.63974280000002</v>
      </c>
      <c r="P29" s="46">
        <f t="shared" si="10"/>
        <v>950.67740819999995</v>
      </c>
      <c r="Q29" s="46">
        <f t="shared" si="11"/>
        <v>955.6328082</v>
      </c>
      <c r="R29" s="46">
        <f t="shared" si="12"/>
        <v>971.60674819999997</v>
      </c>
      <c r="S29" s="46">
        <f t="shared" si="13"/>
        <v>939.65904820000003</v>
      </c>
      <c r="T29" s="46">
        <f t="shared" si="14"/>
        <v>931.63631359999988</v>
      </c>
      <c r="U29" s="46">
        <f t="shared" si="15"/>
        <v>977.6418081999999</v>
      </c>
      <c r="V29" s="46">
        <f t="shared" si="16"/>
        <v>991.65745819999995</v>
      </c>
      <c r="W29" s="46">
        <f t="shared" si="19"/>
        <v>967.61189119999995</v>
      </c>
    </row>
    <row r="30" spans="1:23" x14ac:dyDescent="0.25">
      <c r="A30" s="18" t="s">
        <v>371</v>
      </c>
      <c r="B30" s="17" t="str">
        <f t="shared" si="0"/>
        <v>DGDG 35:0</v>
      </c>
      <c r="C30" s="1" t="str">
        <f t="shared" si="1"/>
        <v>35</v>
      </c>
      <c r="D30" s="1" t="str">
        <f t="shared" si="2"/>
        <v>0</v>
      </c>
      <c r="E30" s="17">
        <f t="shared" si="3"/>
        <v>50</v>
      </c>
      <c r="F30" s="17">
        <f t="shared" si="4"/>
        <v>94</v>
      </c>
      <c r="G30" s="17">
        <v>0</v>
      </c>
      <c r="H30" s="17">
        <f t="shared" si="5"/>
        <v>15</v>
      </c>
      <c r="I30" s="17">
        <v>0</v>
      </c>
      <c r="L30" s="19" t="str">
        <f t="shared" si="6"/>
        <v>C50H94O15</v>
      </c>
      <c r="M30" s="21">
        <f t="shared" si="18"/>
        <v>934.65923739999994</v>
      </c>
      <c r="N30" s="46">
        <f t="shared" si="8"/>
        <v>935.66651200000001</v>
      </c>
      <c r="O30" s="46">
        <f t="shared" si="9"/>
        <v>917.65539200000001</v>
      </c>
      <c r="P30" s="46">
        <f t="shared" si="10"/>
        <v>952.69305739999993</v>
      </c>
      <c r="Q30" s="46">
        <f t="shared" si="11"/>
        <v>957.64845739999998</v>
      </c>
      <c r="R30" s="46">
        <f t="shared" si="12"/>
        <v>973.62239739999995</v>
      </c>
      <c r="S30" s="46">
        <f t="shared" si="13"/>
        <v>941.67469740000001</v>
      </c>
      <c r="T30" s="46">
        <f t="shared" si="14"/>
        <v>933.65196279999986</v>
      </c>
      <c r="U30" s="46">
        <f t="shared" si="15"/>
        <v>979.65745739999988</v>
      </c>
      <c r="V30" s="46">
        <f t="shared" si="16"/>
        <v>993.67310739999994</v>
      </c>
      <c r="W30" s="46">
        <f t="shared" si="19"/>
        <v>969.62754039999993</v>
      </c>
    </row>
    <row r="31" spans="1:23" x14ac:dyDescent="0.25">
      <c r="A31" s="18" t="s">
        <v>372</v>
      </c>
      <c r="B31" s="17" t="str">
        <f t="shared" si="0"/>
        <v>DGDG 36:2</v>
      </c>
      <c r="C31" s="1" t="str">
        <f t="shared" si="1"/>
        <v>36</v>
      </c>
      <c r="D31" s="1" t="str">
        <f t="shared" si="2"/>
        <v>2</v>
      </c>
      <c r="E31" s="17">
        <f t="shared" si="3"/>
        <v>51</v>
      </c>
      <c r="F31" s="17">
        <f t="shared" si="4"/>
        <v>92</v>
      </c>
      <c r="G31" s="17">
        <v>0</v>
      </c>
      <c r="H31" s="17">
        <f t="shared" si="5"/>
        <v>15</v>
      </c>
      <c r="I31" s="17">
        <v>0</v>
      </c>
      <c r="L31" s="19" t="str">
        <f t="shared" si="6"/>
        <v>C51H92O15</v>
      </c>
      <c r="M31" s="21">
        <f t="shared" si="18"/>
        <v>944.64358819999995</v>
      </c>
      <c r="N31" s="46">
        <f t="shared" si="8"/>
        <v>945.65086280000003</v>
      </c>
      <c r="O31" s="46">
        <f t="shared" si="9"/>
        <v>927.63974280000002</v>
      </c>
      <c r="P31" s="46">
        <f t="shared" si="10"/>
        <v>962.67740819999995</v>
      </c>
      <c r="Q31" s="46">
        <f t="shared" si="11"/>
        <v>967.6328082</v>
      </c>
      <c r="R31" s="46">
        <f t="shared" si="12"/>
        <v>983.60674819999997</v>
      </c>
      <c r="S31" s="46">
        <f t="shared" si="13"/>
        <v>951.65904820000003</v>
      </c>
      <c r="T31" s="46">
        <f t="shared" si="14"/>
        <v>943.63631359999988</v>
      </c>
      <c r="U31" s="46">
        <f t="shared" si="15"/>
        <v>989.6418081999999</v>
      </c>
      <c r="V31" s="46">
        <f t="shared" si="16"/>
        <v>1003.6574582</v>
      </c>
      <c r="W31" s="46">
        <f t="shared" si="19"/>
        <v>979.61189119999995</v>
      </c>
    </row>
    <row r="32" spans="1:23" x14ac:dyDescent="0.25">
      <c r="A32" s="18" t="s">
        <v>373</v>
      </c>
      <c r="B32" s="17" t="str">
        <f t="shared" si="0"/>
        <v>DGDG 36:1</v>
      </c>
      <c r="C32" s="1" t="str">
        <f t="shared" si="1"/>
        <v>36</v>
      </c>
      <c r="D32" s="1" t="str">
        <f t="shared" si="2"/>
        <v>1</v>
      </c>
      <c r="E32" s="17">
        <f t="shared" si="3"/>
        <v>51</v>
      </c>
      <c r="F32" s="17">
        <f t="shared" si="4"/>
        <v>94</v>
      </c>
      <c r="G32" s="17">
        <v>0</v>
      </c>
      <c r="H32" s="17">
        <f t="shared" si="5"/>
        <v>15</v>
      </c>
      <c r="I32" s="17">
        <v>0</v>
      </c>
      <c r="L32" s="19" t="str">
        <f t="shared" si="6"/>
        <v>C51H94O15</v>
      </c>
      <c r="M32" s="21">
        <f t="shared" si="18"/>
        <v>946.65923739999994</v>
      </c>
      <c r="N32" s="46">
        <f t="shared" si="8"/>
        <v>947.66651200000001</v>
      </c>
      <c r="O32" s="46">
        <f t="shared" si="9"/>
        <v>929.65539200000001</v>
      </c>
      <c r="P32" s="46">
        <f t="shared" si="10"/>
        <v>964.69305739999993</v>
      </c>
      <c r="Q32" s="46">
        <f t="shared" si="11"/>
        <v>969.64845739999998</v>
      </c>
      <c r="R32" s="46">
        <f t="shared" si="12"/>
        <v>985.62239739999995</v>
      </c>
      <c r="S32" s="46">
        <f t="shared" si="13"/>
        <v>953.67469740000001</v>
      </c>
      <c r="T32" s="46">
        <f t="shared" si="14"/>
        <v>945.65196279999986</v>
      </c>
      <c r="U32" s="46">
        <f t="shared" si="15"/>
        <v>991.65745739999988</v>
      </c>
      <c r="V32" s="46">
        <f t="shared" si="16"/>
        <v>1005.6731073999999</v>
      </c>
      <c r="W32" s="46">
        <f t="shared" si="19"/>
        <v>981.62754039999993</v>
      </c>
    </row>
    <row r="33" spans="1:23" x14ac:dyDescent="0.25">
      <c r="A33" s="18" t="s">
        <v>374</v>
      </c>
      <c r="B33" s="17" t="str">
        <f t="shared" si="0"/>
        <v>DGDG 36:0</v>
      </c>
      <c r="C33" s="1" t="str">
        <f t="shared" si="1"/>
        <v>36</v>
      </c>
      <c r="D33" s="1" t="str">
        <f t="shared" si="2"/>
        <v>0</v>
      </c>
      <c r="E33" s="17">
        <f t="shared" si="3"/>
        <v>51</v>
      </c>
      <c r="F33" s="17">
        <f t="shared" si="4"/>
        <v>96</v>
      </c>
      <c r="G33" s="17">
        <v>0</v>
      </c>
      <c r="H33" s="17">
        <f t="shared" si="5"/>
        <v>15</v>
      </c>
      <c r="I33" s="17">
        <v>0</v>
      </c>
      <c r="L33" s="19" t="str">
        <f t="shared" si="6"/>
        <v>C51H96O15</v>
      </c>
      <c r="M33" s="21">
        <f t="shared" si="18"/>
        <v>948.67488659999992</v>
      </c>
      <c r="N33" s="46">
        <f t="shared" si="8"/>
        <v>949.6821612</v>
      </c>
      <c r="O33" s="46">
        <f t="shared" si="9"/>
        <v>931.67104119999999</v>
      </c>
      <c r="P33" s="46">
        <f t="shared" si="10"/>
        <v>966.70870659999991</v>
      </c>
      <c r="Q33" s="46">
        <f t="shared" si="11"/>
        <v>971.66410659999997</v>
      </c>
      <c r="R33" s="46">
        <f t="shared" si="12"/>
        <v>987.63804659999994</v>
      </c>
      <c r="S33" s="46">
        <f t="shared" si="13"/>
        <v>955.6903466</v>
      </c>
      <c r="T33" s="46">
        <f t="shared" si="14"/>
        <v>947.66761199999985</v>
      </c>
      <c r="U33" s="46">
        <f t="shared" si="15"/>
        <v>993.67310659999987</v>
      </c>
      <c r="V33" s="46">
        <f t="shared" si="16"/>
        <v>1007.6887565999999</v>
      </c>
      <c r="W33" s="46">
        <f t="shared" si="19"/>
        <v>983.64318959999991</v>
      </c>
    </row>
    <row r="34" spans="1:23" x14ac:dyDescent="0.25">
      <c r="A34" s="18" t="s">
        <v>375</v>
      </c>
      <c r="B34" s="17" t="str">
        <f t="shared" si="0"/>
        <v>DGDG 37:2</v>
      </c>
      <c r="C34" s="1" t="str">
        <f t="shared" si="1"/>
        <v>37</v>
      </c>
      <c r="D34" s="1" t="str">
        <f t="shared" si="2"/>
        <v>2</v>
      </c>
      <c r="E34" s="17">
        <f t="shared" si="3"/>
        <v>52</v>
      </c>
      <c r="F34" s="17">
        <f t="shared" si="4"/>
        <v>94</v>
      </c>
      <c r="G34" s="17">
        <v>0</v>
      </c>
      <c r="H34" s="17">
        <f t="shared" si="5"/>
        <v>15</v>
      </c>
      <c r="I34" s="17">
        <v>0</v>
      </c>
      <c r="L34" s="19" t="str">
        <f t="shared" si="6"/>
        <v>C52H94O15</v>
      </c>
      <c r="M34" s="21">
        <f t="shared" si="18"/>
        <v>958.65923739999994</v>
      </c>
      <c r="N34" s="46">
        <f t="shared" si="8"/>
        <v>959.66651200000001</v>
      </c>
      <c r="O34" s="46">
        <f t="shared" si="9"/>
        <v>941.65539200000001</v>
      </c>
      <c r="P34" s="46">
        <f t="shared" si="10"/>
        <v>976.69305739999993</v>
      </c>
      <c r="Q34" s="46">
        <f t="shared" si="11"/>
        <v>981.64845739999998</v>
      </c>
      <c r="R34" s="46">
        <f t="shared" si="12"/>
        <v>997.62239739999995</v>
      </c>
      <c r="S34" s="46">
        <f t="shared" si="13"/>
        <v>965.67469740000001</v>
      </c>
      <c r="T34" s="46">
        <f t="shared" si="14"/>
        <v>957.65196279999986</v>
      </c>
      <c r="U34" s="46">
        <f t="shared" si="15"/>
        <v>1003.6574573999999</v>
      </c>
      <c r="V34" s="46">
        <f t="shared" si="16"/>
        <v>1017.6731073999999</v>
      </c>
      <c r="W34" s="46">
        <f t="shared" si="19"/>
        <v>993.62754039999993</v>
      </c>
    </row>
    <row r="35" spans="1:23" x14ac:dyDescent="0.25">
      <c r="A35" s="18" t="s">
        <v>376</v>
      </c>
      <c r="B35" s="17" t="str">
        <f t="shared" si="0"/>
        <v>DGDG 37:1</v>
      </c>
      <c r="C35" s="1" t="str">
        <f t="shared" si="1"/>
        <v>37</v>
      </c>
      <c r="D35" s="1" t="str">
        <f t="shared" si="2"/>
        <v>1</v>
      </c>
      <c r="E35" s="17">
        <f t="shared" si="3"/>
        <v>52</v>
      </c>
      <c r="F35" s="17">
        <f t="shared" si="4"/>
        <v>96</v>
      </c>
      <c r="G35" s="17">
        <v>0</v>
      </c>
      <c r="H35" s="17">
        <f t="shared" si="5"/>
        <v>15</v>
      </c>
      <c r="I35" s="17">
        <v>0</v>
      </c>
      <c r="L35" s="19" t="str">
        <f t="shared" si="6"/>
        <v>C52H96O15</v>
      </c>
      <c r="M35" s="21">
        <f t="shared" si="18"/>
        <v>960.67488659999992</v>
      </c>
      <c r="N35" s="46">
        <f t="shared" si="8"/>
        <v>961.6821612</v>
      </c>
      <c r="O35" s="46">
        <f t="shared" si="9"/>
        <v>943.67104119999999</v>
      </c>
      <c r="P35" s="46">
        <f t="shared" si="10"/>
        <v>978.70870659999991</v>
      </c>
      <c r="Q35" s="46">
        <f t="shared" si="11"/>
        <v>983.66410659999997</v>
      </c>
      <c r="R35" s="46">
        <f t="shared" si="12"/>
        <v>999.63804659999994</v>
      </c>
      <c r="S35" s="46">
        <f t="shared" si="13"/>
        <v>967.6903466</v>
      </c>
      <c r="T35" s="46">
        <f t="shared" si="14"/>
        <v>959.66761199999985</v>
      </c>
      <c r="U35" s="46">
        <f t="shared" si="15"/>
        <v>1005.6731065999999</v>
      </c>
      <c r="V35" s="46">
        <f t="shared" si="16"/>
        <v>1019.6887565999999</v>
      </c>
      <c r="W35" s="46">
        <f t="shared" si="19"/>
        <v>995.64318959999991</v>
      </c>
    </row>
    <row r="36" spans="1:23" x14ac:dyDescent="0.25">
      <c r="A36" s="18" t="s">
        <v>377</v>
      </c>
      <c r="B36" s="17" t="str">
        <f t="shared" si="0"/>
        <v>DGDG 37:0</v>
      </c>
      <c r="C36" s="1" t="str">
        <f t="shared" si="1"/>
        <v>37</v>
      </c>
      <c r="D36" s="1" t="str">
        <f t="shared" si="2"/>
        <v>0</v>
      </c>
      <c r="E36" s="17">
        <f t="shared" si="3"/>
        <v>52</v>
      </c>
      <c r="F36" s="17">
        <f t="shared" si="4"/>
        <v>98</v>
      </c>
      <c r="G36" s="17">
        <v>0</v>
      </c>
      <c r="H36" s="17">
        <f t="shared" si="5"/>
        <v>15</v>
      </c>
      <c r="I36" s="17">
        <v>0</v>
      </c>
      <c r="L36" s="19" t="str">
        <f t="shared" si="6"/>
        <v>C52H98O15</v>
      </c>
      <c r="M36" s="21">
        <f t="shared" si="18"/>
        <v>962.69053580000002</v>
      </c>
      <c r="N36" s="46">
        <f t="shared" si="8"/>
        <v>963.69781040000009</v>
      </c>
      <c r="O36" s="46">
        <f t="shared" si="9"/>
        <v>945.68669040000009</v>
      </c>
      <c r="P36" s="46">
        <f t="shared" si="10"/>
        <v>980.72435580000001</v>
      </c>
      <c r="Q36" s="46">
        <f t="shared" si="11"/>
        <v>985.67975580000007</v>
      </c>
      <c r="R36" s="46">
        <f t="shared" si="12"/>
        <v>1001.6536958</v>
      </c>
      <c r="S36" s="46">
        <f t="shared" si="13"/>
        <v>969.7059958000001</v>
      </c>
      <c r="T36" s="46">
        <f t="shared" si="14"/>
        <v>961.68326119999995</v>
      </c>
      <c r="U36" s="46">
        <f t="shared" si="15"/>
        <v>1007.6887558</v>
      </c>
      <c r="V36" s="46">
        <f t="shared" si="16"/>
        <v>1021.7044058</v>
      </c>
      <c r="W36" s="46">
        <f t="shared" si="19"/>
        <v>997.65883880000001</v>
      </c>
    </row>
    <row r="37" spans="1:23" x14ac:dyDescent="0.25">
      <c r="A37" s="18" t="s">
        <v>378</v>
      </c>
      <c r="B37" s="17" t="str">
        <f t="shared" si="0"/>
        <v>DGDG 38:2</v>
      </c>
      <c r="C37" s="1" t="str">
        <f t="shared" si="1"/>
        <v>38</v>
      </c>
      <c r="D37" s="1" t="str">
        <f t="shared" si="2"/>
        <v>2</v>
      </c>
      <c r="E37" s="17">
        <f t="shared" si="3"/>
        <v>53</v>
      </c>
      <c r="F37" s="17">
        <f t="shared" si="4"/>
        <v>96</v>
      </c>
      <c r="G37" s="17">
        <v>0</v>
      </c>
      <c r="H37" s="17">
        <f t="shared" si="5"/>
        <v>15</v>
      </c>
      <c r="I37" s="17">
        <v>0</v>
      </c>
      <c r="L37" s="19" t="str">
        <f t="shared" si="6"/>
        <v>C53H96O15</v>
      </c>
      <c r="M37" s="21">
        <f t="shared" si="18"/>
        <v>972.67488659999992</v>
      </c>
      <c r="N37" s="46">
        <f t="shared" si="8"/>
        <v>973.6821612</v>
      </c>
      <c r="O37" s="46">
        <f t="shared" si="9"/>
        <v>955.67104119999999</v>
      </c>
      <c r="P37" s="46">
        <f t="shared" si="10"/>
        <v>990.70870659999991</v>
      </c>
      <c r="Q37" s="46">
        <f t="shared" si="11"/>
        <v>995.66410659999997</v>
      </c>
      <c r="R37" s="46">
        <f t="shared" si="12"/>
        <v>1011.6380465999999</v>
      </c>
      <c r="S37" s="46">
        <f t="shared" si="13"/>
        <v>979.6903466</v>
      </c>
      <c r="T37" s="46">
        <f t="shared" si="14"/>
        <v>971.66761199999985</v>
      </c>
      <c r="U37" s="46">
        <f t="shared" si="15"/>
        <v>1017.6731065999999</v>
      </c>
      <c r="V37" s="46">
        <f t="shared" si="16"/>
        <v>1031.6887565999998</v>
      </c>
      <c r="W37" s="46">
        <f t="shared" si="19"/>
        <v>1007.6431895999999</v>
      </c>
    </row>
    <row r="38" spans="1:23" x14ac:dyDescent="0.25">
      <c r="A38" s="18" t="s">
        <v>379</v>
      </c>
      <c r="B38" s="17" t="str">
        <f t="shared" si="0"/>
        <v>DGDG 38:1</v>
      </c>
      <c r="C38" s="1" t="str">
        <f t="shared" si="1"/>
        <v>38</v>
      </c>
      <c r="D38" s="1" t="str">
        <f t="shared" si="2"/>
        <v>1</v>
      </c>
      <c r="E38" s="17">
        <f t="shared" si="3"/>
        <v>53</v>
      </c>
      <c r="F38" s="17">
        <f t="shared" si="4"/>
        <v>98</v>
      </c>
      <c r="G38" s="17">
        <v>0</v>
      </c>
      <c r="H38" s="17">
        <f t="shared" si="5"/>
        <v>15</v>
      </c>
      <c r="I38" s="17">
        <v>0</v>
      </c>
      <c r="L38" s="19" t="str">
        <f t="shared" si="6"/>
        <v>C53H98O15</v>
      </c>
      <c r="M38" s="21">
        <f t="shared" si="18"/>
        <v>974.69053580000002</v>
      </c>
      <c r="N38" s="46">
        <f t="shared" si="8"/>
        <v>975.69781040000009</v>
      </c>
      <c r="O38" s="46">
        <f t="shared" si="9"/>
        <v>957.68669040000009</v>
      </c>
      <c r="P38" s="46">
        <f t="shared" si="10"/>
        <v>992.72435580000001</v>
      </c>
      <c r="Q38" s="46">
        <f t="shared" si="11"/>
        <v>997.67975580000007</v>
      </c>
      <c r="R38" s="46">
        <f t="shared" si="12"/>
        <v>1013.6536958</v>
      </c>
      <c r="S38" s="46">
        <f t="shared" si="13"/>
        <v>981.7059958000001</v>
      </c>
      <c r="T38" s="46">
        <f t="shared" si="14"/>
        <v>973.68326119999995</v>
      </c>
      <c r="U38" s="46">
        <f t="shared" si="15"/>
        <v>1019.6887558</v>
      </c>
      <c r="V38" s="46">
        <f t="shared" si="16"/>
        <v>1033.7044057999999</v>
      </c>
      <c r="W38" s="46">
        <f t="shared" si="19"/>
        <v>1009.6588388</v>
      </c>
    </row>
    <row r="39" spans="1:23" x14ac:dyDescent="0.25">
      <c r="A39" s="18" t="s">
        <v>380</v>
      </c>
      <c r="B39" s="17" t="str">
        <f t="shared" si="0"/>
        <v>DGDG 38:0</v>
      </c>
      <c r="C39" s="1" t="str">
        <f t="shared" si="1"/>
        <v>38</v>
      </c>
      <c r="D39" s="1" t="str">
        <f t="shared" si="2"/>
        <v>0</v>
      </c>
      <c r="E39" s="17">
        <f t="shared" si="3"/>
        <v>53</v>
      </c>
      <c r="F39" s="17">
        <f t="shared" si="4"/>
        <v>100</v>
      </c>
      <c r="G39" s="17">
        <v>0</v>
      </c>
      <c r="H39" s="17">
        <f t="shared" si="5"/>
        <v>15</v>
      </c>
      <c r="I39" s="17">
        <v>0</v>
      </c>
      <c r="L39" s="19" t="str">
        <f t="shared" si="6"/>
        <v>C53H100O15</v>
      </c>
      <c r="M39" s="21">
        <f t="shared" si="18"/>
        <v>976.706185</v>
      </c>
      <c r="N39" s="46">
        <f t="shared" si="8"/>
        <v>977.71345960000008</v>
      </c>
      <c r="O39" s="46">
        <f t="shared" si="9"/>
        <v>959.70233960000007</v>
      </c>
      <c r="P39" s="46">
        <f t="shared" si="10"/>
        <v>994.740005</v>
      </c>
      <c r="Q39" s="46">
        <f t="shared" si="11"/>
        <v>999.69540500000005</v>
      </c>
      <c r="R39" s="46">
        <f t="shared" si="12"/>
        <v>1015.669345</v>
      </c>
      <c r="S39" s="46">
        <f t="shared" si="13"/>
        <v>983.72164500000008</v>
      </c>
      <c r="T39" s="46">
        <f t="shared" si="14"/>
        <v>975.69891039999993</v>
      </c>
      <c r="U39" s="46">
        <f t="shared" si="15"/>
        <v>1021.704405</v>
      </c>
      <c r="V39" s="46">
        <f t="shared" si="16"/>
        <v>1035.720055</v>
      </c>
      <c r="W39" s="46">
        <f t="shared" si="19"/>
        <v>1011.674488</v>
      </c>
    </row>
    <row r="40" spans="1:23" x14ac:dyDescent="0.25">
      <c r="A40" s="17" t="s">
        <v>393</v>
      </c>
      <c r="B40" s="17" t="str">
        <f t="shared" si="0"/>
        <v>DGDG 39:0</v>
      </c>
      <c r="C40" s="1" t="str">
        <f t="shared" si="1"/>
        <v>39</v>
      </c>
      <c r="D40" s="1" t="str">
        <f t="shared" si="2"/>
        <v>0</v>
      </c>
      <c r="E40" s="17">
        <f t="shared" si="3"/>
        <v>54</v>
      </c>
      <c r="F40" s="17">
        <f t="shared" si="4"/>
        <v>102</v>
      </c>
      <c r="G40" s="17">
        <v>0</v>
      </c>
      <c r="H40" s="17">
        <f t="shared" si="5"/>
        <v>15</v>
      </c>
      <c r="I40" s="17">
        <v>0</v>
      </c>
      <c r="L40" s="19" t="str">
        <f t="shared" si="6"/>
        <v>C54H102O15</v>
      </c>
      <c r="M40" s="21">
        <f t="shared" si="18"/>
        <v>990.72183419999999</v>
      </c>
      <c r="N40" s="46">
        <f t="shared" si="8"/>
        <v>991.72910880000006</v>
      </c>
      <c r="O40" s="46">
        <f t="shared" si="9"/>
        <v>973.71798880000006</v>
      </c>
      <c r="P40" s="46">
        <f t="shared" si="10"/>
        <v>1008.7556542</v>
      </c>
      <c r="Q40" s="46">
        <f t="shared" si="11"/>
        <v>1013.7110542</v>
      </c>
      <c r="R40" s="46">
        <f t="shared" si="12"/>
        <v>1029.6849942000001</v>
      </c>
      <c r="S40" s="46">
        <f t="shared" si="13"/>
        <v>997.73729420000006</v>
      </c>
      <c r="T40" s="46">
        <f t="shared" si="14"/>
        <v>989.71455959999992</v>
      </c>
      <c r="U40" s="46">
        <f t="shared" si="15"/>
        <v>1035.7200542</v>
      </c>
      <c r="V40" s="46">
        <f t="shared" si="16"/>
        <v>1049.7357041999999</v>
      </c>
      <c r="W40" s="46">
        <f t="shared" si="19"/>
        <v>1025.6901372</v>
      </c>
    </row>
    <row r="41" spans="1:23" x14ac:dyDescent="0.25">
      <c r="C41" s="1"/>
      <c r="D41" s="1"/>
    </row>
    <row r="44" spans="1:23" x14ac:dyDescent="0.25">
      <c r="C44" s="47"/>
      <c r="D44" s="47"/>
      <c r="W44" s="48"/>
    </row>
    <row r="45" spans="1:23" x14ac:dyDescent="0.25">
      <c r="C45" s="1"/>
      <c r="D45" s="1"/>
      <c r="W45" s="46"/>
    </row>
    <row r="46" spans="1:23" x14ac:dyDescent="0.25">
      <c r="C46" s="1"/>
      <c r="D46" s="1"/>
      <c r="W46" s="46"/>
    </row>
    <row r="47" spans="1:23" x14ac:dyDescent="0.25">
      <c r="C47" s="1"/>
      <c r="D47" s="1"/>
      <c r="W47" s="46"/>
    </row>
    <row r="48" spans="1:23" x14ac:dyDescent="0.25">
      <c r="C48" s="1"/>
      <c r="D48" s="1"/>
      <c r="W48" s="46"/>
    </row>
    <row r="49" spans="1:23" x14ac:dyDescent="0.25">
      <c r="C49" s="1"/>
      <c r="D49" s="1"/>
      <c r="W49" s="46"/>
    </row>
    <row r="50" spans="1:23" x14ac:dyDescent="0.25">
      <c r="C50" s="1"/>
      <c r="D50" s="1"/>
      <c r="W50" s="46"/>
    </row>
    <row r="51" spans="1:23" x14ac:dyDescent="0.25">
      <c r="C51" s="1"/>
      <c r="D51" s="1"/>
      <c r="W51" s="46"/>
    </row>
    <row r="52" spans="1:23" x14ac:dyDescent="0.25">
      <c r="C52" s="1"/>
      <c r="D52" s="1"/>
      <c r="W52" s="46"/>
    </row>
    <row r="53" spans="1:23" x14ac:dyDescent="0.25">
      <c r="C53" s="1"/>
      <c r="D53" s="1"/>
      <c r="W53" s="46"/>
    </row>
    <row r="54" spans="1:23" x14ac:dyDescent="0.25">
      <c r="C54" s="1"/>
      <c r="D54" s="1"/>
      <c r="W54" s="46"/>
    </row>
    <row r="57" spans="1:23" x14ac:dyDescent="0.25">
      <c r="A57"/>
      <c r="C57" s="1"/>
      <c r="D57" s="1"/>
      <c r="W57" s="46"/>
    </row>
    <row r="58" spans="1:23" x14ac:dyDescent="0.25">
      <c r="A58"/>
      <c r="C58" s="1"/>
      <c r="D58" s="1"/>
      <c r="W58" s="46"/>
    </row>
    <row r="59" spans="1:23" x14ac:dyDescent="0.25">
      <c r="A59"/>
      <c r="C59" s="1"/>
      <c r="D59" s="1"/>
      <c r="W59" s="46"/>
    </row>
    <row r="60" spans="1:23" x14ac:dyDescent="0.25">
      <c r="A60"/>
      <c r="C60" s="1"/>
      <c r="D60" s="1"/>
      <c r="W60" s="46"/>
    </row>
    <row r="61" spans="1:23" x14ac:dyDescent="0.25">
      <c r="A61"/>
      <c r="C61" s="1"/>
      <c r="D61" s="1"/>
      <c r="W61" s="46"/>
    </row>
    <row r="62" spans="1:23" x14ac:dyDescent="0.25">
      <c r="A62"/>
      <c r="C62" s="1"/>
      <c r="D62" s="1"/>
      <c r="W62" s="46"/>
    </row>
    <row r="63" spans="1:23" x14ac:dyDescent="0.25">
      <c r="A63"/>
      <c r="C63" s="1"/>
      <c r="D63" s="1"/>
      <c r="W63" s="46"/>
    </row>
    <row r="64" spans="1:23" x14ac:dyDescent="0.25">
      <c r="A64"/>
      <c r="C64" s="1"/>
      <c r="D64" s="1"/>
      <c r="W64" s="46"/>
    </row>
    <row r="65" spans="1:23" x14ac:dyDescent="0.25">
      <c r="A65"/>
      <c r="C65" s="1"/>
      <c r="D65" s="1"/>
      <c r="W65" s="46"/>
    </row>
    <row r="67" spans="1:23" x14ac:dyDescent="0.25">
      <c r="C67" s="1"/>
      <c r="D67" s="1"/>
      <c r="W67" s="46"/>
    </row>
    <row r="68" spans="1:23" x14ac:dyDescent="0.25">
      <c r="C68" s="1"/>
      <c r="D68" s="1"/>
      <c r="W68" s="46"/>
    </row>
    <row r="69" spans="1:23" x14ac:dyDescent="0.25">
      <c r="C69" s="1"/>
      <c r="D69" s="1"/>
      <c r="W69" s="46"/>
    </row>
  </sheetData>
  <sortState xmlns:xlrd2="http://schemas.microsoft.com/office/spreadsheetml/2017/richdata2" ref="A3:X41">
    <sortCondition ref="M3:M4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X72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Q27" sqref="Q27"/>
    </sheetView>
  </sheetViews>
  <sheetFormatPr defaultColWidth="9.140625" defaultRowHeight="15.75" x14ac:dyDescent="0.25"/>
  <cols>
    <col min="1" max="1" width="19.7109375" style="17" customWidth="1"/>
    <col min="2" max="2" width="0.7109375" style="17" customWidth="1"/>
    <col min="3" max="3" width="3.85546875" style="17" hidden="1" customWidth="1"/>
    <col min="4" max="4" width="2.5703125" style="17" hidden="1" customWidth="1"/>
    <col min="5" max="5" width="4.85546875" style="17" hidden="1" customWidth="1"/>
    <col min="6" max="6" width="6.85546875" style="17" hidden="1" customWidth="1"/>
    <col min="7" max="9" width="10.85546875" style="17" hidden="1" customWidth="1"/>
    <col min="10" max="10" width="9.5703125" style="17" hidden="1" customWidth="1"/>
    <col min="11" max="11" width="18.7109375" style="17" hidden="1" customWidth="1"/>
    <col min="12" max="12" width="17" style="19" bestFit="1" customWidth="1"/>
    <col min="13" max="13" width="15.85546875" style="19" bestFit="1" customWidth="1"/>
    <col min="14" max="14" width="12.140625" style="19" bestFit="1" customWidth="1"/>
    <col min="15" max="15" width="14.42578125" style="19" bestFit="1" customWidth="1"/>
    <col min="16" max="16" width="12.140625" style="19" bestFit="1" customWidth="1"/>
    <col min="17" max="17" width="10.85546875" style="46" bestFit="1" customWidth="1"/>
    <col min="18" max="19" width="12.140625" style="19" bestFit="1" customWidth="1"/>
    <col min="20" max="20" width="13.5703125" style="53" bestFit="1" customWidth="1"/>
    <col min="21" max="21" width="13.28515625" style="46" bestFit="1" customWidth="1"/>
    <col min="22" max="22" width="13.5703125" style="19" bestFit="1" customWidth="1"/>
    <col min="23" max="23" width="16.5703125" style="19" bestFit="1" customWidth="1"/>
    <col min="24" max="24" width="15.42578125" style="17" bestFit="1" customWidth="1"/>
  </cols>
  <sheetData>
    <row r="1" spans="1:24" s="28" customFormat="1" x14ac:dyDescent="0.25">
      <c r="A1" s="27" t="s">
        <v>74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 t="s">
        <v>9</v>
      </c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44" t="s">
        <v>6</v>
      </c>
      <c r="R1" s="29" t="s">
        <v>29</v>
      </c>
      <c r="S1" s="29" t="s">
        <v>30</v>
      </c>
      <c r="T1" s="54" t="s">
        <v>12</v>
      </c>
      <c r="U1" s="44" t="s">
        <v>565</v>
      </c>
      <c r="V1" s="29" t="s">
        <v>10</v>
      </c>
      <c r="W1" s="29" t="s">
        <v>11</v>
      </c>
      <c r="X1" s="27"/>
    </row>
    <row r="2" spans="1:24" hidden="1" x14ac:dyDescent="0.25">
      <c r="A2" s="17" t="s">
        <v>109</v>
      </c>
      <c r="B2" s="17" t="str">
        <f t="shared" ref="B2:B50" si="0"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PG 32:1</v>
      </c>
      <c r="C2" s="1" t="str">
        <f t="shared" ref="C2:C50" si="1">MID(B2,4,FIND(":",B2)-FIND(" ",B2)-1)</f>
        <v>32</v>
      </c>
      <c r="D2" s="1" t="str">
        <f t="shared" ref="D2:D50" si="2">IF(ISNUMBER(SEARCH("__",B2)),MID(B2,FIND(":",B2)+1,FIND("__",B2)-FIND(":",B2)-1),MID(B2,FIND(":",B2)+1,7))</f>
        <v>1</v>
      </c>
      <c r="G2" s="17">
        <f t="shared" ref="G2:G50" si="3">C2+6</f>
        <v>38</v>
      </c>
      <c r="H2" s="17">
        <f t="shared" ref="H2:H50" si="4">2*G2-(2*D2)-1-((LEN(A2)-LEN(SUBSTITUTE(A2,"_O_","")))/LEN("_O_"))*2-((LEN(A2)-LEN(SUBSTITUTE(A2,"_CHO_","")))/LEN("_CHO_"))*2-((LEN(A2)-LEN(SUBSTITUTE(A2,"_COOH_","")))/LEN("_COOH_"))*2</f>
        <v>73</v>
      </c>
      <c r="I2" s="17">
        <f t="shared" ref="I2:I50" si="5">10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10</v>
      </c>
      <c r="J2" s="17">
        <v>1</v>
      </c>
      <c r="L2" s="19" t="str">
        <f t="shared" ref="L2:L50" si="6">CONCATENATE("C",G2,"H",H2,"O",I2,"P",J2)</f>
        <v>C38H73O10P1</v>
      </c>
      <c r="M2" s="19">
        <f t="shared" ref="M2:M50" si="7">(G2*12)+(H2*1.0078246)+(I2*15.994915)+(J2*30.973763)</f>
        <v>720.49410879999994</v>
      </c>
      <c r="N2" s="19">
        <f t="shared" ref="N2:N50" si="8">M2+1.0078246-0.00055</f>
        <v>721.50138340000001</v>
      </c>
      <c r="O2" s="19">
        <f t="shared" ref="O2:O50" si="9">N2-18.01057-0.00055</f>
        <v>703.4902634</v>
      </c>
      <c r="P2" s="19">
        <f t="shared" ref="P2:P50" si="10">M2+18.03437-0.00055</f>
        <v>738.52792879999993</v>
      </c>
      <c r="Q2" s="46">
        <f t="shared" ref="Q2:Q50" si="11">M2+22.98977-0.00055</f>
        <v>743.48332879999998</v>
      </c>
      <c r="R2" s="19">
        <f t="shared" ref="R2:R50" si="12">M2+38.96371-0.00055</f>
        <v>759.45726879999995</v>
      </c>
      <c r="S2" s="19">
        <f t="shared" ref="S2:S50" si="13">M2+7.01601-0.00055</f>
        <v>727.50956880000001</v>
      </c>
      <c r="T2" s="53">
        <f t="shared" ref="T2:T50" si="14">M2-1.0078246+0.00055</f>
        <v>719.48683419999986</v>
      </c>
      <c r="V2" s="19">
        <f t="shared" ref="V2:V50" si="15">M2+44.99767+0.00055</f>
        <v>765.49232879999988</v>
      </c>
      <c r="W2" s="19">
        <f t="shared" ref="W2:W50" si="16">M2+59.01332+0.00055</f>
        <v>779.50797879999993</v>
      </c>
    </row>
    <row r="3" spans="1:24" x14ac:dyDescent="0.25">
      <c r="A3" s="17" t="s">
        <v>405</v>
      </c>
      <c r="B3" s="17" t="str">
        <f t="shared" si="0"/>
        <v>PG 24:0</v>
      </c>
      <c r="C3" s="1" t="str">
        <f t="shared" si="1"/>
        <v>24</v>
      </c>
      <c r="D3" s="1" t="str">
        <f t="shared" si="2"/>
        <v>0</v>
      </c>
      <c r="G3" s="17">
        <f t="shared" si="3"/>
        <v>30</v>
      </c>
      <c r="H3" s="17">
        <f t="shared" si="4"/>
        <v>59</v>
      </c>
      <c r="I3" s="17">
        <f t="shared" si="5"/>
        <v>10</v>
      </c>
      <c r="J3" s="17">
        <v>1</v>
      </c>
      <c r="L3" s="19" t="str">
        <f t="shared" si="6"/>
        <v>C30H59O10P1</v>
      </c>
      <c r="M3" s="19">
        <f t="shared" si="7"/>
        <v>610.38456439999993</v>
      </c>
      <c r="N3" s="19">
        <f t="shared" si="8"/>
        <v>611.391839</v>
      </c>
      <c r="O3" s="19">
        <f t="shared" si="9"/>
        <v>593.380719</v>
      </c>
      <c r="P3" s="19">
        <f t="shared" si="10"/>
        <v>628.41838439999992</v>
      </c>
      <c r="Q3" s="46">
        <f t="shared" si="11"/>
        <v>633.37378439999998</v>
      </c>
      <c r="R3" s="19">
        <f t="shared" si="12"/>
        <v>649.34772439999995</v>
      </c>
      <c r="S3" s="19">
        <f t="shared" si="13"/>
        <v>617.40002440000001</v>
      </c>
      <c r="T3" s="53">
        <f t="shared" si="14"/>
        <v>609.37728979999986</v>
      </c>
      <c r="U3" s="46">
        <f t="shared" ref="U3:U50" si="17">T3-18.01057</f>
        <v>591.36671979999983</v>
      </c>
      <c r="V3" s="19">
        <f t="shared" si="15"/>
        <v>655.38278439999988</v>
      </c>
      <c r="W3" s="19">
        <f t="shared" si="16"/>
        <v>669.39843439999993</v>
      </c>
    </row>
    <row r="4" spans="1:24" x14ac:dyDescent="0.25">
      <c r="A4" s="17" t="s">
        <v>404</v>
      </c>
      <c r="B4" s="17" t="str">
        <f t="shared" si="0"/>
        <v>PG 25:0</v>
      </c>
      <c r="C4" s="1" t="str">
        <f t="shared" si="1"/>
        <v>25</v>
      </c>
      <c r="D4" s="1" t="str">
        <f t="shared" si="2"/>
        <v>0</v>
      </c>
      <c r="G4" s="17">
        <f t="shared" si="3"/>
        <v>31</v>
      </c>
      <c r="H4" s="17">
        <f t="shared" si="4"/>
        <v>61</v>
      </c>
      <c r="I4" s="17">
        <f t="shared" si="5"/>
        <v>10</v>
      </c>
      <c r="J4" s="17">
        <v>1</v>
      </c>
      <c r="L4" s="19" t="str">
        <f t="shared" si="6"/>
        <v>C31H61O10P1</v>
      </c>
      <c r="M4" s="19">
        <f t="shared" si="7"/>
        <v>624.40021359999992</v>
      </c>
      <c r="N4" s="19">
        <f t="shared" si="8"/>
        <v>625.40748819999999</v>
      </c>
      <c r="O4" s="19">
        <f t="shared" si="9"/>
        <v>607.39636819999998</v>
      </c>
      <c r="P4" s="19">
        <f t="shared" si="10"/>
        <v>642.43403359999991</v>
      </c>
      <c r="Q4" s="46">
        <f t="shared" si="11"/>
        <v>647.38943359999996</v>
      </c>
      <c r="R4" s="19">
        <f t="shared" si="12"/>
        <v>663.36337359999993</v>
      </c>
      <c r="S4" s="19">
        <f t="shared" si="13"/>
        <v>631.41567359999999</v>
      </c>
      <c r="T4" s="53">
        <f t="shared" si="14"/>
        <v>623.39293899999984</v>
      </c>
      <c r="U4" s="46">
        <f t="shared" si="17"/>
        <v>605.38236899999981</v>
      </c>
      <c r="V4" s="19">
        <f t="shared" si="15"/>
        <v>669.39843359999986</v>
      </c>
      <c r="W4" s="19">
        <f t="shared" si="16"/>
        <v>683.41408359999991</v>
      </c>
    </row>
    <row r="5" spans="1:24" x14ac:dyDescent="0.25">
      <c r="A5" s="17" t="s">
        <v>318</v>
      </c>
      <c r="B5" s="17" t="str">
        <f t="shared" si="0"/>
        <v>PG 26:0</v>
      </c>
      <c r="C5" s="1" t="str">
        <f t="shared" si="1"/>
        <v>26</v>
      </c>
      <c r="D5" s="1" t="str">
        <f t="shared" si="2"/>
        <v>0</v>
      </c>
      <c r="G5" s="17">
        <f t="shared" si="3"/>
        <v>32</v>
      </c>
      <c r="H5" s="17">
        <f t="shared" si="4"/>
        <v>63</v>
      </c>
      <c r="I5" s="17">
        <f t="shared" si="5"/>
        <v>10</v>
      </c>
      <c r="J5" s="17">
        <v>1</v>
      </c>
      <c r="L5" s="19" t="str">
        <f t="shared" si="6"/>
        <v>C32H63O10P1</v>
      </c>
      <c r="M5" s="19">
        <f t="shared" si="7"/>
        <v>638.41586280000001</v>
      </c>
      <c r="N5" s="19">
        <f t="shared" si="8"/>
        <v>639.42313740000009</v>
      </c>
      <c r="O5" s="19">
        <f t="shared" si="9"/>
        <v>621.41201740000008</v>
      </c>
      <c r="P5" s="19">
        <f t="shared" si="10"/>
        <v>656.44968280000001</v>
      </c>
      <c r="Q5" s="46">
        <f t="shared" si="11"/>
        <v>661.40508280000006</v>
      </c>
      <c r="R5" s="19">
        <f t="shared" si="12"/>
        <v>677.37902280000003</v>
      </c>
      <c r="S5" s="19">
        <f t="shared" si="13"/>
        <v>645.43132280000009</v>
      </c>
      <c r="T5" s="53">
        <f t="shared" si="14"/>
        <v>637.40858819999994</v>
      </c>
      <c r="U5" s="46">
        <f t="shared" si="17"/>
        <v>619.39801819999991</v>
      </c>
      <c r="V5" s="19">
        <f t="shared" si="15"/>
        <v>683.41408279999996</v>
      </c>
      <c r="W5" s="19">
        <f t="shared" si="16"/>
        <v>697.42973280000001</v>
      </c>
    </row>
    <row r="6" spans="1:24" x14ac:dyDescent="0.25">
      <c r="A6" s="17" t="s">
        <v>317</v>
      </c>
      <c r="B6" s="17" t="str">
        <f t="shared" si="0"/>
        <v>PG 27:0</v>
      </c>
      <c r="C6" s="1" t="str">
        <f t="shared" si="1"/>
        <v>27</v>
      </c>
      <c r="D6" s="1" t="str">
        <f t="shared" si="2"/>
        <v>0</v>
      </c>
      <c r="G6" s="17">
        <f t="shared" si="3"/>
        <v>33</v>
      </c>
      <c r="H6" s="17">
        <f t="shared" si="4"/>
        <v>65</v>
      </c>
      <c r="I6" s="17">
        <f t="shared" si="5"/>
        <v>10</v>
      </c>
      <c r="J6" s="17">
        <v>1</v>
      </c>
      <c r="L6" s="19" t="str">
        <f t="shared" si="6"/>
        <v>C33H65O10P1</v>
      </c>
      <c r="M6" s="19">
        <f t="shared" si="7"/>
        <v>652.431512</v>
      </c>
      <c r="N6" s="19">
        <f t="shared" si="8"/>
        <v>653.43878660000007</v>
      </c>
      <c r="O6" s="19">
        <f t="shared" si="9"/>
        <v>635.42766660000007</v>
      </c>
      <c r="P6" s="19">
        <f t="shared" si="10"/>
        <v>670.46533199999999</v>
      </c>
      <c r="Q6" s="46">
        <f t="shared" si="11"/>
        <v>675.42073200000004</v>
      </c>
      <c r="R6" s="19">
        <f t="shared" si="12"/>
        <v>691.39467200000001</v>
      </c>
      <c r="S6" s="19">
        <f t="shared" si="13"/>
        <v>659.44697200000007</v>
      </c>
      <c r="T6" s="53">
        <f t="shared" si="14"/>
        <v>651.42423739999992</v>
      </c>
      <c r="U6" s="46">
        <f t="shared" si="17"/>
        <v>633.41366739999989</v>
      </c>
      <c r="V6" s="19">
        <f t="shared" si="15"/>
        <v>697.42973199999994</v>
      </c>
      <c r="W6" s="19">
        <f t="shared" si="16"/>
        <v>711.445382</v>
      </c>
    </row>
    <row r="7" spans="1:24" x14ac:dyDescent="0.25">
      <c r="A7" s="17" t="s">
        <v>672</v>
      </c>
      <c r="B7" s="17" t="str">
        <f t="shared" ref="B7" si="18">IF(ISNUMBER(SEARCH("(",A7)),IF(ISNUMBER(SEARCH("/",A7)),CONCATENATE(MID(A7,1,2)," ",(SUM(MID(A7,FIND("(",A7)+1,FIND(":",A7)-FIND("(",A7)-1),MID(A7,FIND("/",A7)+1,FIND(":",A7,FIND("/",A7))-FIND("/",A7)-1))),":",SUM(MID(A7,FIND(":",A7)+1,FIND("/",A7)-FIND(":",A7)-1),MID(A7,FIND(":",A7,FIND("/",A7))+1,FIND(")",A7)-FIND(":",A7,FIND("/",A7))-1)),MID(A7,(FIND(")",A7)+1),100)),CONCATENATE(MID(A7,1,2)," ",(SUM(MID(A7,FIND("(",A7)+1,FIND(":",A7)-FIND("(",A7)-1),MID(A7,FIND("_",A7)+1,FIND(":",A7,FIND("_",A7))-FIND("_",A7)-1))),":",SUM(MID(A7,FIND(":",A7)+1,FIND("_",A7)-FIND(":",A7)-1),MID(A7,FIND(":",A7,FIND("_",A7))+1,FIND(")",A7)-FIND(":",A7,FIND("_",A7))-1)),MID(A7,(FIND(")",A7)+1),100))),A7)</f>
        <v>PG 28:1</v>
      </c>
      <c r="C7" s="1" t="str">
        <f t="shared" ref="C7" si="19">MID(B7,4,FIND(":",B7)-FIND(" ",B7)-1)</f>
        <v>28</v>
      </c>
      <c r="D7" s="1" t="str">
        <f t="shared" ref="D7" si="20">IF(ISNUMBER(SEARCH("__",B7)),MID(B7,FIND(":",B7)+1,FIND("__",B7)-FIND(":",B7)-1),MID(B7,FIND(":",B7)+1,7))</f>
        <v>1</v>
      </c>
      <c r="G7" s="17">
        <f t="shared" ref="G7" si="21">C7+6</f>
        <v>34</v>
      </c>
      <c r="H7" s="17">
        <f t="shared" ref="H7" si="22">2*G7-(2*D7)-1-((LEN(A7)-LEN(SUBSTITUTE(A7,"_O_","")))/LEN("_O_"))*2-((LEN(A7)-LEN(SUBSTITUTE(A7,"_CHO_","")))/LEN("_CHO_"))*2-((LEN(A7)-LEN(SUBSTITUTE(A7,"_COOH_","")))/LEN("_COOH_"))*2</f>
        <v>65</v>
      </c>
      <c r="I7" s="17">
        <f t="shared" ref="I7" si="23">10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10</v>
      </c>
      <c r="J7" s="17">
        <v>1</v>
      </c>
      <c r="L7" s="19" t="str">
        <f t="shared" ref="L7" si="24">CONCATENATE("C",G7,"H",H7,"O",I7,"P",J7)</f>
        <v>C34H65O10P1</v>
      </c>
      <c r="M7" s="19">
        <f t="shared" ref="M7" si="25">(G7*12)+(H7*1.0078246)+(I7*15.994915)+(J7*30.973763)</f>
        <v>664.431512</v>
      </c>
      <c r="N7" s="19">
        <f t="shared" ref="N7" si="26">M7+1.0078246-0.00055</f>
        <v>665.43878660000007</v>
      </c>
      <c r="O7" s="19">
        <f t="shared" ref="O7" si="27">N7-18.01057-0.00055</f>
        <v>647.42766660000007</v>
      </c>
      <c r="P7" s="19">
        <f t="shared" ref="P7" si="28">M7+18.03437-0.00055</f>
        <v>682.46533199999999</v>
      </c>
      <c r="Q7" s="46">
        <f t="shared" ref="Q7" si="29">M7+22.98977-0.00055</f>
        <v>687.42073200000004</v>
      </c>
      <c r="R7" s="19">
        <f t="shared" ref="R7" si="30">M7+38.96371-0.00055</f>
        <v>703.39467200000001</v>
      </c>
      <c r="S7" s="19">
        <f t="shared" ref="S7" si="31">M7+7.01601-0.00055</f>
        <v>671.44697200000007</v>
      </c>
      <c r="T7" s="53">
        <f t="shared" ref="T7" si="32">M7-1.0078246+0.00055</f>
        <v>663.42423739999992</v>
      </c>
      <c r="V7" s="19">
        <f t="shared" ref="V7" si="33">M7+44.99767+0.00055</f>
        <v>709.42973199999994</v>
      </c>
      <c r="W7" s="19">
        <f t="shared" ref="W7" si="34">M7+59.01332+0.00055</f>
        <v>723.445382</v>
      </c>
    </row>
    <row r="8" spans="1:24" x14ac:dyDescent="0.25">
      <c r="A8" s="17" t="s">
        <v>306</v>
      </c>
      <c r="B8" s="17" t="str">
        <f t="shared" si="0"/>
        <v>PG 28:0</v>
      </c>
      <c r="C8" s="1" t="str">
        <f t="shared" si="1"/>
        <v>28</v>
      </c>
      <c r="D8" s="1" t="str">
        <f t="shared" si="2"/>
        <v>0</v>
      </c>
      <c r="G8" s="17">
        <f t="shared" si="3"/>
        <v>34</v>
      </c>
      <c r="H8" s="17">
        <f t="shared" si="4"/>
        <v>67</v>
      </c>
      <c r="I8" s="17">
        <f t="shared" si="5"/>
        <v>10</v>
      </c>
      <c r="J8" s="17">
        <v>1</v>
      </c>
      <c r="L8" s="19" t="str">
        <f t="shared" si="6"/>
        <v>C34H67O10P1</v>
      </c>
      <c r="M8" s="19">
        <f t="shared" si="7"/>
        <v>666.44716119999998</v>
      </c>
      <c r="N8" s="19">
        <f t="shared" si="8"/>
        <v>667.45443580000006</v>
      </c>
      <c r="O8" s="19">
        <f t="shared" si="9"/>
        <v>649.44331580000005</v>
      </c>
      <c r="P8" s="19">
        <f t="shared" si="10"/>
        <v>684.48098119999997</v>
      </c>
      <c r="Q8" s="46">
        <f t="shared" si="11"/>
        <v>689.43638120000003</v>
      </c>
      <c r="R8" s="19">
        <f t="shared" si="12"/>
        <v>705.4103212</v>
      </c>
      <c r="S8" s="19">
        <f t="shared" si="13"/>
        <v>673.46262120000006</v>
      </c>
      <c r="T8" s="53">
        <f t="shared" si="14"/>
        <v>665.43988659999991</v>
      </c>
      <c r="U8" s="46">
        <f t="shared" si="17"/>
        <v>647.42931659999988</v>
      </c>
      <c r="V8" s="19">
        <f t="shared" si="15"/>
        <v>711.44538119999993</v>
      </c>
      <c r="W8" s="19">
        <f t="shared" si="16"/>
        <v>725.46103119999998</v>
      </c>
    </row>
    <row r="9" spans="1:24" x14ac:dyDescent="0.25">
      <c r="A9" s="17" t="s">
        <v>492</v>
      </c>
      <c r="B9" s="17" t="str">
        <f t="shared" si="0"/>
        <v>PG 29:3</v>
      </c>
      <c r="C9" s="1" t="str">
        <f t="shared" si="1"/>
        <v>29</v>
      </c>
      <c r="D9" s="1" t="str">
        <f t="shared" si="2"/>
        <v>3</v>
      </c>
      <c r="G9" s="17">
        <f t="shared" si="3"/>
        <v>35</v>
      </c>
      <c r="H9" s="17">
        <f t="shared" si="4"/>
        <v>63</v>
      </c>
      <c r="I9" s="17">
        <f t="shared" si="5"/>
        <v>10</v>
      </c>
      <c r="J9" s="17">
        <v>1</v>
      </c>
      <c r="L9" s="19" t="str">
        <f t="shared" si="6"/>
        <v>C35H63O10P1</v>
      </c>
      <c r="M9" s="19">
        <f t="shared" si="7"/>
        <v>674.41586280000001</v>
      </c>
      <c r="N9" s="19">
        <f t="shared" si="8"/>
        <v>675.42313740000009</v>
      </c>
      <c r="O9" s="19">
        <f t="shared" si="9"/>
        <v>657.41201740000008</v>
      </c>
      <c r="P9" s="19">
        <f t="shared" si="10"/>
        <v>692.44968280000001</v>
      </c>
      <c r="Q9" s="46">
        <f t="shared" si="11"/>
        <v>697.40508280000006</v>
      </c>
      <c r="R9" s="19">
        <f t="shared" si="12"/>
        <v>713.37902280000003</v>
      </c>
      <c r="S9" s="19">
        <f t="shared" si="13"/>
        <v>681.43132280000009</v>
      </c>
      <c r="T9" s="53">
        <f t="shared" si="14"/>
        <v>673.40858819999994</v>
      </c>
      <c r="U9" s="46">
        <f t="shared" si="17"/>
        <v>655.39801819999991</v>
      </c>
      <c r="V9" s="19">
        <f t="shared" si="15"/>
        <v>719.41408279999996</v>
      </c>
      <c r="W9" s="19">
        <f t="shared" si="16"/>
        <v>733.42973280000001</v>
      </c>
    </row>
    <row r="10" spans="1:24" x14ac:dyDescent="0.25">
      <c r="A10" s="17" t="s">
        <v>481</v>
      </c>
      <c r="B10" s="17" t="str">
        <f t="shared" si="0"/>
        <v>PG 29:2</v>
      </c>
      <c r="C10" s="1" t="str">
        <f t="shared" si="1"/>
        <v>29</v>
      </c>
      <c r="D10" s="1" t="str">
        <f t="shared" si="2"/>
        <v>2</v>
      </c>
      <c r="G10" s="17">
        <f t="shared" si="3"/>
        <v>35</v>
      </c>
      <c r="H10" s="17">
        <f t="shared" si="4"/>
        <v>65</v>
      </c>
      <c r="I10" s="17">
        <f t="shared" si="5"/>
        <v>10</v>
      </c>
      <c r="J10" s="17">
        <v>1</v>
      </c>
      <c r="L10" s="19" t="str">
        <f t="shared" si="6"/>
        <v>C35H65O10P1</v>
      </c>
      <c r="M10" s="19">
        <f t="shared" si="7"/>
        <v>676.431512</v>
      </c>
      <c r="N10" s="19">
        <f t="shared" si="8"/>
        <v>677.43878660000007</v>
      </c>
      <c r="O10" s="19">
        <f t="shared" si="9"/>
        <v>659.42766660000007</v>
      </c>
      <c r="P10" s="19">
        <f t="shared" si="10"/>
        <v>694.46533199999999</v>
      </c>
      <c r="Q10" s="46">
        <f t="shared" si="11"/>
        <v>699.42073200000004</v>
      </c>
      <c r="R10" s="19">
        <f t="shared" si="12"/>
        <v>715.39467200000001</v>
      </c>
      <c r="S10" s="19">
        <f t="shared" si="13"/>
        <v>683.44697200000007</v>
      </c>
      <c r="T10" s="53">
        <f t="shared" si="14"/>
        <v>675.42423739999992</v>
      </c>
      <c r="U10" s="46">
        <f t="shared" si="17"/>
        <v>657.41366739999989</v>
      </c>
      <c r="V10" s="19">
        <f t="shared" si="15"/>
        <v>721.42973199999994</v>
      </c>
      <c r="W10" s="19">
        <f t="shared" si="16"/>
        <v>735.445382</v>
      </c>
      <c r="X10" s="46"/>
    </row>
    <row r="11" spans="1:24" x14ac:dyDescent="0.25">
      <c r="A11" s="17" t="s">
        <v>474</v>
      </c>
      <c r="B11" s="17" t="str">
        <f t="shared" si="0"/>
        <v>PG 29:1</v>
      </c>
      <c r="C11" s="1" t="str">
        <f t="shared" si="1"/>
        <v>29</v>
      </c>
      <c r="D11" s="1" t="str">
        <f t="shared" si="2"/>
        <v>1</v>
      </c>
      <c r="G11" s="17">
        <f t="shared" si="3"/>
        <v>35</v>
      </c>
      <c r="H11" s="17">
        <f t="shared" si="4"/>
        <v>67</v>
      </c>
      <c r="I11" s="17">
        <f t="shared" si="5"/>
        <v>10</v>
      </c>
      <c r="J11" s="17">
        <v>1</v>
      </c>
      <c r="L11" s="19" t="str">
        <f t="shared" si="6"/>
        <v>C35H67O10P1</v>
      </c>
      <c r="M11" s="19">
        <f t="shared" si="7"/>
        <v>678.44716119999998</v>
      </c>
      <c r="N11" s="19">
        <f t="shared" si="8"/>
        <v>679.45443580000006</v>
      </c>
      <c r="O11" s="19">
        <f t="shared" si="9"/>
        <v>661.44331580000005</v>
      </c>
      <c r="P11" s="19">
        <f t="shared" si="10"/>
        <v>696.48098119999997</v>
      </c>
      <c r="Q11" s="46">
        <f t="shared" si="11"/>
        <v>701.43638120000003</v>
      </c>
      <c r="R11" s="19">
        <f t="shared" si="12"/>
        <v>717.4103212</v>
      </c>
      <c r="S11" s="19">
        <f t="shared" si="13"/>
        <v>685.46262120000006</v>
      </c>
      <c r="T11" s="53">
        <f t="shared" si="14"/>
        <v>677.43988659999991</v>
      </c>
      <c r="U11" s="46">
        <f t="shared" si="17"/>
        <v>659.42931659999988</v>
      </c>
      <c r="V11" s="19">
        <f t="shared" si="15"/>
        <v>723.44538119999993</v>
      </c>
      <c r="W11" s="19">
        <f t="shared" si="16"/>
        <v>737.46103119999998</v>
      </c>
      <c r="X11" s="46"/>
    </row>
    <row r="12" spans="1:24" x14ac:dyDescent="0.25">
      <c r="A12" s="17" t="s">
        <v>307</v>
      </c>
      <c r="B12" s="17" t="str">
        <f t="shared" si="0"/>
        <v>PG 29:0</v>
      </c>
      <c r="C12" s="1" t="str">
        <f t="shared" si="1"/>
        <v>29</v>
      </c>
      <c r="D12" s="1" t="str">
        <f t="shared" si="2"/>
        <v>0</v>
      </c>
      <c r="G12" s="17">
        <f t="shared" si="3"/>
        <v>35</v>
      </c>
      <c r="H12" s="17">
        <f t="shared" si="4"/>
        <v>69</v>
      </c>
      <c r="I12" s="17">
        <f t="shared" si="5"/>
        <v>10</v>
      </c>
      <c r="J12" s="17">
        <v>1</v>
      </c>
      <c r="L12" s="19" t="str">
        <f t="shared" si="6"/>
        <v>C35H69O10P1</v>
      </c>
      <c r="M12" s="19">
        <f t="shared" si="7"/>
        <v>680.46281039999997</v>
      </c>
      <c r="N12" s="19">
        <f t="shared" si="8"/>
        <v>681.47008500000004</v>
      </c>
      <c r="O12" s="19">
        <f t="shared" si="9"/>
        <v>663.45896500000003</v>
      </c>
      <c r="P12" s="19">
        <f t="shared" si="10"/>
        <v>698.49663039999996</v>
      </c>
      <c r="Q12" s="46">
        <f t="shared" si="11"/>
        <v>703.45203040000001</v>
      </c>
      <c r="R12" s="19">
        <f t="shared" si="12"/>
        <v>719.42597039999998</v>
      </c>
      <c r="S12" s="19">
        <f t="shared" si="13"/>
        <v>687.47827040000004</v>
      </c>
      <c r="T12" s="53">
        <f t="shared" si="14"/>
        <v>679.45553579999989</v>
      </c>
      <c r="U12" s="46">
        <f t="shared" si="17"/>
        <v>661.44496579999986</v>
      </c>
      <c r="V12" s="19">
        <f t="shared" si="15"/>
        <v>725.46103039999991</v>
      </c>
      <c r="W12" s="19">
        <f t="shared" si="16"/>
        <v>739.47668039999996</v>
      </c>
      <c r="X12" s="46"/>
    </row>
    <row r="13" spans="1:24" x14ac:dyDescent="0.25">
      <c r="A13" s="17" t="s">
        <v>493</v>
      </c>
      <c r="B13" s="17" t="str">
        <f t="shared" si="0"/>
        <v>PG 30:3</v>
      </c>
      <c r="C13" s="1" t="str">
        <f t="shared" si="1"/>
        <v>30</v>
      </c>
      <c r="D13" s="1" t="str">
        <f t="shared" si="2"/>
        <v>3</v>
      </c>
      <c r="G13" s="17">
        <f t="shared" si="3"/>
        <v>36</v>
      </c>
      <c r="H13" s="17">
        <f t="shared" si="4"/>
        <v>65</v>
      </c>
      <c r="I13" s="17">
        <f t="shared" si="5"/>
        <v>10</v>
      </c>
      <c r="J13" s="17">
        <v>1</v>
      </c>
      <c r="L13" s="19" t="str">
        <f t="shared" si="6"/>
        <v>C36H65O10P1</v>
      </c>
      <c r="M13" s="19">
        <f t="shared" si="7"/>
        <v>688.431512</v>
      </c>
      <c r="N13" s="19">
        <f t="shared" si="8"/>
        <v>689.43878660000007</v>
      </c>
      <c r="O13" s="19">
        <f t="shared" si="9"/>
        <v>671.42766660000007</v>
      </c>
      <c r="P13" s="19">
        <f t="shared" si="10"/>
        <v>706.46533199999999</v>
      </c>
      <c r="Q13" s="46">
        <f t="shared" si="11"/>
        <v>711.42073200000004</v>
      </c>
      <c r="R13" s="19">
        <f t="shared" si="12"/>
        <v>727.39467200000001</v>
      </c>
      <c r="S13" s="19">
        <f t="shared" si="13"/>
        <v>695.44697200000007</v>
      </c>
      <c r="T13" s="53">
        <f t="shared" si="14"/>
        <v>687.42423739999992</v>
      </c>
      <c r="U13" s="46">
        <f t="shared" si="17"/>
        <v>669.41366739999989</v>
      </c>
      <c r="V13" s="19">
        <f t="shared" si="15"/>
        <v>733.42973199999994</v>
      </c>
      <c r="W13" s="19">
        <f t="shared" si="16"/>
        <v>747.445382</v>
      </c>
      <c r="X13" s="46"/>
    </row>
    <row r="14" spans="1:24" x14ac:dyDescent="0.25">
      <c r="A14" s="17" t="s">
        <v>482</v>
      </c>
      <c r="B14" s="17" t="str">
        <f t="shared" si="0"/>
        <v>PG 30:2</v>
      </c>
      <c r="C14" s="1" t="str">
        <f t="shared" si="1"/>
        <v>30</v>
      </c>
      <c r="D14" s="1" t="str">
        <f t="shared" si="2"/>
        <v>2</v>
      </c>
      <c r="G14" s="17">
        <f t="shared" si="3"/>
        <v>36</v>
      </c>
      <c r="H14" s="17">
        <f t="shared" si="4"/>
        <v>67</v>
      </c>
      <c r="I14" s="17">
        <f t="shared" si="5"/>
        <v>10</v>
      </c>
      <c r="J14" s="17">
        <v>1</v>
      </c>
      <c r="L14" s="19" t="str">
        <f t="shared" si="6"/>
        <v>C36H67O10P1</v>
      </c>
      <c r="M14" s="19">
        <f t="shared" si="7"/>
        <v>690.44716119999998</v>
      </c>
      <c r="N14" s="19">
        <f t="shared" si="8"/>
        <v>691.45443580000006</v>
      </c>
      <c r="O14" s="19">
        <f t="shared" si="9"/>
        <v>673.44331580000005</v>
      </c>
      <c r="P14" s="19">
        <f t="shared" si="10"/>
        <v>708.48098119999997</v>
      </c>
      <c r="Q14" s="46">
        <f t="shared" si="11"/>
        <v>713.43638120000003</v>
      </c>
      <c r="R14" s="19">
        <f t="shared" si="12"/>
        <v>729.4103212</v>
      </c>
      <c r="S14" s="19">
        <f t="shared" si="13"/>
        <v>697.46262120000006</v>
      </c>
      <c r="T14" s="53">
        <f t="shared" si="14"/>
        <v>689.43988659999991</v>
      </c>
      <c r="U14" s="46">
        <f t="shared" si="17"/>
        <v>671.42931659999988</v>
      </c>
      <c r="V14" s="19">
        <f t="shared" si="15"/>
        <v>735.44538119999993</v>
      </c>
      <c r="W14" s="19">
        <f t="shared" si="16"/>
        <v>749.46103119999998</v>
      </c>
      <c r="X14" s="46"/>
    </row>
    <row r="15" spans="1:24" x14ac:dyDescent="0.25">
      <c r="A15" s="17" t="s">
        <v>475</v>
      </c>
      <c r="B15" s="17" t="str">
        <f t="shared" si="0"/>
        <v>PG 30:1</v>
      </c>
      <c r="C15" s="1" t="str">
        <f t="shared" si="1"/>
        <v>30</v>
      </c>
      <c r="D15" s="1" t="str">
        <f t="shared" si="2"/>
        <v>1</v>
      </c>
      <c r="G15" s="17">
        <f t="shared" si="3"/>
        <v>36</v>
      </c>
      <c r="H15" s="17">
        <f t="shared" si="4"/>
        <v>69</v>
      </c>
      <c r="I15" s="17">
        <f t="shared" si="5"/>
        <v>10</v>
      </c>
      <c r="J15" s="17">
        <v>1</v>
      </c>
      <c r="L15" s="19" t="str">
        <f t="shared" si="6"/>
        <v>C36H69O10P1</v>
      </c>
      <c r="M15" s="19">
        <f t="shared" si="7"/>
        <v>692.46281039999997</v>
      </c>
      <c r="N15" s="19">
        <f t="shared" si="8"/>
        <v>693.47008500000004</v>
      </c>
      <c r="O15" s="19">
        <f t="shared" si="9"/>
        <v>675.45896500000003</v>
      </c>
      <c r="P15" s="19">
        <f t="shared" si="10"/>
        <v>710.49663039999996</v>
      </c>
      <c r="Q15" s="46">
        <f t="shared" si="11"/>
        <v>715.45203040000001</v>
      </c>
      <c r="R15" s="19">
        <f t="shared" si="12"/>
        <v>731.42597039999998</v>
      </c>
      <c r="S15" s="19">
        <f t="shared" si="13"/>
        <v>699.47827040000004</v>
      </c>
      <c r="T15" s="53">
        <f t="shared" si="14"/>
        <v>691.45553579999989</v>
      </c>
      <c r="U15" s="46">
        <f t="shared" si="17"/>
        <v>673.44496579999986</v>
      </c>
      <c r="V15" s="19">
        <f t="shared" si="15"/>
        <v>737.46103039999991</v>
      </c>
      <c r="W15" s="19">
        <f t="shared" si="16"/>
        <v>751.47668039999996</v>
      </c>
      <c r="X15" s="46"/>
    </row>
    <row r="16" spans="1:24" x14ac:dyDescent="0.25">
      <c r="A16" s="17" t="s">
        <v>308</v>
      </c>
      <c r="B16" s="17" t="str">
        <f t="shared" si="0"/>
        <v>PG 30:0</v>
      </c>
      <c r="C16" s="1" t="str">
        <f t="shared" si="1"/>
        <v>30</v>
      </c>
      <c r="D16" s="1" t="str">
        <f t="shared" si="2"/>
        <v>0</v>
      </c>
      <c r="G16" s="17">
        <f t="shared" si="3"/>
        <v>36</v>
      </c>
      <c r="H16" s="17">
        <f t="shared" si="4"/>
        <v>71</v>
      </c>
      <c r="I16" s="17">
        <f t="shared" si="5"/>
        <v>10</v>
      </c>
      <c r="J16" s="17">
        <v>1</v>
      </c>
      <c r="L16" s="19" t="str">
        <f t="shared" si="6"/>
        <v>C36H71O10P1</v>
      </c>
      <c r="M16" s="19">
        <f t="shared" si="7"/>
        <v>694.47845959999995</v>
      </c>
      <c r="N16" s="19">
        <f t="shared" si="8"/>
        <v>695.48573420000002</v>
      </c>
      <c r="O16" s="19">
        <f t="shared" si="9"/>
        <v>677.47461420000002</v>
      </c>
      <c r="P16" s="19">
        <f t="shared" si="10"/>
        <v>712.51227959999994</v>
      </c>
      <c r="Q16" s="46">
        <f t="shared" si="11"/>
        <v>717.4676796</v>
      </c>
      <c r="R16" s="19">
        <f t="shared" si="12"/>
        <v>733.44161959999997</v>
      </c>
      <c r="S16" s="19">
        <f t="shared" si="13"/>
        <v>701.49391960000003</v>
      </c>
      <c r="T16" s="53">
        <f t="shared" si="14"/>
        <v>693.47118499999988</v>
      </c>
      <c r="U16" s="46">
        <f t="shared" si="17"/>
        <v>675.46061499999985</v>
      </c>
      <c r="V16" s="19">
        <f t="shared" si="15"/>
        <v>739.4766795999999</v>
      </c>
      <c r="W16" s="19">
        <f t="shared" si="16"/>
        <v>753.49232959999995</v>
      </c>
      <c r="X16" s="46"/>
    </row>
    <row r="17" spans="1:24" x14ac:dyDescent="0.25">
      <c r="A17" s="17" t="s">
        <v>494</v>
      </c>
      <c r="B17" s="17" t="str">
        <f t="shared" si="0"/>
        <v>PG 31:3</v>
      </c>
      <c r="C17" s="1" t="str">
        <f t="shared" si="1"/>
        <v>31</v>
      </c>
      <c r="D17" s="1" t="str">
        <f t="shared" si="2"/>
        <v>3</v>
      </c>
      <c r="G17" s="17">
        <f t="shared" si="3"/>
        <v>37</v>
      </c>
      <c r="H17" s="17">
        <f t="shared" si="4"/>
        <v>67</v>
      </c>
      <c r="I17" s="17">
        <f t="shared" si="5"/>
        <v>10</v>
      </c>
      <c r="J17" s="17">
        <v>1</v>
      </c>
      <c r="L17" s="19" t="str">
        <f t="shared" si="6"/>
        <v>C37H67O10P1</v>
      </c>
      <c r="M17" s="19">
        <f t="shared" si="7"/>
        <v>702.44716119999998</v>
      </c>
      <c r="N17" s="19">
        <f t="shared" si="8"/>
        <v>703.45443580000006</v>
      </c>
      <c r="O17" s="19">
        <f t="shared" si="9"/>
        <v>685.44331580000005</v>
      </c>
      <c r="P17" s="19">
        <f t="shared" si="10"/>
        <v>720.48098119999997</v>
      </c>
      <c r="Q17" s="46">
        <f t="shared" si="11"/>
        <v>725.43638120000003</v>
      </c>
      <c r="R17" s="19">
        <f t="shared" si="12"/>
        <v>741.4103212</v>
      </c>
      <c r="S17" s="19">
        <f t="shared" si="13"/>
        <v>709.46262120000006</v>
      </c>
      <c r="T17" s="53">
        <f t="shared" si="14"/>
        <v>701.43988659999991</v>
      </c>
      <c r="U17" s="46">
        <f t="shared" si="17"/>
        <v>683.42931659999988</v>
      </c>
      <c r="V17" s="19">
        <f t="shared" si="15"/>
        <v>747.44538119999993</v>
      </c>
      <c r="W17" s="19">
        <f t="shared" si="16"/>
        <v>761.46103119999998</v>
      </c>
      <c r="X17" s="46"/>
    </row>
    <row r="18" spans="1:24" x14ac:dyDescent="0.25">
      <c r="A18" s="17" t="s">
        <v>483</v>
      </c>
      <c r="B18" s="17" t="str">
        <f t="shared" si="0"/>
        <v>PG 31:2</v>
      </c>
      <c r="C18" s="1" t="str">
        <f t="shared" si="1"/>
        <v>31</v>
      </c>
      <c r="D18" s="1" t="str">
        <f t="shared" si="2"/>
        <v>2</v>
      </c>
      <c r="G18" s="17">
        <f t="shared" si="3"/>
        <v>37</v>
      </c>
      <c r="H18" s="17">
        <f t="shared" si="4"/>
        <v>69</v>
      </c>
      <c r="I18" s="17">
        <f t="shared" si="5"/>
        <v>10</v>
      </c>
      <c r="J18" s="17">
        <v>1</v>
      </c>
      <c r="L18" s="19" t="str">
        <f t="shared" si="6"/>
        <v>C37H69O10P1</v>
      </c>
      <c r="M18" s="19">
        <f t="shared" si="7"/>
        <v>704.46281039999997</v>
      </c>
      <c r="N18" s="19">
        <f t="shared" si="8"/>
        <v>705.47008500000004</v>
      </c>
      <c r="O18" s="19">
        <f t="shared" si="9"/>
        <v>687.45896500000003</v>
      </c>
      <c r="P18" s="19">
        <f t="shared" si="10"/>
        <v>722.49663039999996</v>
      </c>
      <c r="Q18" s="46">
        <f t="shared" si="11"/>
        <v>727.45203040000001</v>
      </c>
      <c r="R18" s="19">
        <f t="shared" si="12"/>
        <v>743.42597039999998</v>
      </c>
      <c r="S18" s="19">
        <f t="shared" si="13"/>
        <v>711.47827040000004</v>
      </c>
      <c r="T18" s="53">
        <f t="shared" si="14"/>
        <v>703.45553579999989</v>
      </c>
      <c r="U18" s="46">
        <f t="shared" si="17"/>
        <v>685.44496579999986</v>
      </c>
      <c r="V18" s="19">
        <f t="shared" si="15"/>
        <v>749.46103039999991</v>
      </c>
      <c r="W18" s="19">
        <f t="shared" si="16"/>
        <v>763.47668039999996</v>
      </c>
      <c r="X18" s="46"/>
    </row>
    <row r="19" spans="1:24" x14ac:dyDescent="0.25">
      <c r="A19" s="17" t="s">
        <v>476</v>
      </c>
      <c r="B19" s="17" t="str">
        <f t="shared" si="0"/>
        <v>PG 31:1</v>
      </c>
      <c r="C19" s="1" t="str">
        <f t="shared" si="1"/>
        <v>31</v>
      </c>
      <c r="D19" s="1" t="str">
        <f t="shared" si="2"/>
        <v>1</v>
      </c>
      <c r="G19" s="17">
        <f t="shared" si="3"/>
        <v>37</v>
      </c>
      <c r="H19" s="17">
        <f t="shared" si="4"/>
        <v>71</v>
      </c>
      <c r="I19" s="17">
        <f t="shared" si="5"/>
        <v>10</v>
      </c>
      <c r="J19" s="17">
        <v>1</v>
      </c>
      <c r="L19" s="19" t="str">
        <f t="shared" si="6"/>
        <v>C37H71O10P1</v>
      </c>
      <c r="M19" s="19">
        <f t="shared" si="7"/>
        <v>706.47845959999995</v>
      </c>
      <c r="N19" s="19">
        <f t="shared" si="8"/>
        <v>707.48573420000002</v>
      </c>
      <c r="O19" s="19">
        <f t="shared" si="9"/>
        <v>689.47461420000002</v>
      </c>
      <c r="P19" s="19">
        <f t="shared" si="10"/>
        <v>724.51227959999994</v>
      </c>
      <c r="Q19" s="46">
        <f t="shared" si="11"/>
        <v>729.4676796</v>
      </c>
      <c r="R19" s="19">
        <f t="shared" si="12"/>
        <v>745.44161959999997</v>
      </c>
      <c r="S19" s="19">
        <f t="shared" si="13"/>
        <v>713.49391960000003</v>
      </c>
      <c r="T19" s="53">
        <f t="shared" si="14"/>
        <v>705.47118499999988</v>
      </c>
      <c r="U19" s="46">
        <f t="shared" si="17"/>
        <v>687.46061499999985</v>
      </c>
      <c r="V19" s="19">
        <f t="shared" si="15"/>
        <v>751.4766795999999</v>
      </c>
      <c r="W19" s="19">
        <f t="shared" si="16"/>
        <v>765.49232959999995</v>
      </c>
      <c r="X19" s="46"/>
    </row>
    <row r="20" spans="1:24" x14ac:dyDescent="0.25">
      <c r="A20" s="17" t="s">
        <v>309</v>
      </c>
      <c r="B20" s="17" t="str">
        <f t="shared" si="0"/>
        <v>PG 31:0</v>
      </c>
      <c r="C20" s="1" t="str">
        <f t="shared" si="1"/>
        <v>31</v>
      </c>
      <c r="D20" s="1" t="str">
        <f t="shared" si="2"/>
        <v>0</v>
      </c>
      <c r="G20" s="17">
        <f t="shared" si="3"/>
        <v>37</v>
      </c>
      <c r="H20" s="17">
        <f t="shared" si="4"/>
        <v>73</v>
      </c>
      <c r="I20" s="17">
        <f t="shared" si="5"/>
        <v>10</v>
      </c>
      <c r="J20" s="17">
        <v>1</v>
      </c>
      <c r="L20" s="19" t="str">
        <f t="shared" si="6"/>
        <v>C37H73O10P1</v>
      </c>
      <c r="M20" s="19">
        <f t="shared" si="7"/>
        <v>708.49410879999994</v>
      </c>
      <c r="N20" s="19">
        <f t="shared" si="8"/>
        <v>709.50138340000001</v>
      </c>
      <c r="O20" s="19">
        <f t="shared" si="9"/>
        <v>691.4902634</v>
      </c>
      <c r="P20" s="19">
        <f t="shared" si="10"/>
        <v>726.52792879999993</v>
      </c>
      <c r="Q20" s="46">
        <f t="shared" si="11"/>
        <v>731.48332879999998</v>
      </c>
      <c r="R20" s="19">
        <f t="shared" si="12"/>
        <v>747.45726879999995</v>
      </c>
      <c r="S20" s="19">
        <f t="shared" si="13"/>
        <v>715.50956880000001</v>
      </c>
      <c r="T20" s="53">
        <f t="shared" si="14"/>
        <v>707.48683419999986</v>
      </c>
      <c r="U20" s="46">
        <f t="shared" si="17"/>
        <v>689.47626419999983</v>
      </c>
      <c r="V20" s="19">
        <f t="shared" si="15"/>
        <v>753.49232879999988</v>
      </c>
      <c r="W20" s="19">
        <f t="shared" si="16"/>
        <v>767.50797879999993</v>
      </c>
      <c r="X20" s="46"/>
    </row>
    <row r="21" spans="1:24" x14ac:dyDescent="0.25">
      <c r="A21" s="17" t="s">
        <v>484</v>
      </c>
      <c r="B21" s="17" t="str">
        <f t="shared" si="0"/>
        <v>PG 32:2</v>
      </c>
      <c r="C21" s="1" t="str">
        <f t="shared" si="1"/>
        <v>32</v>
      </c>
      <c r="D21" s="1" t="str">
        <f t="shared" si="2"/>
        <v>2</v>
      </c>
      <c r="G21" s="17">
        <f t="shared" si="3"/>
        <v>38</v>
      </c>
      <c r="H21" s="17">
        <f t="shared" si="4"/>
        <v>71</v>
      </c>
      <c r="I21" s="17">
        <f t="shared" si="5"/>
        <v>10</v>
      </c>
      <c r="J21" s="17">
        <v>1</v>
      </c>
      <c r="L21" s="19" t="str">
        <f t="shared" si="6"/>
        <v>C38H71O10P1</v>
      </c>
      <c r="M21" s="19">
        <f t="shared" si="7"/>
        <v>718.47845959999995</v>
      </c>
      <c r="N21" s="19">
        <f t="shared" si="8"/>
        <v>719.48573420000002</v>
      </c>
      <c r="O21" s="19">
        <f t="shared" si="9"/>
        <v>701.47461420000002</v>
      </c>
      <c r="P21" s="19">
        <f t="shared" si="10"/>
        <v>736.51227959999994</v>
      </c>
      <c r="Q21" s="46">
        <f t="shared" si="11"/>
        <v>741.4676796</v>
      </c>
      <c r="R21" s="19">
        <f t="shared" si="12"/>
        <v>757.44161959999997</v>
      </c>
      <c r="S21" s="19">
        <f t="shared" si="13"/>
        <v>725.49391960000003</v>
      </c>
      <c r="T21" s="53">
        <f t="shared" si="14"/>
        <v>717.47118499999988</v>
      </c>
      <c r="U21" s="46">
        <f t="shared" si="17"/>
        <v>699.46061499999985</v>
      </c>
      <c r="V21" s="19">
        <f t="shared" si="15"/>
        <v>763.4766795999999</v>
      </c>
      <c r="W21" s="19">
        <f t="shared" si="16"/>
        <v>777.49232959999995</v>
      </c>
      <c r="X21" s="46"/>
    </row>
    <row r="22" spans="1:24" s="125" customFormat="1" x14ac:dyDescent="0.25">
      <c r="A22" s="121" t="s">
        <v>109</v>
      </c>
      <c r="B22" s="121" t="str">
        <f t="shared" si="0"/>
        <v>PG 32:1</v>
      </c>
      <c r="C22" s="121" t="str">
        <f t="shared" si="1"/>
        <v>32</v>
      </c>
      <c r="D22" s="121" t="str">
        <f t="shared" si="2"/>
        <v>1</v>
      </c>
      <c r="E22" s="121"/>
      <c r="F22" s="121"/>
      <c r="G22" s="121">
        <f t="shared" si="3"/>
        <v>38</v>
      </c>
      <c r="H22" s="121">
        <f t="shared" si="4"/>
        <v>73</v>
      </c>
      <c r="I22" s="121">
        <f t="shared" si="5"/>
        <v>10</v>
      </c>
      <c r="J22" s="121">
        <v>1</v>
      </c>
      <c r="K22" s="121"/>
      <c r="L22" s="122" t="str">
        <f t="shared" si="6"/>
        <v>C38H73O10P1</v>
      </c>
      <c r="M22" s="122">
        <f t="shared" si="7"/>
        <v>720.49410879999994</v>
      </c>
      <c r="N22" s="122">
        <f t="shared" si="8"/>
        <v>721.50138340000001</v>
      </c>
      <c r="O22" s="122">
        <f t="shared" si="9"/>
        <v>703.4902634</v>
      </c>
      <c r="P22" s="122">
        <f t="shared" si="10"/>
        <v>738.52792879999993</v>
      </c>
      <c r="Q22" s="123">
        <f t="shared" si="11"/>
        <v>743.48332879999998</v>
      </c>
      <c r="R22" s="122">
        <f t="shared" si="12"/>
        <v>759.45726879999995</v>
      </c>
      <c r="S22" s="122">
        <f t="shared" si="13"/>
        <v>727.50956880000001</v>
      </c>
      <c r="T22" s="124">
        <f t="shared" si="14"/>
        <v>719.48683419999986</v>
      </c>
      <c r="U22" s="123">
        <f t="shared" si="17"/>
        <v>701.47626419999983</v>
      </c>
      <c r="V22" s="122">
        <f t="shared" si="15"/>
        <v>765.49232879999988</v>
      </c>
      <c r="W22" s="122">
        <f t="shared" si="16"/>
        <v>779.50797879999993</v>
      </c>
      <c r="X22" s="123"/>
    </row>
    <row r="23" spans="1:24" s="125" customFormat="1" x14ac:dyDescent="0.25">
      <c r="A23" s="121" t="s">
        <v>310</v>
      </c>
      <c r="B23" s="121" t="str">
        <f t="shared" si="0"/>
        <v>PG 32:0</v>
      </c>
      <c r="C23" s="121" t="str">
        <f t="shared" si="1"/>
        <v>32</v>
      </c>
      <c r="D23" s="121" t="str">
        <f t="shared" si="2"/>
        <v>0</v>
      </c>
      <c r="E23" s="121"/>
      <c r="F23" s="121"/>
      <c r="G23" s="121">
        <f t="shared" si="3"/>
        <v>38</v>
      </c>
      <c r="H23" s="121">
        <f t="shared" si="4"/>
        <v>75</v>
      </c>
      <c r="I23" s="121">
        <f t="shared" si="5"/>
        <v>10</v>
      </c>
      <c r="J23" s="121">
        <v>1</v>
      </c>
      <c r="K23" s="121"/>
      <c r="L23" s="122" t="str">
        <f t="shared" si="6"/>
        <v>C38H75O10P1</v>
      </c>
      <c r="M23" s="122">
        <f t="shared" si="7"/>
        <v>722.50975800000003</v>
      </c>
      <c r="N23" s="122">
        <f t="shared" si="8"/>
        <v>723.51703260000011</v>
      </c>
      <c r="O23" s="122">
        <f t="shared" si="9"/>
        <v>705.5059126000001</v>
      </c>
      <c r="P23" s="122">
        <f t="shared" si="10"/>
        <v>740.54357800000002</v>
      </c>
      <c r="Q23" s="123">
        <f t="shared" si="11"/>
        <v>745.49897800000008</v>
      </c>
      <c r="R23" s="122">
        <f t="shared" si="12"/>
        <v>761.47291800000005</v>
      </c>
      <c r="S23" s="122">
        <f t="shared" si="13"/>
        <v>729.52521800000011</v>
      </c>
      <c r="T23" s="124">
        <f t="shared" si="14"/>
        <v>721.50248339999996</v>
      </c>
      <c r="U23" s="123">
        <f t="shared" si="17"/>
        <v>703.49191339999993</v>
      </c>
      <c r="V23" s="122">
        <f t="shared" si="15"/>
        <v>767.50797799999998</v>
      </c>
      <c r="W23" s="122">
        <f t="shared" si="16"/>
        <v>781.52362800000003</v>
      </c>
      <c r="X23" s="123"/>
    </row>
    <row r="24" spans="1:24" s="125" customFormat="1" x14ac:dyDescent="0.25">
      <c r="A24" s="121" t="s">
        <v>495</v>
      </c>
      <c r="B24" s="121" t="str">
        <f t="shared" si="0"/>
        <v>PG 33:3</v>
      </c>
      <c r="C24" s="121" t="str">
        <f t="shared" si="1"/>
        <v>33</v>
      </c>
      <c r="D24" s="121" t="str">
        <f t="shared" si="2"/>
        <v>3</v>
      </c>
      <c r="E24" s="121"/>
      <c r="F24" s="121"/>
      <c r="G24" s="121">
        <f t="shared" si="3"/>
        <v>39</v>
      </c>
      <c r="H24" s="121">
        <f t="shared" si="4"/>
        <v>71</v>
      </c>
      <c r="I24" s="121">
        <f t="shared" si="5"/>
        <v>10</v>
      </c>
      <c r="J24" s="121">
        <v>1</v>
      </c>
      <c r="K24" s="121"/>
      <c r="L24" s="122" t="str">
        <f t="shared" si="6"/>
        <v>C39H71O10P1</v>
      </c>
      <c r="M24" s="122">
        <f t="shared" si="7"/>
        <v>730.47845959999995</v>
      </c>
      <c r="N24" s="122">
        <f t="shared" si="8"/>
        <v>731.48573420000002</v>
      </c>
      <c r="O24" s="122">
        <f t="shared" si="9"/>
        <v>713.47461420000002</v>
      </c>
      <c r="P24" s="122">
        <f t="shared" si="10"/>
        <v>748.51227959999994</v>
      </c>
      <c r="Q24" s="123">
        <f t="shared" si="11"/>
        <v>753.4676796</v>
      </c>
      <c r="R24" s="122">
        <f t="shared" si="12"/>
        <v>769.44161959999997</v>
      </c>
      <c r="S24" s="122">
        <f t="shared" si="13"/>
        <v>737.49391960000003</v>
      </c>
      <c r="T24" s="124">
        <f t="shared" si="14"/>
        <v>729.47118499999988</v>
      </c>
      <c r="U24" s="123">
        <f t="shared" si="17"/>
        <v>711.46061499999985</v>
      </c>
      <c r="V24" s="122">
        <f t="shared" si="15"/>
        <v>775.4766795999999</v>
      </c>
      <c r="W24" s="122">
        <f t="shared" si="16"/>
        <v>789.49232959999995</v>
      </c>
      <c r="X24" s="123"/>
    </row>
    <row r="25" spans="1:24" s="125" customFormat="1" x14ac:dyDescent="0.25">
      <c r="A25" s="121" t="s">
        <v>485</v>
      </c>
      <c r="B25" s="121" t="str">
        <f t="shared" si="0"/>
        <v>PG 33:2</v>
      </c>
      <c r="C25" s="121" t="str">
        <f t="shared" si="1"/>
        <v>33</v>
      </c>
      <c r="D25" s="121" t="str">
        <f t="shared" si="2"/>
        <v>2</v>
      </c>
      <c r="E25" s="121"/>
      <c r="F25" s="121"/>
      <c r="G25" s="121">
        <f t="shared" si="3"/>
        <v>39</v>
      </c>
      <c r="H25" s="121">
        <f t="shared" si="4"/>
        <v>73</v>
      </c>
      <c r="I25" s="121">
        <f t="shared" si="5"/>
        <v>10</v>
      </c>
      <c r="J25" s="121">
        <v>1</v>
      </c>
      <c r="K25" s="121"/>
      <c r="L25" s="122" t="str">
        <f t="shared" si="6"/>
        <v>C39H73O10P1</v>
      </c>
      <c r="M25" s="122">
        <f t="shared" si="7"/>
        <v>732.49410879999994</v>
      </c>
      <c r="N25" s="122">
        <f t="shared" si="8"/>
        <v>733.50138340000001</v>
      </c>
      <c r="O25" s="122">
        <f t="shared" si="9"/>
        <v>715.4902634</v>
      </c>
      <c r="P25" s="122">
        <f t="shared" si="10"/>
        <v>750.52792879999993</v>
      </c>
      <c r="Q25" s="123">
        <f t="shared" si="11"/>
        <v>755.48332879999998</v>
      </c>
      <c r="R25" s="122">
        <f t="shared" si="12"/>
        <v>771.45726879999995</v>
      </c>
      <c r="S25" s="122">
        <f t="shared" si="13"/>
        <v>739.50956880000001</v>
      </c>
      <c r="T25" s="124">
        <f t="shared" si="14"/>
        <v>731.48683419999986</v>
      </c>
      <c r="U25" s="123">
        <f t="shared" si="17"/>
        <v>713.47626419999983</v>
      </c>
      <c r="V25" s="122">
        <f t="shared" si="15"/>
        <v>777.49232879999988</v>
      </c>
      <c r="W25" s="122">
        <f t="shared" si="16"/>
        <v>791.50797879999993</v>
      </c>
      <c r="X25" s="121"/>
    </row>
    <row r="26" spans="1:24" s="125" customFormat="1" x14ac:dyDescent="0.25">
      <c r="A26" s="121" t="s">
        <v>477</v>
      </c>
      <c r="B26" s="121" t="str">
        <f t="shared" si="0"/>
        <v>PG 33:1</v>
      </c>
      <c r="C26" s="121" t="str">
        <f t="shared" si="1"/>
        <v>33</v>
      </c>
      <c r="D26" s="121" t="str">
        <f t="shared" si="2"/>
        <v>1</v>
      </c>
      <c r="E26" s="121"/>
      <c r="F26" s="121"/>
      <c r="G26" s="121">
        <f t="shared" si="3"/>
        <v>39</v>
      </c>
      <c r="H26" s="121">
        <f t="shared" si="4"/>
        <v>75</v>
      </c>
      <c r="I26" s="121">
        <f t="shared" si="5"/>
        <v>10</v>
      </c>
      <c r="J26" s="121">
        <v>1</v>
      </c>
      <c r="K26" s="121"/>
      <c r="L26" s="122" t="str">
        <f t="shared" si="6"/>
        <v>C39H75O10P1</v>
      </c>
      <c r="M26" s="122">
        <f t="shared" si="7"/>
        <v>734.50975800000003</v>
      </c>
      <c r="N26" s="122">
        <f t="shared" si="8"/>
        <v>735.51703260000011</v>
      </c>
      <c r="O26" s="122">
        <f t="shared" si="9"/>
        <v>717.5059126000001</v>
      </c>
      <c r="P26" s="122">
        <f t="shared" si="10"/>
        <v>752.54357800000002</v>
      </c>
      <c r="Q26" s="123">
        <f t="shared" si="11"/>
        <v>757.49897800000008</v>
      </c>
      <c r="R26" s="122">
        <f t="shared" si="12"/>
        <v>773.47291800000005</v>
      </c>
      <c r="S26" s="122">
        <f t="shared" si="13"/>
        <v>741.52521800000011</v>
      </c>
      <c r="T26" s="124">
        <f t="shared" si="14"/>
        <v>733.50248339999996</v>
      </c>
      <c r="U26" s="123">
        <f t="shared" si="17"/>
        <v>715.49191339999993</v>
      </c>
      <c r="V26" s="122">
        <f t="shared" si="15"/>
        <v>779.50797799999998</v>
      </c>
      <c r="W26" s="122">
        <f t="shared" si="16"/>
        <v>793.52362800000003</v>
      </c>
      <c r="X26" s="121"/>
    </row>
    <row r="27" spans="1:24" s="125" customFormat="1" x14ac:dyDescent="0.25">
      <c r="A27" s="121" t="s">
        <v>311</v>
      </c>
      <c r="B27" s="121" t="str">
        <f t="shared" si="0"/>
        <v>PG 33:0</v>
      </c>
      <c r="C27" s="121" t="str">
        <f t="shared" si="1"/>
        <v>33</v>
      </c>
      <c r="D27" s="121" t="str">
        <f t="shared" si="2"/>
        <v>0</v>
      </c>
      <c r="E27" s="121"/>
      <c r="F27" s="121"/>
      <c r="G27" s="121">
        <f t="shared" si="3"/>
        <v>39</v>
      </c>
      <c r="H27" s="121">
        <f t="shared" si="4"/>
        <v>77</v>
      </c>
      <c r="I27" s="121">
        <f t="shared" si="5"/>
        <v>10</v>
      </c>
      <c r="J27" s="121">
        <v>1</v>
      </c>
      <c r="K27" s="121"/>
      <c r="L27" s="122" t="str">
        <f t="shared" si="6"/>
        <v>C39H77O10P1</v>
      </c>
      <c r="M27" s="122">
        <f t="shared" si="7"/>
        <v>736.52540720000002</v>
      </c>
      <c r="N27" s="122">
        <f t="shared" si="8"/>
        <v>737.53268180000009</v>
      </c>
      <c r="O27" s="122">
        <f t="shared" si="9"/>
        <v>719.52156180000009</v>
      </c>
      <c r="P27" s="122">
        <f t="shared" si="10"/>
        <v>754.55922720000001</v>
      </c>
      <c r="Q27" s="123">
        <f t="shared" si="11"/>
        <v>759.51462720000006</v>
      </c>
      <c r="R27" s="122">
        <f t="shared" si="12"/>
        <v>775.48856720000003</v>
      </c>
      <c r="S27" s="122">
        <f t="shared" si="13"/>
        <v>743.54086720000009</v>
      </c>
      <c r="T27" s="124">
        <f t="shared" si="14"/>
        <v>735.51813259999994</v>
      </c>
      <c r="U27" s="123">
        <f t="shared" si="17"/>
        <v>717.50756259999991</v>
      </c>
      <c r="V27" s="122">
        <f t="shared" si="15"/>
        <v>781.52362719999996</v>
      </c>
      <c r="W27" s="122">
        <f t="shared" si="16"/>
        <v>795.53927720000002</v>
      </c>
      <c r="X27" s="121"/>
    </row>
    <row r="28" spans="1:24" s="125" customFormat="1" x14ac:dyDescent="0.25">
      <c r="A28" s="121" t="s">
        <v>496</v>
      </c>
      <c r="B28" s="121" t="str">
        <f t="shared" si="0"/>
        <v>PG 34:3</v>
      </c>
      <c r="C28" s="121" t="str">
        <f t="shared" si="1"/>
        <v>34</v>
      </c>
      <c r="D28" s="121" t="str">
        <f t="shared" si="2"/>
        <v>3</v>
      </c>
      <c r="E28" s="121"/>
      <c r="F28" s="121"/>
      <c r="G28" s="121">
        <f t="shared" si="3"/>
        <v>40</v>
      </c>
      <c r="H28" s="121">
        <f t="shared" si="4"/>
        <v>73</v>
      </c>
      <c r="I28" s="121">
        <f t="shared" si="5"/>
        <v>10</v>
      </c>
      <c r="J28" s="121">
        <v>1</v>
      </c>
      <c r="K28" s="121"/>
      <c r="L28" s="122" t="str">
        <f t="shared" si="6"/>
        <v>C40H73O10P1</v>
      </c>
      <c r="M28" s="122">
        <f t="shared" si="7"/>
        <v>744.49410879999994</v>
      </c>
      <c r="N28" s="122">
        <f t="shared" si="8"/>
        <v>745.50138340000001</v>
      </c>
      <c r="O28" s="122">
        <f t="shared" si="9"/>
        <v>727.4902634</v>
      </c>
      <c r="P28" s="122">
        <f t="shared" si="10"/>
        <v>762.52792879999993</v>
      </c>
      <c r="Q28" s="123">
        <f t="shared" si="11"/>
        <v>767.48332879999998</v>
      </c>
      <c r="R28" s="122">
        <f t="shared" si="12"/>
        <v>783.45726879999995</v>
      </c>
      <c r="S28" s="122">
        <f t="shared" si="13"/>
        <v>751.50956880000001</v>
      </c>
      <c r="T28" s="124">
        <f t="shared" si="14"/>
        <v>743.48683419999986</v>
      </c>
      <c r="U28" s="123">
        <f t="shared" si="17"/>
        <v>725.47626419999983</v>
      </c>
      <c r="V28" s="122">
        <f t="shared" si="15"/>
        <v>789.49232879999988</v>
      </c>
      <c r="W28" s="122">
        <f t="shared" si="16"/>
        <v>803.50797879999993</v>
      </c>
      <c r="X28" s="121"/>
    </row>
    <row r="29" spans="1:24" s="125" customFormat="1" x14ac:dyDescent="0.25">
      <c r="A29" s="121" t="s">
        <v>468</v>
      </c>
      <c r="B29" s="121" t="str">
        <f t="shared" si="0"/>
        <v>PG 34:2</v>
      </c>
      <c r="C29" s="121" t="str">
        <f t="shared" si="1"/>
        <v>34</v>
      </c>
      <c r="D29" s="121" t="str">
        <f t="shared" si="2"/>
        <v>2</v>
      </c>
      <c r="E29" s="121"/>
      <c r="F29" s="121"/>
      <c r="G29" s="121">
        <f t="shared" si="3"/>
        <v>40</v>
      </c>
      <c r="H29" s="121">
        <f t="shared" si="4"/>
        <v>75</v>
      </c>
      <c r="I29" s="121">
        <f t="shared" si="5"/>
        <v>10</v>
      </c>
      <c r="J29" s="121">
        <v>1</v>
      </c>
      <c r="K29" s="121"/>
      <c r="L29" s="122" t="str">
        <f t="shared" si="6"/>
        <v>C40H75O10P1</v>
      </c>
      <c r="M29" s="122">
        <f t="shared" si="7"/>
        <v>746.50975800000003</v>
      </c>
      <c r="N29" s="122">
        <f t="shared" si="8"/>
        <v>747.51703260000011</v>
      </c>
      <c r="O29" s="122">
        <f t="shared" si="9"/>
        <v>729.5059126000001</v>
      </c>
      <c r="P29" s="122">
        <f t="shared" si="10"/>
        <v>764.54357800000002</v>
      </c>
      <c r="Q29" s="123">
        <f t="shared" si="11"/>
        <v>769.49897800000008</v>
      </c>
      <c r="R29" s="122">
        <f t="shared" si="12"/>
        <v>785.47291800000005</v>
      </c>
      <c r="S29" s="122">
        <f t="shared" si="13"/>
        <v>753.52521800000011</v>
      </c>
      <c r="T29" s="124">
        <f t="shared" si="14"/>
        <v>745.50248339999996</v>
      </c>
      <c r="U29" s="123">
        <f t="shared" si="17"/>
        <v>727.49191339999993</v>
      </c>
      <c r="V29" s="122">
        <f t="shared" si="15"/>
        <v>791.50797799999998</v>
      </c>
      <c r="W29" s="122">
        <f t="shared" si="16"/>
        <v>805.52362800000003</v>
      </c>
      <c r="X29" s="121"/>
    </row>
    <row r="30" spans="1:24" s="125" customFormat="1" x14ac:dyDescent="0.25">
      <c r="A30" s="121" t="s">
        <v>478</v>
      </c>
      <c r="B30" s="121" t="str">
        <f t="shared" si="0"/>
        <v>PG 34:1</v>
      </c>
      <c r="C30" s="121" t="str">
        <f t="shared" si="1"/>
        <v>34</v>
      </c>
      <c r="D30" s="121" t="str">
        <f t="shared" si="2"/>
        <v>1</v>
      </c>
      <c r="E30" s="121"/>
      <c r="F30" s="121"/>
      <c r="G30" s="121">
        <f t="shared" si="3"/>
        <v>40</v>
      </c>
      <c r="H30" s="121">
        <f t="shared" si="4"/>
        <v>77</v>
      </c>
      <c r="I30" s="121">
        <f t="shared" si="5"/>
        <v>10</v>
      </c>
      <c r="J30" s="121">
        <v>1</v>
      </c>
      <c r="K30" s="121"/>
      <c r="L30" s="122" t="str">
        <f t="shared" si="6"/>
        <v>C40H77O10P1</v>
      </c>
      <c r="M30" s="122">
        <f t="shared" si="7"/>
        <v>748.52540720000002</v>
      </c>
      <c r="N30" s="122">
        <f t="shared" si="8"/>
        <v>749.53268180000009</v>
      </c>
      <c r="O30" s="122">
        <f t="shared" si="9"/>
        <v>731.52156180000009</v>
      </c>
      <c r="P30" s="122">
        <f t="shared" si="10"/>
        <v>766.55922720000001</v>
      </c>
      <c r="Q30" s="123">
        <f t="shared" si="11"/>
        <v>771.51462720000006</v>
      </c>
      <c r="R30" s="122">
        <f t="shared" si="12"/>
        <v>787.48856720000003</v>
      </c>
      <c r="S30" s="122">
        <f t="shared" si="13"/>
        <v>755.54086720000009</v>
      </c>
      <c r="T30" s="124">
        <f t="shared" si="14"/>
        <v>747.51813259999994</v>
      </c>
      <c r="U30" s="123">
        <f t="shared" si="17"/>
        <v>729.50756259999991</v>
      </c>
      <c r="V30" s="122">
        <f t="shared" si="15"/>
        <v>793.52362719999996</v>
      </c>
      <c r="W30" s="122">
        <f t="shared" si="16"/>
        <v>807.53927720000002</v>
      </c>
      <c r="X30" s="121"/>
    </row>
    <row r="31" spans="1:24" s="125" customFormat="1" x14ac:dyDescent="0.25">
      <c r="A31" s="121" t="s">
        <v>312</v>
      </c>
      <c r="B31" s="121" t="str">
        <f t="shared" si="0"/>
        <v>PG 34:0</v>
      </c>
      <c r="C31" s="121" t="str">
        <f t="shared" si="1"/>
        <v>34</v>
      </c>
      <c r="D31" s="121" t="str">
        <f t="shared" si="2"/>
        <v>0</v>
      </c>
      <c r="E31" s="121"/>
      <c r="F31" s="121"/>
      <c r="G31" s="121">
        <f t="shared" si="3"/>
        <v>40</v>
      </c>
      <c r="H31" s="121">
        <f t="shared" si="4"/>
        <v>79</v>
      </c>
      <c r="I31" s="121">
        <f t="shared" si="5"/>
        <v>10</v>
      </c>
      <c r="J31" s="121">
        <v>1</v>
      </c>
      <c r="K31" s="121"/>
      <c r="L31" s="122" t="str">
        <f t="shared" si="6"/>
        <v>C40H79O10P1</v>
      </c>
      <c r="M31" s="122">
        <f t="shared" si="7"/>
        <v>750.5410564</v>
      </c>
      <c r="N31" s="122">
        <f t="shared" si="8"/>
        <v>751.54833100000008</v>
      </c>
      <c r="O31" s="122">
        <f t="shared" si="9"/>
        <v>733.53721100000007</v>
      </c>
      <c r="P31" s="122">
        <f t="shared" si="10"/>
        <v>768.57487639999999</v>
      </c>
      <c r="Q31" s="123">
        <f t="shared" si="11"/>
        <v>773.53027640000005</v>
      </c>
      <c r="R31" s="122">
        <f t="shared" si="12"/>
        <v>789.50421640000002</v>
      </c>
      <c r="S31" s="122">
        <f t="shared" si="13"/>
        <v>757.55651640000008</v>
      </c>
      <c r="T31" s="124">
        <f t="shared" si="14"/>
        <v>749.53378179999993</v>
      </c>
      <c r="U31" s="123">
        <f t="shared" si="17"/>
        <v>731.5232117999999</v>
      </c>
      <c r="V31" s="122">
        <f t="shared" si="15"/>
        <v>795.53927639999995</v>
      </c>
      <c r="W31" s="122">
        <f t="shared" si="16"/>
        <v>809.5549264</v>
      </c>
      <c r="X31" s="121"/>
    </row>
    <row r="32" spans="1:24" s="125" customFormat="1" x14ac:dyDescent="0.25">
      <c r="A32" s="121" t="s">
        <v>497</v>
      </c>
      <c r="B32" s="121" t="str">
        <f t="shared" si="0"/>
        <v>PG 35:3</v>
      </c>
      <c r="C32" s="121" t="str">
        <f t="shared" si="1"/>
        <v>35</v>
      </c>
      <c r="D32" s="121" t="str">
        <f t="shared" si="2"/>
        <v>3</v>
      </c>
      <c r="E32" s="121"/>
      <c r="F32" s="121"/>
      <c r="G32" s="121">
        <f t="shared" si="3"/>
        <v>41</v>
      </c>
      <c r="H32" s="121">
        <f t="shared" si="4"/>
        <v>75</v>
      </c>
      <c r="I32" s="121">
        <f t="shared" si="5"/>
        <v>10</v>
      </c>
      <c r="J32" s="121">
        <v>1</v>
      </c>
      <c r="K32" s="121"/>
      <c r="L32" s="122" t="str">
        <f t="shared" si="6"/>
        <v>C41H75O10P1</v>
      </c>
      <c r="M32" s="122">
        <f t="shared" si="7"/>
        <v>758.50975800000003</v>
      </c>
      <c r="N32" s="122">
        <f t="shared" si="8"/>
        <v>759.51703260000011</v>
      </c>
      <c r="O32" s="122">
        <f t="shared" si="9"/>
        <v>741.5059126000001</v>
      </c>
      <c r="P32" s="122">
        <f t="shared" si="10"/>
        <v>776.54357800000002</v>
      </c>
      <c r="Q32" s="123">
        <f t="shared" si="11"/>
        <v>781.49897800000008</v>
      </c>
      <c r="R32" s="122">
        <f t="shared" si="12"/>
        <v>797.47291800000005</v>
      </c>
      <c r="S32" s="122">
        <f t="shared" si="13"/>
        <v>765.52521800000011</v>
      </c>
      <c r="T32" s="124">
        <f t="shared" si="14"/>
        <v>757.50248339999996</v>
      </c>
      <c r="U32" s="123">
        <f t="shared" si="17"/>
        <v>739.49191339999993</v>
      </c>
      <c r="V32" s="122">
        <f t="shared" si="15"/>
        <v>803.50797799999998</v>
      </c>
      <c r="W32" s="122">
        <f t="shared" si="16"/>
        <v>817.52362800000003</v>
      </c>
      <c r="X32" s="121"/>
    </row>
    <row r="33" spans="1:24" s="125" customFormat="1" x14ac:dyDescent="0.25">
      <c r="A33" s="121" t="s">
        <v>486</v>
      </c>
      <c r="B33" s="121" t="str">
        <f t="shared" si="0"/>
        <v>PG 35:2</v>
      </c>
      <c r="C33" s="121" t="str">
        <f t="shared" si="1"/>
        <v>35</v>
      </c>
      <c r="D33" s="121" t="str">
        <f t="shared" si="2"/>
        <v>2</v>
      </c>
      <c r="E33" s="121"/>
      <c r="F33" s="121"/>
      <c r="G33" s="121">
        <f t="shared" si="3"/>
        <v>41</v>
      </c>
      <c r="H33" s="121">
        <f t="shared" si="4"/>
        <v>77</v>
      </c>
      <c r="I33" s="121">
        <f t="shared" si="5"/>
        <v>10</v>
      </c>
      <c r="J33" s="121">
        <v>1</v>
      </c>
      <c r="K33" s="121"/>
      <c r="L33" s="122" t="str">
        <f t="shared" si="6"/>
        <v>C41H77O10P1</v>
      </c>
      <c r="M33" s="122">
        <f t="shared" si="7"/>
        <v>760.52540720000002</v>
      </c>
      <c r="N33" s="122">
        <f t="shared" si="8"/>
        <v>761.53268180000009</v>
      </c>
      <c r="O33" s="122">
        <f t="shared" si="9"/>
        <v>743.52156180000009</v>
      </c>
      <c r="P33" s="122">
        <f t="shared" si="10"/>
        <v>778.55922720000001</v>
      </c>
      <c r="Q33" s="123">
        <f t="shared" si="11"/>
        <v>783.51462720000006</v>
      </c>
      <c r="R33" s="122">
        <f t="shared" si="12"/>
        <v>799.48856720000003</v>
      </c>
      <c r="S33" s="122">
        <f t="shared" si="13"/>
        <v>767.54086720000009</v>
      </c>
      <c r="T33" s="124">
        <f t="shared" si="14"/>
        <v>759.51813259999994</v>
      </c>
      <c r="U33" s="123">
        <f t="shared" si="17"/>
        <v>741.50756259999991</v>
      </c>
      <c r="V33" s="122">
        <f t="shared" si="15"/>
        <v>805.52362719999996</v>
      </c>
      <c r="W33" s="122">
        <f t="shared" si="16"/>
        <v>819.53927720000002</v>
      </c>
      <c r="X33" s="121"/>
    </row>
    <row r="34" spans="1:24" s="125" customFormat="1" x14ac:dyDescent="0.25">
      <c r="A34" s="121" t="s">
        <v>479</v>
      </c>
      <c r="B34" s="121" t="str">
        <f t="shared" si="0"/>
        <v>PG 35:1</v>
      </c>
      <c r="C34" s="121" t="str">
        <f t="shared" si="1"/>
        <v>35</v>
      </c>
      <c r="D34" s="121" t="str">
        <f t="shared" si="2"/>
        <v>1</v>
      </c>
      <c r="E34" s="121"/>
      <c r="F34" s="121"/>
      <c r="G34" s="121">
        <f t="shared" si="3"/>
        <v>41</v>
      </c>
      <c r="H34" s="121">
        <f t="shared" si="4"/>
        <v>79</v>
      </c>
      <c r="I34" s="121">
        <f t="shared" si="5"/>
        <v>10</v>
      </c>
      <c r="J34" s="121">
        <v>1</v>
      </c>
      <c r="K34" s="121"/>
      <c r="L34" s="122" t="str">
        <f t="shared" si="6"/>
        <v>C41H79O10P1</v>
      </c>
      <c r="M34" s="122">
        <f t="shared" si="7"/>
        <v>762.5410564</v>
      </c>
      <c r="N34" s="122">
        <f t="shared" si="8"/>
        <v>763.54833100000008</v>
      </c>
      <c r="O34" s="122">
        <f t="shared" si="9"/>
        <v>745.53721100000007</v>
      </c>
      <c r="P34" s="122">
        <f t="shared" si="10"/>
        <v>780.57487639999999</v>
      </c>
      <c r="Q34" s="123">
        <f t="shared" si="11"/>
        <v>785.53027640000005</v>
      </c>
      <c r="R34" s="122">
        <f t="shared" si="12"/>
        <v>801.50421640000002</v>
      </c>
      <c r="S34" s="122">
        <f t="shared" si="13"/>
        <v>769.55651640000008</v>
      </c>
      <c r="T34" s="124">
        <f t="shared" si="14"/>
        <v>761.53378179999993</v>
      </c>
      <c r="U34" s="123">
        <f t="shared" si="17"/>
        <v>743.5232117999999</v>
      </c>
      <c r="V34" s="122">
        <f t="shared" si="15"/>
        <v>807.53927639999995</v>
      </c>
      <c r="W34" s="122">
        <f t="shared" si="16"/>
        <v>821.5549264</v>
      </c>
      <c r="X34" s="121"/>
    </row>
    <row r="35" spans="1:24" x14ac:dyDescent="0.25">
      <c r="A35" s="17" t="s">
        <v>313</v>
      </c>
      <c r="B35" s="17" t="str">
        <f t="shared" si="0"/>
        <v>PG 35:0</v>
      </c>
      <c r="C35" s="1" t="str">
        <f t="shared" si="1"/>
        <v>35</v>
      </c>
      <c r="D35" s="1" t="str">
        <f t="shared" si="2"/>
        <v>0</v>
      </c>
      <c r="G35" s="17">
        <f t="shared" si="3"/>
        <v>41</v>
      </c>
      <c r="H35" s="17">
        <f t="shared" si="4"/>
        <v>81</v>
      </c>
      <c r="I35" s="17">
        <f t="shared" si="5"/>
        <v>10</v>
      </c>
      <c r="J35" s="17">
        <v>1</v>
      </c>
      <c r="L35" s="19" t="str">
        <f t="shared" si="6"/>
        <v>C41H81O10P1</v>
      </c>
      <c r="M35" s="19">
        <f t="shared" si="7"/>
        <v>764.55670559999999</v>
      </c>
      <c r="N35" s="19">
        <f t="shared" si="8"/>
        <v>765.56398020000006</v>
      </c>
      <c r="O35" s="19">
        <f t="shared" si="9"/>
        <v>747.55286020000005</v>
      </c>
      <c r="P35" s="19">
        <f t="shared" si="10"/>
        <v>782.59052559999998</v>
      </c>
      <c r="Q35" s="46">
        <f t="shared" si="11"/>
        <v>787.54592560000003</v>
      </c>
      <c r="R35" s="19">
        <f t="shared" si="12"/>
        <v>803.5198656</v>
      </c>
      <c r="S35" s="19">
        <f t="shared" si="13"/>
        <v>771.57216560000006</v>
      </c>
      <c r="T35" s="53">
        <f t="shared" si="14"/>
        <v>763.54943099999991</v>
      </c>
      <c r="U35" s="46">
        <f t="shared" si="17"/>
        <v>745.53886099999988</v>
      </c>
      <c r="V35" s="19">
        <f t="shared" si="15"/>
        <v>809.55492559999993</v>
      </c>
      <c r="W35" s="19">
        <f t="shared" si="16"/>
        <v>823.57057559999998</v>
      </c>
    </row>
    <row r="36" spans="1:24" x14ac:dyDescent="0.25">
      <c r="A36" s="17" t="s">
        <v>498</v>
      </c>
      <c r="B36" s="17" t="str">
        <f t="shared" si="0"/>
        <v>PG 36:3</v>
      </c>
      <c r="C36" s="1" t="str">
        <f t="shared" si="1"/>
        <v>36</v>
      </c>
      <c r="D36" s="1" t="str">
        <f t="shared" si="2"/>
        <v>3</v>
      </c>
      <c r="G36" s="17">
        <f t="shared" si="3"/>
        <v>42</v>
      </c>
      <c r="H36" s="17">
        <f t="shared" si="4"/>
        <v>77</v>
      </c>
      <c r="I36" s="17">
        <f t="shared" si="5"/>
        <v>10</v>
      </c>
      <c r="J36" s="17">
        <v>1</v>
      </c>
      <c r="L36" s="19" t="str">
        <f t="shared" si="6"/>
        <v>C42H77O10P1</v>
      </c>
      <c r="M36" s="19">
        <f t="shared" si="7"/>
        <v>772.52540720000002</v>
      </c>
      <c r="N36" s="19">
        <f t="shared" si="8"/>
        <v>773.53268180000009</v>
      </c>
      <c r="O36" s="19">
        <f t="shared" si="9"/>
        <v>755.52156180000009</v>
      </c>
      <c r="P36" s="19">
        <f t="shared" si="10"/>
        <v>790.55922720000001</v>
      </c>
      <c r="Q36" s="46">
        <f t="shared" si="11"/>
        <v>795.51462720000006</v>
      </c>
      <c r="R36" s="19">
        <f t="shared" si="12"/>
        <v>811.48856720000003</v>
      </c>
      <c r="S36" s="19">
        <f t="shared" si="13"/>
        <v>779.54086720000009</v>
      </c>
      <c r="T36" s="53">
        <f t="shared" si="14"/>
        <v>771.51813259999994</v>
      </c>
      <c r="U36" s="46">
        <f t="shared" si="17"/>
        <v>753.50756259999991</v>
      </c>
      <c r="V36" s="19">
        <f t="shared" si="15"/>
        <v>817.52362719999996</v>
      </c>
      <c r="W36" s="19">
        <f t="shared" si="16"/>
        <v>831.53927720000002</v>
      </c>
    </row>
    <row r="37" spans="1:24" x14ac:dyDescent="0.25">
      <c r="A37" s="17" t="s">
        <v>487</v>
      </c>
      <c r="B37" s="17" t="str">
        <f t="shared" si="0"/>
        <v>PG 36:2</v>
      </c>
      <c r="C37" s="1" t="str">
        <f t="shared" si="1"/>
        <v>36</v>
      </c>
      <c r="D37" s="1" t="str">
        <f t="shared" si="2"/>
        <v>2</v>
      </c>
      <c r="G37" s="17">
        <f t="shared" si="3"/>
        <v>42</v>
      </c>
      <c r="H37" s="17">
        <f t="shared" si="4"/>
        <v>79</v>
      </c>
      <c r="I37" s="17">
        <f t="shared" si="5"/>
        <v>10</v>
      </c>
      <c r="J37" s="17">
        <v>1</v>
      </c>
      <c r="L37" s="19" t="str">
        <f t="shared" si="6"/>
        <v>C42H79O10P1</v>
      </c>
      <c r="M37" s="19">
        <f t="shared" si="7"/>
        <v>774.5410564</v>
      </c>
      <c r="N37" s="19">
        <f t="shared" si="8"/>
        <v>775.54833100000008</v>
      </c>
      <c r="O37" s="19">
        <f t="shared" si="9"/>
        <v>757.53721100000007</v>
      </c>
      <c r="P37" s="19">
        <f t="shared" si="10"/>
        <v>792.57487639999999</v>
      </c>
      <c r="Q37" s="46">
        <f t="shared" si="11"/>
        <v>797.53027640000005</v>
      </c>
      <c r="R37" s="19">
        <f t="shared" si="12"/>
        <v>813.50421640000002</v>
      </c>
      <c r="S37" s="19">
        <f t="shared" si="13"/>
        <v>781.55651640000008</v>
      </c>
      <c r="T37" s="53">
        <f t="shared" si="14"/>
        <v>773.53378179999993</v>
      </c>
      <c r="U37" s="46">
        <f t="shared" si="17"/>
        <v>755.5232117999999</v>
      </c>
      <c r="V37" s="19">
        <f t="shared" si="15"/>
        <v>819.53927639999995</v>
      </c>
      <c r="W37" s="19">
        <f t="shared" si="16"/>
        <v>833.5549264</v>
      </c>
    </row>
    <row r="38" spans="1:24" x14ac:dyDescent="0.25">
      <c r="A38" s="17" t="s">
        <v>480</v>
      </c>
      <c r="B38" s="17" t="str">
        <f t="shared" si="0"/>
        <v>PG 36:1</v>
      </c>
      <c r="C38" s="1" t="str">
        <f t="shared" si="1"/>
        <v>36</v>
      </c>
      <c r="D38" s="1" t="str">
        <f t="shared" si="2"/>
        <v>1</v>
      </c>
      <c r="G38" s="17">
        <f t="shared" si="3"/>
        <v>42</v>
      </c>
      <c r="H38" s="17">
        <f t="shared" si="4"/>
        <v>81</v>
      </c>
      <c r="I38" s="17">
        <f t="shared" si="5"/>
        <v>10</v>
      </c>
      <c r="J38" s="17">
        <v>1</v>
      </c>
      <c r="L38" s="19" t="str">
        <f t="shared" si="6"/>
        <v>C42H81O10P1</v>
      </c>
      <c r="M38" s="19">
        <f t="shared" si="7"/>
        <v>776.55670559999999</v>
      </c>
      <c r="N38" s="19">
        <f t="shared" si="8"/>
        <v>777.56398020000006</v>
      </c>
      <c r="O38" s="19">
        <f t="shared" si="9"/>
        <v>759.55286020000005</v>
      </c>
      <c r="P38" s="19">
        <f t="shared" si="10"/>
        <v>794.59052559999998</v>
      </c>
      <c r="Q38" s="46">
        <f t="shared" si="11"/>
        <v>799.54592560000003</v>
      </c>
      <c r="R38" s="19">
        <f t="shared" si="12"/>
        <v>815.5198656</v>
      </c>
      <c r="S38" s="19">
        <f t="shared" si="13"/>
        <v>783.57216560000006</v>
      </c>
      <c r="T38" s="53">
        <f t="shared" si="14"/>
        <v>775.54943099999991</v>
      </c>
      <c r="U38" s="46">
        <f t="shared" si="17"/>
        <v>757.53886099999988</v>
      </c>
      <c r="V38" s="19">
        <f t="shared" si="15"/>
        <v>821.55492559999993</v>
      </c>
      <c r="W38" s="19">
        <f t="shared" si="16"/>
        <v>835.57057559999998</v>
      </c>
    </row>
    <row r="39" spans="1:24" x14ac:dyDescent="0.25">
      <c r="A39" s="17" t="s">
        <v>314</v>
      </c>
      <c r="B39" s="17" t="str">
        <f t="shared" si="0"/>
        <v>PG 36:0</v>
      </c>
      <c r="C39" s="1" t="str">
        <f t="shared" si="1"/>
        <v>36</v>
      </c>
      <c r="D39" s="1" t="str">
        <f t="shared" si="2"/>
        <v>0</v>
      </c>
      <c r="G39" s="17">
        <f t="shared" si="3"/>
        <v>42</v>
      </c>
      <c r="H39" s="17">
        <f t="shared" si="4"/>
        <v>83</v>
      </c>
      <c r="I39" s="17">
        <f t="shared" si="5"/>
        <v>10</v>
      </c>
      <c r="J39" s="17">
        <v>1</v>
      </c>
      <c r="L39" s="19" t="str">
        <f t="shared" si="6"/>
        <v>C42H83O10P1</v>
      </c>
      <c r="M39" s="19">
        <f t="shared" si="7"/>
        <v>778.57235479999997</v>
      </c>
      <c r="N39" s="19">
        <f t="shared" si="8"/>
        <v>779.57962940000004</v>
      </c>
      <c r="O39" s="19">
        <f t="shared" si="9"/>
        <v>761.56850940000004</v>
      </c>
      <c r="P39" s="19">
        <f t="shared" si="10"/>
        <v>796.60617479999996</v>
      </c>
      <c r="Q39" s="46">
        <f t="shared" si="11"/>
        <v>801.56157480000002</v>
      </c>
      <c r="R39" s="19">
        <f t="shared" si="12"/>
        <v>817.53551479999999</v>
      </c>
      <c r="S39" s="19">
        <f t="shared" si="13"/>
        <v>785.58781480000005</v>
      </c>
      <c r="T39" s="53">
        <f t="shared" si="14"/>
        <v>777.5650801999999</v>
      </c>
      <c r="U39" s="46">
        <f t="shared" si="17"/>
        <v>759.55451019999987</v>
      </c>
      <c r="V39" s="19">
        <f t="shared" si="15"/>
        <v>823.57057479999992</v>
      </c>
      <c r="W39" s="19">
        <f t="shared" si="16"/>
        <v>837.58622479999997</v>
      </c>
    </row>
    <row r="40" spans="1:24" x14ac:dyDescent="0.25">
      <c r="A40" s="17" t="s">
        <v>499</v>
      </c>
      <c r="B40" s="17" t="str">
        <f t="shared" si="0"/>
        <v>PG 37:3</v>
      </c>
      <c r="C40" s="1" t="str">
        <f t="shared" si="1"/>
        <v>37</v>
      </c>
      <c r="D40" s="1" t="str">
        <f t="shared" si="2"/>
        <v>3</v>
      </c>
      <c r="G40" s="17">
        <f t="shared" si="3"/>
        <v>43</v>
      </c>
      <c r="H40" s="17">
        <f t="shared" si="4"/>
        <v>79</v>
      </c>
      <c r="I40" s="17">
        <f t="shared" si="5"/>
        <v>10</v>
      </c>
      <c r="J40" s="17">
        <v>1</v>
      </c>
      <c r="L40" s="19" t="str">
        <f t="shared" si="6"/>
        <v>C43H79O10P1</v>
      </c>
      <c r="M40" s="19">
        <f t="shared" si="7"/>
        <v>786.5410564</v>
      </c>
      <c r="N40" s="19">
        <f t="shared" si="8"/>
        <v>787.54833100000008</v>
      </c>
      <c r="O40" s="19">
        <f t="shared" si="9"/>
        <v>769.53721100000007</v>
      </c>
      <c r="P40" s="19">
        <f t="shared" si="10"/>
        <v>804.57487639999999</v>
      </c>
      <c r="Q40" s="46">
        <f t="shared" si="11"/>
        <v>809.53027640000005</v>
      </c>
      <c r="R40" s="19">
        <f t="shared" si="12"/>
        <v>825.50421640000002</v>
      </c>
      <c r="S40" s="19">
        <f t="shared" si="13"/>
        <v>793.55651640000008</v>
      </c>
      <c r="T40" s="53">
        <f t="shared" si="14"/>
        <v>785.53378179999993</v>
      </c>
      <c r="U40" s="46">
        <f t="shared" si="17"/>
        <v>767.5232117999999</v>
      </c>
      <c r="V40" s="19">
        <f t="shared" si="15"/>
        <v>831.53927639999995</v>
      </c>
      <c r="W40" s="19">
        <f t="shared" si="16"/>
        <v>845.5549264</v>
      </c>
    </row>
    <row r="41" spans="1:24" x14ac:dyDescent="0.25">
      <c r="A41" s="17" t="s">
        <v>490</v>
      </c>
      <c r="B41" s="17" t="str">
        <f t="shared" si="0"/>
        <v>PG 37:2</v>
      </c>
      <c r="C41" s="1" t="str">
        <f t="shared" si="1"/>
        <v>37</v>
      </c>
      <c r="D41" s="1" t="str">
        <f t="shared" si="2"/>
        <v>2</v>
      </c>
      <c r="G41" s="17">
        <f t="shared" si="3"/>
        <v>43</v>
      </c>
      <c r="H41" s="17">
        <f t="shared" si="4"/>
        <v>81</v>
      </c>
      <c r="I41" s="17">
        <f t="shared" si="5"/>
        <v>10</v>
      </c>
      <c r="J41" s="17">
        <v>1</v>
      </c>
      <c r="L41" s="19" t="str">
        <f t="shared" si="6"/>
        <v>C43H81O10P1</v>
      </c>
      <c r="M41" s="19">
        <f t="shared" si="7"/>
        <v>788.55670559999999</v>
      </c>
      <c r="N41" s="19">
        <f t="shared" si="8"/>
        <v>789.56398020000006</v>
      </c>
      <c r="O41" s="19">
        <f t="shared" si="9"/>
        <v>771.55286020000005</v>
      </c>
      <c r="P41" s="19">
        <f t="shared" si="10"/>
        <v>806.59052559999998</v>
      </c>
      <c r="Q41" s="46">
        <f t="shared" si="11"/>
        <v>811.54592560000003</v>
      </c>
      <c r="R41" s="19">
        <f t="shared" si="12"/>
        <v>827.5198656</v>
      </c>
      <c r="S41" s="19">
        <f t="shared" si="13"/>
        <v>795.57216560000006</v>
      </c>
      <c r="T41" s="53">
        <f t="shared" si="14"/>
        <v>787.54943099999991</v>
      </c>
      <c r="U41" s="46">
        <f t="shared" si="17"/>
        <v>769.53886099999988</v>
      </c>
      <c r="V41" s="19">
        <f t="shared" si="15"/>
        <v>833.55492559999993</v>
      </c>
      <c r="W41" s="19">
        <f t="shared" si="16"/>
        <v>847.57057559999998</v>
      </c>
    </row>
    <row r="42" spans="1:24" x14ac:dyDescent="0.25">
      <c r="A42" s="17" t="s">
        <v>488</v>
      </c>
      <c r="B42" s="17" t="str">
        <f t="shared" si="0"/>
        <v>PG 37:1</v>
      </c>
      <c r="C42" s="1" t="str">
        <f t="shared" si="1"/>
        <v>37</v>
      </c>
      <c r="D42" s="1" t="str">
        <f t="shared" si="2"/>
        <v>1</v>
      </c>
      <c r="G42" s="17">
        <f t="shared" si="3"/>
        <v>43</v>
      </c>
      <c r="H42" s="17">
        <f t="shared" si="4"/>
        <v>83</v>
      </c>
      <c r="I42" s="17">
        <f t="shared" si="5"/>
        <v>10</v>
      </c>
      <c r="J42" s="17">
        <v>1</v>
      </c>
      <c r="L42" s="19" t="str">
        <f t="shared" si="6"/>
        <v>C43H83O10P1</v>
      </c>
      <c r="M42" s="19">
        <f t="shared" si="7"/>
        <v>790.57235479999997</v>
      </c>
      <c r="N42" s="19">
        <f t="shared" si="8"/>
        <v>791.57962940000004</v>
      </c>
      <c r="O42" s="19">
        <f t="shared" si="9"/>
        <v>773.56850940000004</v>
      </c>
      <c r="P42" s="19">
        <f t="shared" si="10"/>
        <v>808.60617479999996</v>
      </c>
      <c r="Q42" s="46">
        <f t="shared" si="11"/>
        <v>813.56157480000002</v>
      </c>
      <c r="R42" s="19">
        <f t="shared" si="12"/>
        <v>829.53551479999999</v>
      </c>
      <c r="S42" s="19">
        <f t="shared" si="13"/>
        <v>797.58781480000005</v>
      </c>
      <c r="T42" s="53">
        <f t="shared" si="14"/>
        <v>789.5650801999999</v>
      </c>
      <c r="U42" s="46">
        <f t="shared" si="17"/>
        <v>771.55451019999987</v>
      </c>
      <c r="V42" s="19">
        <f t="shared" si="15"/>
        <v>835.57057479999992</v>
      </c>
      <c r="W42" s="19">
        <f t="shared" si="16"/>
        <v>849.58622479999997</v>
      </c>
    </row>
    <row r="43" spans="1:24" x14ac:dyDescent="0.25">
      <c r="A43" s="17" t="s">
        <v>315</v>
      </c>
      <c r="B43" s="17" t="str">
        <f t="shared" si="0"/>
        <v>PG 37:0</v>
      </c>
      <c r="C43" s="1" t="str">
        <f t="shared" si="1"/>
        <v>37</v>
      </c>
      <c r="D43" s="1" t="str">
        <f t="shared" si="2"/>
        <v>0</v>
      </c>
      <c r="G43" s="17">
        <f t="shared" si="3"/>
        <v>43</v>
      </c>
      <c r="H43" s="17">
        <f t="shared" si="4"/>
        <v>85</v>
      </c>
      <c r="I43" s="17">
        <f t="shared" si="5"/>
        <v>10</v>
      </c>
      <c r="J43" s="17">
        <v>1</v>
      </c>
      <c r="L43" s="19" t="str">
        <f t="shared" si="6"/>
        <v>C43H85O10P1</v>
      </c>
      <c r="M43" s="19">
        <f t="shared" si="7"/>
        <v>792.58800399999996</v>
      </c>
      <c r="N43" s="19">
        <f t="shared" si="8"/>
        <v>793.59527860000003</v>
      </c>
      <c r="O43" s="19">
        <f t="shared" si="9"/>
        <v>775.58415860000002</v>
      </c>
      <c r="P43" s="19">
        <f t="shared" si="10"/>
        <v>810.62182399999995</v>
      </c>
      <c r="Q43" s="46">
        <f t="shared" si="11"/>
        <v>815.577224</v>
      </c>
      <c r="R43" s="19">
        <f t="shared" si="12"/>
        <v>831.55116399999997</v>
      </c>
      <c r="S43" s="19">
        <f t="shared" si="13"/>
        <v>799.60346400000003</v>
      </c>
      <c r="T43" s="53">
        <f t="shared" si="14"/>
        <v>791.58072939999988</v>
      </c>
      <c r="U43" s="46">
        <f t="shared" si="17"/>
        <v>773.57015939999985</v>
      </c>
      <c r="V43" s="19">
        <f t="shared" si="15"/>
        <v>837.5862239999999</v>
      </c>
      <c r="W43" s="19">
        <f t="shared" si="16"/>
        <v>851.60187399999995</v>
      </c>
    </row>
    <row r="44" spans="1:24" x14ac:dyDescent="0.25">
      <c r="A44" s="17" t="s">
        <v>500</v>
      </c>
      <c r="B44" s="17" t="str">
        <f t="shared" si="0"/>
        <v>PG 38:3</v>
      </c>
      <c r="C44" s="1" t="str">
        <f t="shared" si="1"/>
        <v>38</v>
      </c>
      <c r="D44" s="1" t="str">
        <f t="shared" si="2"/>
        <v>3</v>
      </c>
      <c r="G44" s="17">
        <f t="shared" si="3"/>
        <v>44</v>
      </c>
      <c r="H44" s="17">
        <f t="shared" si="4"/>
        <v>81</v>
      </c>
      <c r="I44" s="17">
        <f t="shared" si="5"/>
        <v>10</v>
      </c>
      <c r="J44" s="17">
        <v>1</v>
      </c>
      <c r="L44" s="19" t="str">
        <f t="shared" si="6"/>
        <v>C44H81O10P1</v>
      </c>
      <c r="M44" s="19">
        <f t="shared" si="7"/>
        <v>800.55670559999999</v>
      </c>
      <c r="N44" s="19">
        <f t="shared" si="8"/>
        <v>801.56398020000006</v>
      </c>
      <c r="O44" s="19">
        <f t="shared" si="9"/>
        <v>783.55286020000005</v>
      </c>
      <c r="P44" s="19">
        <f t="shared" si="10"/>
        <v>818.59052559999998</v>
      </c>
      <c r="Q44" s="46">
        <f t="shared" si="11"/>
        <v>823.54592560000003</v>
      </c>
      <c r="R44" s="19">
        <f t="shared" si="12"/>
        <v>839.5198656</v>
      </c>
      <c r="S44" s="19">
        <f t="shared" si="13"/>
        <v>807.57216560000006</v>
      </c>
      <c r="T44" s="53">
        <f t="shared" si="14"/>
        <v>799.54943099999991</v>
      </c>
      <c r="U44" s="46">
        <f t="shared" si="17"/>
        <v>781.53886099999988</v>
      </c>
      <c r="V44" s="19">
        <f t="shared" si="15"/>
        <v>845.55492559999993</v>
      </c>
      <c r="W44" s="19">
        <f t="shared" si="16"/>
        <v>859.57057559999998</v>
      </c>
    </row>
    <row r="45" spans="1:24" x14ac:dyDescent="0.25">
      <c r="A45" s="17" t="s">
        <v>491</v>
      </c>
      <c r="B45" s="17" t="str">
        <f t="shared" si="0"/>
        <v>PG 38:2</v>
      </c>
      <c r="C45" s="1" t="str">
        <f t="shared" si="1"/>
        <v>38</v>
      </c>
      <c r="D45" s="1" t="str">
        <f t="shared" si="2"/>
        <v>2</v>
      </c>
      <c r="G45" s="17">
        <f t="shared" si="3"/>
        <v>44</v>
      </c>
      <c r="H45" s="17">
        <f t="shared" si="4"/>
        <v>83</v>
      </c>
      <c r="I45" s="17">
        <f t="shared" si="5"/>
        <v>10</v>
      </c>
      <c r="J45" s="17">
        <v>1</v>
      </c>
      <c r="L45" s="19" t="str">
        <f t="shared" si="6"/>
        <v>C44H83O10P1</v>
      </c>
      <c r="M45" s="19">
        <f t="shared" si="7"/>
        <v>802.57235479999997</v>
      </c>
      <c r="N45" s="19">
        <f t="shared" si="8"/>
        <v>803.57962940000004</v>
      </c>
      <c r="O45" s="19">
        <f t="shared" si="9"/>
        <v>785.56850940000004</v>
      </c>
      <c r="P45" s="19">
        <f t="shared" si="10"/>
        <v>820.60617479999996</v>
      </c>
      <c r="Q45" s="46">
        <f t="shared" si="11"/>
        <v>825.56157480000002</v>
      </c>
      <c r="R45" s="19">
        <f t="shared" si="12"/>
        <v>841.53551479999999</v>
      </c>
      <c r="S45" s="19">
        <f t="shared" si="13"/>
        <v>809.58781480000005</v>
      </c>
      <c r="T45" s="53">
        <f t="shared" si="14"/>
        <v>801.5650801999999</v>
      </c>
      <c r="U45" s="46">
        <f t="shared" si="17"/>
        <v>783.55451019999987</v>
      </c>
      <c r="V45" s="19">
        <f t="shared" si="15"/>
        <v>847.57057479999992</v>
      </c>
      <c r="W45" s="19">
        <f t="shared" si="16"/>
        <v>861.58622479999997</v>
      </c>
    </row>
    <row r="46" spans="1:24" x14ac:dyDescent="0.25">
      <c r="A46" s="17" t="s">
        <v>489</v>
      </c>
      <c r="B46" s="17" t="str">
        <f t="shared" si="0"/>
        <v>PG 38:1</v>
      </c>
      <c r="C46" s="1" t="str">
        <f t="shared" si="1"/>
        <v>38</v>
      </c>
      <c r="D46" s="1" t="str">
        <f t="shared" si="2"/>
        <v>1</v>
      </c>
      <c r="G46" s="17">
        <f t="shared" si="3"/>
        <v>44</v>
      </c>
      <c r="H46" s="17">
        <f t="shared" si="4"/>
        <v>85</v>
      </c>
      <c r="I46" s="17">
        <f t="shared" si="5"/>
        <v>10</v>
      </c>
      <c r="J46" s="17">
        <v>1</v>
      </c>
      <c r="L46" s="19" t="str">
        <f t="shared" si="6"/>
        <v>C44H85O10P1</v>
      </c>
      <c r="M46" s="19">
        <f t="shared" si="7"/>
        <v>804.58800399999996</v>
      </c>
      <c r="N46" s="19">
        <f t="shared" si="8"/>
        <v>805.59527860000003</v>
      </c>
      <c r="O46" s="19">
        <f t="shared" si="9"/>
        <v>787.58415860000002</v>
      </c>
      <c r="P46" s="19">
        <f t="shared" si="10"/>
        <v>822.62182399999995</v>
      </c>
      <c r="Q46" s="46">
        <f t="shared" si="11"/>
        <v>827.577224</v>
      </c>
      <c r="R46" s="19">
        <f t="shared" si="12"/>
        <v>843.55116399999997</v>
      </c>
      <c r="S46" s="19">
        <f t="shared" si="13"/>
        <v>811.60346400000003</v>
      </c>
      <c r="T46" s="53">
        <f t="shared" si="14"/>
        <v>803.58072939999988</v>
      </c>
      <c r="U46" s="46">
        <f t="shared" si="17"/>
        <v>785.57015939999985</v>
      </c>
      <c r="V46" s="19">
        <f t="shared" si="15"/>
        <v>849.5862239999999</v>
      </c>
      <c r="W46" s="19">
        <f t="shared" si="16"/>
        <v>863.60187399999995</v>
      </c>
    </row>
    <row r="47" spans="1:24" x14ac:dyDescent="0.25">
      <c r="A47" s="17" t="s">
        <v>316</v>
      </c>
      <c r="B47" s="17" t="str">
        <f t="shared" si="0"/>
        <v>PG 38:0</v>
      </c>
      <c r="C47" s="1" t="str">
        <f t="shared" si="1"/>
        <v>38</v>
      </c>
      <c r="D47" s="1" t="str">
        <f t="shared" si="2"/>
        <v>0</v>
      </c>
      <c r="G47" s="17">
        <f t="shared" si="3"/>
        <v>44</v>
      </c>
      <c r="H47" s="17">
        <f t="shared" si="4"/>
        <v>87</v>
      </c>
      <c r="I47" s="17">
        <f t="shared" si="5"/>
        <v>10</v>
      </c>
      <c r="J47" s="17">
        <v>1</v>
      </c>
      <c r="L47" s="19" t="str">
        <f t="shared" si="6"/>
        <v>C44H87O10P1</v>
      </c>
      <c r="M47" s="19">
        <f t="shared" si="7"/>
        <v>806.60365319999994</v>
      </c>
      <c r="N47" s="19">
        <f t="shared" si="8"/>
        <v>807.61092780000001</v>
      </c>
      <c r="O47" s="19">
        <f t="shared" si="9"/>
        <v>789.59980780000001</v>
      </c>
      <c r="P47" s="19">
        <f t="shared" si="10"/>
        <v>824.63747319999993</v>
      </c>
      <c r="Q47" s="46">
        <f t="shared" si="11"/>
        <v>829.59287319999999</v>
      </c>
      <c r="R47" s="19">
        <f t="shared" si="12"/>
        <v>845.56681319999996</v>
      </c>
      <c r="S47" s="19">
        <f t="shared" si="13"/>
        <v>813.61911320000002</v>
      </c>
      <c r="T47" s="53">
        <f t="shared" si="14"/>
        <v>805.59637859999987</v>
      </c>
      <c r="U47" s="46">
        <f t="shared" si="17"/>
        <v>787.58580859999984</v>
      </c>
      <c r="V47" s="19">
        <f t="shared" si="15"/>
        <v>851.60187319999989</v>
      </c>
      <c r="W47" s="19">
        <f t="shared" si="16"/>
        <v>865.61752319999994</v>
      </c>
    </row>
    <row r="48" spans="1:24" x14ac:dyDescent="0.25">
      <c r="C48" s="1"/>
      <c r="D48" s="1"/>
    </row>
    <row r="49" spans="1:4" x14ac:dyDescent="0.25">
      <c r="C49" s="1"/>
      <c r="D49" s="1"/>
    </row>
    <row r="50" spans="1:4" x14ac:dyDescent="0.25">
      <c r="C50" s="1"/>
      <c r="D50" s="1"/>
    </row>
    <row r="51" spans="1:4" x14ac:dyDescent="0.25">
      <c r="C51" s="1"/>
      <c r="D51" s="1"/>
    </row>
    <row r="52" spans="1:4" x14ac:dyDescent="0.25">
      <c r="C52" s="1"/>
      <c r="D52" s="1"/>
    </row>
    <row r="53" spans="1:4" x14ac:dyDescent="0.25">
      <c r="C53" s="1"/>
      <c r="D53" s="1"/>
    </row>
    <row r="57" spans="1:4" x14ac:dyDescent="0.25">
      <c r="A57"/>
      <c r="C57" s="1"/>
      <c r="D57" s="1"/>
    </row>
    <row r="58" spans="1:4" x14ac:dyDescent="0.25">
      <c r="A58"/>
      <c r="C58" s="1"/>
      <c r="D58" s="1"/>
    </row>
    <row r="59" spans="1:4" x14ac:dyDescent="0.25">
      <c r="A59"/>
      <c r="C59" s="1"/>
      <c r="D59" s="1"/>
    </row>
    <row r="60" spans="1:4" x14ac:dyDescent="0.25">
      <c r="A60"/>
      <c r="C60" s="1"/>
      <c r="D60" s="1"/>
    </row>
    <row r="61" spans="1:4" x14ac:dyDescent="0.25">
      <c r="A61"/>
      <c r="C61" s="1"/>
      <c r="D61" s="1"/>
    </row>
    <row r="62" spans="1:4" x14ac:dyDescent="0.25">
      <c r="A62"/>
      <c r="C62" s="1"/>
      <c r="D62" s="1"/>
    </row>
    <row r="63" spans="1:4" x14ac:dyDescent="0.25">
      <c r="A63"/>
      <c r="C63" s="1"/>
      <c r="D63" s="1"/>
    </row>
    <row r="64" spans="1:4" x14ac:dyDescent="0.25">
      <c r="A64"/>
      <c r="C64" s="1"/>
      <c r="D64" s="1"/>
    </row>
    <row r="65" spans="1:4" x14ac:dyDescent="0.25">
      <c r="A65"/>
      <c r="C65" s="1"/>
      <c r="D65" s="1"/>
    </row>
    <row r="66" spans="1:4" x14ac:dyDescent="0.25">
      <c r="A66"/>
      <c r="C66" s="1"/>
      <c r="D66" s="1"/>
    </row>
    <row r="67" spans="1:4" x14ac:dyDescent="0.25">
      <c r="A67"/>
      <c r="C67" s="1"/>
      <c r="D67" s="1"/>
    </row>
    <row r="68" spans="1:4" x14ac:dyDescent="0.25">
      <c r="A68"/>
      <c r="C68" s="1"/>
      <c r="D68" s="1"/>
    </row>
    <row r="69" spans="1:4" x14ac:dyDescent="0.25">
      <c r="A69"/>
      <c r="C69" s="1"/>
      <c r="D69" s="1"/>
    </row>
    <row r="70" spans="1:4" x14ac:dyDescent="0.25">
      <c r="A70"/>
      <c r="C70" s="1"/>
      <c r="D70" s="1"/>
    </row>
    <row r="71" spans="1:4" x14ac:dyDescent="0.25">
      <c r="A71"/>
      <c r="C71" s="1"/>
      <c r="D71" s="1"/>
    </row>
    <row r="72" spans="1:4" x14ac:dyDescent="0.25">
      <c r="A72"/>
      <c r="C72" s="1"/>
      <c r="D72" s="1"/>
    </row>
  </sheetData>
  <sortState xmlns:xlrd2="http://schemas.microsoft.com/office/spreadsheetml/2017/richdata2" ref="A3:X52">
    <sortCondition ref="M2:M5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0"/>
  <dimension ref="A1:W61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L7" sqref="L7"/>
    </sheetView>
  </sheetViews>
  <sheetFormatPr defaultColWidth="9.140625" defaultRowHeight="15.75" x14ac:dyDescent="0.25"/>
  <cols>
    <col min="1" max="1" width="21.42578125" style="17" bestFit="1" customWidth="1"/>
    <col min="2" max="2" width="0.5703125" style="17" customWidth="1"/>
    <col min="3" max="3" width="3.85546875" style="17" hidden="1" customWidth="1"/>
    <col min="4" max="4" width="2.5703125" style="17" hidden="1" customWidth="1"/>
    <col min="5" max="5" width="2.85546875" style="17" hidden="1" customWidth="1"/>
    <col min="6" max="6" width="3.28515625" style="17" hidden="1" customWidth="1"/>
    <col min="7" max="7" width="10.85546875" style="17" hidden="1" customWidth="1"/>
    <col min="8" max="8" width="12.140625" style="17" hidden="1" customWidth="1"/>
    <col min="9" max="9" width="9.5703125" style="17" hidden="1" customWidth="1"/>
    <col min="10" max="10" width="10.85546875" style="17" hidden="1" customWidth="1"/>
    <col min="11" max="11" width="9.5703125" style="17" hidden="1" customWidth="1"/>
    <col min="12" max="12" width="21.28515625" style="19" bestFit="1" customWidth="1"/>
    <col min="13" max="13" width="15.85546875" style="21" bestFit="1" customWidth="1"/>
    <col min="14" max="14" width="10.85546875" style="46" bestFit="1" customWidth="1"/>
    <col min="15" max="15" width="14.42578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0.85546875" bestFit="1" customWidth="1"/>
  </cols>
  <sheetData>
    <row r="1" spans="1:23" s="28" customFormat="1" x14ac:dyDescent="0.25">
      <c r="A1" s="27" t="s">
        <v>74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8</v>
      </c>
      <c r="J1" s="27" t="s">
        <v>2</v>
      </c>
      <c r="K1" s="27" t="s">
        <v>9</v>
      </c>
      <c r="L1" s="29" t="s">
        <v>14</v>
      </c>
      <c r="M1" s="52" t="s">
        <v>3</v>
      </c>
      <c r="N1" s="44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 t="s">
        <v>433</v>
      </c>
    </row>
    <row r="2" spans="1:23" ht="1.5" customHeight="1" x14ac:dyDescent="0.25">
      <c r="A2" s="17" t="s">
        <v>342</v>
      </c>
      <c r="B2" s="17" t="str">
        <f t="shared" ref="B2:B46" si="0">IF(ISNUMBER(SEARCH("(",A2)),IF(ISNUMBER(SEARCH("/",A2)),CONCATENATE(MID(A2,1,7),"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2,1,7)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LysylPG 30:0</v>
      </c>
      <c r="C2" s="1" t="str">
        <f t="shared" ref="C2:C46" si="1">MID(B2,9,FIND(":",B2)-FIND(" ",B2)-1)</f>
        <v>30</v>
      </c>
      <c r="D2" s="1" t="str">
        <f t="shared" ref="D2:D46" si="2">IF(ISNUMBER(SEARCH("__",B2)),MID(B2,FIND(":",B2)+1,FIND("__",B2)-FIND(":",B2)-1),MID(B2,FIND(":",B2)+1,7))</f>
        <v>0</v>
      </c>
      <c r="G2" s="17">
        <f t="shared" ref="G2:G46" si="3">C2+12</f>
        <v>42</v>
      </c>
      <c r="H2" s="17">
        <f t="shared" ref="H2:H46" si="4">2*G2-(2*D2)-((LEN(A2)-LEN(SUBSTITUTE(A2,"_O_","")))/LEN("_O_"))*2-((LEN(A2)-LEN(SUBSTITUTE(A2,"_CHO_","")))/LEN("_CHO_"))*2-((LEN(A2)-LEN(SUBSTITUTE(A2,"_COOH_","")))/LEN("_COOH_"))*2-1</f>
        <v>83</v>
      </c>
      <c r="I2" s="17">
        <v>2</v>
      </c>
      <c r="J2" s="17">
        <f t="shared" ref="J2:J46" si="5">8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+3</f>
        <v>11</v>
      </c>
      <c r="K2" s="17">
        <v>1</v>
      </c>
      <c r="L2" s="19" t="str">
        <f t="shared" ref="L2:L46" si="6">CONCATENATE("C",G2,"H",H2,"N",I2,"O",J2,"P",K2)</f>
        <v>C42H83N2O11P1</v>
      </c>
      <c r="M2" s="21">
        <f t="shared" ref="M2:M46" si="7">(G2*12)+(H2*1.0078246)+(I2*14.003074)+(J2*15.994915)+(K2*30.973763)</f>
        <v>822.57341780000002</v>
      </c>
      <c r="N2" s="46">
        <f t="shared" ref="N2:N46" si="8">M2+1.0078246-0.00055</f>
        <v>823.58069240000009</v>
      </c>
      <c r="O2" s="19">
        <f t="shared" ref="O2:O46" si="9">N2-18.01057-0.00055</f>
        <v>805.56957240000008</v>
      </c>
      <c r="P2" s="19">
        <f t="shared" ref="P2:P46" si="10">M2+18.03437-0.00055</f>
        <v>840.60723780000001</v>
      </c>
      <c r="Q2" s="19">
        <f t="shared" ref="Q2:Q46" si="11">M2+22.98977-0.00055</f>
        <v>845.56263780000006</v>
      </c>
      <c r="R2" s="19">
        <f t="shared" ref="R2:R46" si="12">M2+38.96371-0.00055</f>
        <v>861.53657780000003</v>
      </c>
      <c r="S2" s="19">
        <f t="shared" ref="S2:S46" si="13">M2+7.01601-0.00055</f>
        <v>829.58887780000009</v>
      </c>
      <c r="T2" s="19">
        <f t="shared" ref="T2:T46" si="14">M2-1.0078246+0.00055</f>
        <v>821.56614319999994</v>
      </c>
      <c r="U2" s="19">
        <f t="shared" ref="U2:U46" si="15">M2+44.99767+0.00055</f>
        <v>867.57163779999996</v>
      </c>
      <c r="V2" s="19">
        <f t="shared" ref="V2:V46" si="16">M2+59.01332+0.00055</f>
        <v>881.58728780000001</v>
      </c>
      <c r="W2" s="46">
        <f t="shared" ref="W2:W18" si="17">M2+34.968853-0.00055</f>
        <v>857.54172080000001</v>
      </c>
    </row>
    <row r="3" spans="1:23" ht="15.75" customHeight="1" x14ac:dyDescent="0.25">
      <c r="A3" s="17" t="s">
        <v>397</v>
      </c>
      <c r="B3" s="17" t="str">
        <f t="shared" si="0"/>
        <v>LysylPG 24:0</v>
      </c>
      <c r="C3" s="1" t="str">
        <f t="shared" si="1"/>
        <v>24</v>
      </c>
      <c r="D3" s="1" t="str">
        <f t="shared" si="2"/>
        <v>0</v>
      </c>
      <c r="G3" s="17">
        <f t="shared" si="3"/>
        <v>36</v>
      </c>
      <c r="H3" s="17">
        <f t="shared" si="4"/>
        <v>71</v>
      </c>
      <c r="I3" s="17">
        <v>2</v>
      </c>
      <c r="J3" s="17">
        <f t="shared" si="5"/>
        <v>11</v>
      </c>
      <c r="K3" s="17">
        <v>1</v>
      </c>
      <c r="L3" s="19" t="str">
        <f t="shared" si="6"/>
        <v>C36H71N2O11P1</v>
      </c>
      <c r="M3" s="21">
        <f t="shared" si="7"/>
        <v>738.4795226</v>
      </c>
      <c r="N3" s="46">
        <f t="shared" si="8"/>
        <v>739.48679720000007</v>
      </c>
      <c r="O3" s="19">
        <f t="shared" si="9"/>
        <v>721.47567720000006</v>
      </c>
      <c r="P3" s="19">
        <f t="shared" si="10"/>
        <v>756.51334259999999</v>
      </c>
      <c r="Q3" s="19">
        <f t="shared" si="11"/>
        <v>761.46874260000004</v>
      </c>
      <c r="R3" s="19">
        <f t="shared" si="12"/>
        <v>777.44268260000001</v>
      </c>
      <c r="S3" s="19">
        <f t="shared" si="13"/>
        <v>745.49498260000007</v>
      </c>
      <c r="T3" s="19">
        <f t="shared" si="14"/>
        <v>737.47224799999992</v>
      </c>
      <c r="U3" s="19">
        <f t="shared" si="15"/>
        <v>783.47774259999994</v>
      </c>
      <c r="V3" s="19">
        <f t="shared" si="16"/>
        <v>797.49339259999999</v>
      </c>
      <c r="W3" s="46">
        <f t="shared" si="17"/>
        <v>773.44782559999999</v>
      </c>
    </row>
    <row r="4" spans="1:23" ht="15.75" customHeight="1" x14ac:dyDescent="0.25">
      <c r="A4" s="17" t="s">
        <v>396</v>
      </c>
      <c r="B4" s="17" t="str">
        <f t="shared" si="0"/>
        <v>LysylPG 25:0</v>
      </c>
      <c r="C4" s="1" t="str">
        <f t="shared" si="1"/>
        <v>25</v>
      </c>
      <c r="D4" s="1" t="str">
        <f t="shared" si="2"/>
        <v>0</v>
      </c>
      <c r="G4" s="17">
        <f t="shared" si="3"/>
        <v>37</v>
      </c>
      <c r="H4" s="17">
        <f t="shared" si="4"/>
        <v>73</v>
      </c>
      <c r="I4" s="17">
        <v>2</v>
      </c>
      <c r="J4" s="17">
        <f t="shared" si="5"/>
        <v>11</v>
      </c>
      <c r="K4" s="17">
        <v>1</v>
      </c>
      <c r="L4" s="19" t="str">
        <f t="shared" si="6"/>
        <v>C37H73N2O11P1</v>
      </c>
      <c r="M4" s="21">
        <f t="shared" si="7"/>
        <v>752.49517179999998</v>
      </c>
      <c r="N4" s="46">
        <f t="shared" si="8"/>
        <v>753.50244640000005</v>
      </c>
      <c r="O4" s="19">
        <f t="shared" si="9"/>
        <v>735.49132640000005</v>
      </c>
      <c r="P4" s="19">
        <f t="shared" si="10"/>
        <v>770.52899179999997</v>
      </c>
      <c r="Q4" s="19">
        <f t="shared" si="11"/>
        <v>775.48439180000003</v>
      </c>
      <c r="R4" s="19">
        <f t="shared" si="12"/>
        <v>791.4583318</v>
      </c>
      <c r="S4" s="19">
        <f t="shared" si="13"/>
        <v>759.51063180000006</v>
      </c>
      <c r="T4" s="19">
        <f t="shared" si="14"/>
        <v>751.48789719999991</v>
      </c>
      <c r="U4" s="19">
        <f t="shared" si="15"/>
        <v>797.49339179999993</v>
      </c>
      <c r="V4" s="19">
        <f t="shared" si="16"/>
        <v>811.50904179999998</v>
      </c>
      <c r="W4" s="46">
        <f t="shared" si="17"/>
        <v>787.46347479999997</v>
      </c>
    </row>
    <row r="5" spans="1:23" ht="15.75" customHeight="1" x14ac:dyDescent="0.25">
      <c r="A5" s="17" t="s">
        <v>395</v>
      </c>
      <c r="B5" s="17" t="str">
        <f t="shared" si="0"/>
        <v>LysylPG 26:0</v>
      </c>
      <c r="C5" s="1" t="str">
        <f t="shared" si="1"/>
        <v>26</v>
      </c>
      <c r="D5" s="1" t="str">
        <f t="shared" si="2"/>
        <v>0</v>
      </c>
      <c r="G5" s="17">
        <f t="shared" si="3"/>
        <v>38</v>
      </c>
      <c r="H5" s="17">
        <f t="shared" si="4"/>
        <v>75</v>
      </c>
      <c r="I5" s="17">
        <v>2</v>
      </c>
      <c r="J5" s="17">
        <f t="shared" si="5"/>
        <v>11</v>
      </c>
      <c r="K5" s="17">
        <v>1</v>
      </c>
      <c r="L5" s="19" t="str">
        <f t="shared" si="6"/>
        <v>C38H75N2O11P1</v>
      </c>
      <c r="M5" s="21">
        <f t="shared" si="7"/>
        <v>766.51082100000008</v>
      </c>
      <c r="N5" s="46">
        <f t="shared" si="8"/>
        <v>767.51809560000015</v>
      </c>
      <c r="O5" s="19">
        <f t="shared" si="9"/>
        <v>749.50697560000015</v>
      </c>
      <c r="P5" s="19">
        <f t="shared" si="10"/>
        <v>784.54464100000007</v>
      </c>
      <c r="Q5" s="19">
        <f t="shared" si="11"/>
        <v>789.50004100000012</v>
      </c>
      <c r="R5" s="19">
        <f t="shared" si="12"/>
        <v>805.47398100000009</v>
      </c>
      <c r="S5" s="19">
        <f t="shared" si="13"/>
        <v>773.52628100000015</v>
      </c>
      <c r="T5" s="19">
        <f t="shared" si="14"/>
        <v>765.5035464</v>
      </c>
      <c r="U5" s="19">
        <f t="shared" si="15"/>
        <v>811.50904100000002</v>
      </c>
      <c r="V5" s="19">
        <f t="shared" si="16"/>
        <v>825.52469100000008</v>
      </c>
      <c r="W5" s="46">
        <f t="shared" si="17"/>
        <v>801.47912400000007</v>
      </c>
    </row>
    <row r="6" spans="1:23" ht="15.75" customHeight="1" x14ac:dyDescent="0.25">
      <c r="A6" s="17" t="s">
        <v>394</v>
      </c>
      <c r="B6" s="17" t="str">
        <f t="shared" si="0"/>
        <v>LysylPG 27:0</v>
      </c>
      <c r="C6" s="1" t="str">
        <f t="shared" si="1"/>
        <v>27</v>
      </c>
      <c r="D6" s="1" t="str">
        <f t="shared" si="2"/>
        <v>0</v>
      </c>
      <c r="G6" s="17">
        <f t="shared" si="3"/>
        <v>39</v>
      </c>
      <c r="H6" s="17">
        <f t="shared" si="4"/>
        <v>77</v>
      </c>
      <c r="I6" s="17">
        <v>2</v>
      </c>
      <c r="J6" s="17">
        <f t="shared" si="5"/>
        <v>11</v>
      </c>
      <c r="K6" s="17">
        <v>1</v>
      </c>
      <c r="L6" s="19" t="str">
        <f t="shared" si="6"/>
        <v>C39H77N2O11P1</v>
      </c>
      <c r="M6" s="21">
        <f t="shared" si="7"/>
        <v>780.52647020000006</v>
      </c>
      <c r="N6" s="46">
        <f t="shared" si="8"/>
        <v>781.53374480000014</v>
      </c>
      <c r="O6" s="19">
        <f t="shared" si="9"/>
        <v>763.52262480000013</v>
      </c>
      <c r="P6" s="19">
        <f t="shared" si="10"/>
        <v>798.56029020000005</v>
      </c>
      <c r="Q6" s="19">
        <f t="shared" si="11"/>
        <v>803.51569020000011</v>
      </c>
      <c r="R6" s="19">
        <f t="shared" si="12"/>
        <v>819.48963020000008</v>
      </c>
      <c r="S6" s="19">
        <f t="shared" si="13"/>
        <v>787.54193020000014</v>
      </c>
      <c r="T6" s="19">
        <f t="shared" si="14"/>
        <v>779.51919559999999</v>
      </c>
      <c r="U6" s="19">
        <f t="shared" si="15"/>
        <v>825.52469020000001</v>
      </c>
      <c r="V6" s="19">
        <f t="shared" si="16"/>
        <v>839.54034020000006</v>
      </c>
      <c r="W6" s="46">
        <f t="shared" si="17"/>
        <v>815.49477320000005</v>
      </c>
    </row>
    <row r="7" spans="1:23" x14ac:dyDescent="0.25">
      <c r="A7" s="17" t="s">
        <v>384</v>
      </c>
      <c r="B7" s="17" t="str">
        <f t="shared" si="0"/>
        <v>LysylPG 28:0</v>
      </c>
      <c r="C7" s="1" t="str">
        <f t="shared" si="1"/>
        <v>28</v>
      </c>
      <c r="D7" s="1" t="str">
        <f t="shared" si="2"/>
        <v>0</v>
      </c>
      <c r="G7" s="17">
        <f t="shared" si="3"/>
        <v>40</v>
      </c>
      <c r="H7" s="17">
        <f t="shared" si="4"/>
        <v>79</v>
      </c>
      <c r="I7" s="17">
        <v>2</v>
      </c>
      <c r="J7" s="17">
        <f t="shared" si="5"/>
        <v>11</v>
      </c>
      <c r="K7" s="17">
        <v>1</v>
      </c>
      <c r="L7" s="19" t="str">
        <f t="shared" si="6"/>
        <v>C40H79N2O11P1</v>
      </c>
      <c r="M7" s="21">
        <f t="shared" si="7"/>
        <v>794.54211940000005</v>
      </c>
      <c r="N7" s="46">
        <f t="shared" si="8"/>
        <v>795.54939400000012</v>
      </c>
      <c r="O7" s="19">
        <f t="shared" si="9"/>
        <v>777.53827400000011</v>
      </c>
      <c r="P7" s="19">
        <f t="shared" si="10"/>
        <v>812.57593940000004</v>
      </c>
      <c r="Q7" s="19">
        <f t="shared" si="11"/>
        <v>817.53133940000009</v>
      </c>
      <c r="R7" s="19">
        <f t="shared" si="12"/>
        <v>833.50527940000006</v>
      </c>
      <c r="S7" s="19">
        <f t="shared" si="13"/>
        <v>801.55757940000012</v>
      </c>
      <c r="T7" s="19">
        <f t="shared" si="14"/>
        <v>793.53484479999997</v>
      </c>
      <c r="U7" s="19">
        <f t="shared" si="15"/>
        <v>839.54033939999999</v>
      </c>
      <c r="V7" s="19">
        <f t="shared" si="16"/>
        <v>853.55598940000004</v>
      </c>
      <c r="W7" s="46">
        <f t="shared" si="17"/>
        <v>829.51042240000004</v>
      </c>
    </row>
    <row r="8" spans="1:23" x14ac:dyDescent="0.25">
      <c r="A8" s="17" t="s">
        <v>673</v>
      </c>
      <c r="B8" s="17" t="str">
        <f t="shared" ref="B8" si="18">IF(ISNUMBER(SEARCH("(",A8)),IF(ISNUMBER(SEARCH("/",A8)),CONCATENATE(MID(A8,1,7)," ",(SUM(MID(A8,FIND("(",A8)+1,FIND(":",A8)-FIND("(",A8)-1),MID(A8,FIND("/",A8)+1,FIND(":",A8,FIND("/",A8))-FIND("/",A8)-1))),":",SUM(MID(A8,FIND(":",A8)+1,FIND("/",A8)-FIND(":",A8)-1),MID(A8,FIND(":",A8,FIND("/",A8))+1,FIND(")",A8)-FIND(":",A8,FIND("/",A8))-1)),MID(A8,(FIND(")",A8)+1),100)),CONCATENATE(MID(A8,1,7)," ",(SUM(MID(A8,FIND("(",A8)+1,FIND(":",A8)-FIND("(",A8)-1),MID(A8,FIND("_",A8)+1,FIND(":",A8,FIND("_",A8))-FIND("_",A8)-1))),":",SUM(MID(A8,FIND(":",A8)+1,FIND("_",A8)-FIND(":",A8)-1),MID(A8,FIND(":",A8,FIND("_",A8))+1,FIND(")",A8)-FIND(":",A8,FIND("_",A8))-1)),MID(A8,(FIND(")",A8)+1),100))),A8)</f>
        <v>LysylPG 29:1</v>
      </c>
      <c r="C8" s="1" t="str">
        <f t="shared" ref="C8" si="19">MID(B8,9,FIND(":",B8)-FIND(" ",B8)-1)</f>
        <v>29</v>
      </c>
      <c r="D8" s="1" t="str">
        <f t="shared" ref="D8" si="20">IF(ISNUMBER(SEARCH("__",B8)),MID(B8,FIND(":",B8)+1,FIND("__",B8)-FIND(":",B8)-1),MID(B8,FIND(":",B8)+1,7))</f>
        <v>1</v>
      </c>
      <c r="G8" s="17">
        <f t="shared" ref="G8" si="21">C8+12</f>
        <v>41</v>
      </c>
      <c r="H8" s="17">
        <f t="shared" ref="H8" si="22">2*G8-(2*D8)-((LEN(A8)-LEN(SUBSTITUTE(A8,"_O_","")))/LEN("_O_"))*2-((LEN(A8)-LEN(SUBSTITUTE(A8,"_CHO_","")))/LEN("_CHO_"))*2-((LEN(A8)-LEN(SUBSTITUTE(A8,"_COOH_","")))/LEN("_COOH_"))*2-1</f>
        <v>79</v>
      </c>
      <c r="I8" s="17">
        <v>2</v>
      </c>
      <c r="J8" s="17">
        <f t="shared" ref="J8" si="23">8+((LEN(A8)-LEN(SUBSTITUTE(A8,"_OH_","")))/LEN("_OH_"))*1+((LEN(A8)-LEN(SUBSTITUTE(A8,"_OOH_","")))/LEN("_OOH_"))*2+((LEN(A8)-LEN(SUBSTITUTE(A8,"_O_","")))/LEN("_O_"))*1+((LEN(A8)-LEN(SUBSTITUTE(A8,"_CHO_","")))/LEN("_CHO_"))*1+((LEN(A8)-LEN(SUBSTITUTE(A8,"_COOH_","")))/LEN("_COOH_"))*2+3</f>
        <v>11</v>
      </c>
      <c r="K8" s="17">
        <v>1</v>
      </c>
      <c r="L8" s="19" t="str">
        <f t="shared" ref="L8" si="24">CONCATENATE("C",G8,"H",H8,"N",I8,"O",J8,"P",K8)</f>
        <v>C41H79N2O11P1</v>
      </c>
      <c r="M8" s="21">
        <f t="shared" ref="M8" si="25">(G8*12)+(H8*1.0078246)+(I8*14.003074)+(J8*15.994915)+(K8*30.973763)</f>
        <v>806.54211940000005</v>
      </c>
      <c r="N8" s="46">
        <f t="shared" ref="N8" si="26">M8+1.0078246-0.00055</f>
        <v>807.54939400000012</v>
      </c>
      <c r="O8" s="19">
        <f t="shared" ref="O8" si="27">N8-18.01057-0.00055</f>
        <v>789.53827400000011</v>
      </c>
      <c r="P8" s="19">
        <f t="shared" ref="P8" si="28">M8+18.03437-0.00055</f>
        <v>824.57593940000004</v>
      </c>
      <c r="Q8" s="19">
        <f t="shared" ref="Q8" si="29">M8+22.98977-0.00055</f>
        <v>829.53133940000009</v>
      </c>
      <c r="R8" s="19">
        <f t="shared" ref="R8" si="30">M8+38.96371-0.00055</f>
        <v>845.50527940000006</v>
      </c>
      <c r="S8" s="19">
        <f t="shared" ref="S8" si="31">M8+7.01601-0.00055</f>
        <v>813.55757940000012</v>
      </c>
      <c r="T8" s="19">
        <f t="shared" ref="T8" si="32">M8-1.0078246+0.00055</f>
        <v>805.53484479999997</v>
      </c>
      <c r="U8" s="19">
        <f t="shared" ref="U8" si="33">M8+44.99767+0.00055</f>
        <v>851.54033939999999</v>
      </c>
      <c r="V8" s="19">
        <f t="shared" ref="V8" si="34">M8+59.01332+0.00055</f>
        <v>865.55598940000004</v>
      </c>
      <c r="W8" s="46">
        <f t="shared" ref="W8" si="35">M8+34.968853-0.00055</f>
        <v>841.51042240000004</v>
      </c>
    </row>
    <row r="9" spans="1:23" x14ac:dyDescent="0.25">
      <c r="A9" s="17" t="s">
        <v>385</v>
      </c>
      <c r="B9" s="17" t="str">
        <f t="shared" si="0"/>
        <v>LysylPG 29:0</v>
      </c>
      <c r="C9" s="1" t="str">
        <f t="shared" si="1"/>
        <v>29</v>
      </c>
      <c r="D9" s="1" t="str">
        <f t="shared" si="2"/>
        <v>0</v>
      </c>
      <c r="G9" s="17">
        <f t="shared" si="3"/>
        <v>41</v>
      </c>
      <c r="H9" s="17">
        <f t="shared" si="4"/>
        <v>81</v>
      </c>
      <c r="I9" s="17">
        <v>2</v>
      </c>
      <c r="J9" s="17">
        <f t="shared" si="5"/>
        <v>11</v>
      </c>
      <c r="K9" s="17">
        <v>1</v>
      </c>
      <c r="L9" s="19" t="str">
        <f t="shared" si="6"/>
        <v>C41H81N2O11P1</v>
      </c>
      <c r="M9" s="21">
        <f t="shared" si="7"/>
        <v>808.55776860000003</v>
      </c>
      <c r="N9" s="46">
        <f t="shared" si="8"/>
        <v>809.5650432000001</v>
      </c>
      <c r="O9" s="19">
        <f t="shared" si="9"/>
        <v>791.5539232000001</v>
      </c>
      <c r="P9" s="19">
        <f t="shared" si="10"/>
        <v>826.59158860000002</v>
      </c>
      <c r="Q9" s="19">
        <f t="shared" si="11"/>
        <v>831.54698860000008</v>
      </c>
      <c r="R9" s="19">
        <f t="shared" si="12"/>
        <v>847.52092860000005</v>
      </c>
      <c r="S9" s="19">
        <f t="shared" si="13"/>
        <v>815.57322860000011</v>
      </c>
      <c r="T9" s="19">
        <f t="shared" si="14"/>
        <v>807.55049399999996</v>
      </c>
      <c r="U9" s="19">
        <f t="shared" si="15"/>
        <v>853.55598859999998</v>
      </c>
      <c r="V9" s="19">
        <f t="shared" si="16"/>
        <v>867.57163860000003</v>
      </c>
      <c r="W9" s="46">
        <f t="shared" si="17"/>
        <v>843.52607160000002</v>
      </c>
    </row>
    <row r="10" spans="1:23" x14ac:dyDescent="0.25">
      <c r="A10" s="17" t="s">
        <v>558</v>
      </c>
      <c r="B10" s="17" t="str">
        <f t="shared" si="0"/>
        <v>LysylPG 30:2</v>
      </c>
      <c r="C10" s="1" t="str">
        <f t="shared" si="1"/>
        <v>30</v>
      </c>
      <c r="D10" s="1" t="str">
        <f t="shared" si="2"/>
        <v>2</v>
      </c>
      <c r="G10" s="17">
        <f t="shared" si="3"/>
        <v>42</v>
      </c>
      <c r="H10" s="17">
        <f t="shared" si="4"/>
        <v>79</v>
      </c>
      <c r="I10" s="17">
        <v>2</v>
      </c>
      <c r="J10" s="17">
        <f t="shared" si="5"/>
        <v>11</v>
      </c>
      <c r="K10" s="17">
        <v>1</v>
      </c>
      <c r="L10" s="19" t="str">
        <f t="shared" si="6"/>
        <v>C42H79N2O11P1</v>
      </c>
      <c r="M10" s="21">
        <f t="shared" si="7"/>
        <v>818.54211940000005</v>
      </c>
      <c r="N10" s="46">
        <f t="shared" si="8"/>
        <v>819.54939400000012</v>
      </c>
      <c r="O10" s="19">
        <f t="shared" si="9"/>
        <v>801.53827400000011</v>
      </c>
      <c r="P10" s="19">
        <f t="shared" si="10"/>
        <v>836.57593940000004</v>
      </c>
      <c r="Q10" s="19">
        <f t="shared" si="11"/>
        <v>841.53133940000009</v>
      </c>
      <c r="R10" s="19">
        <f t="shared" si="12"/>
        <v>857.50527940000006</v>
      </c>
      <c r="S10" s="19">
        <f t="shared" si="13"/>
        <v>825.55757940000012</v>
      </c>
      <c r="T10" s="19">
        <f t="shared" si="14"/>
        <v>817.53484479999997</v>
      </c>
      <c r="U10" s="19">
        <f t="shared" si="15"/>
        <v>863.54033939999999</v>
      </c>
      <c r="V10" s="19">
        <f t="shared" si="16"/>
        <v>877.55598940000004</v>
      </c>
      <c r="W10" s="46">
        <f t="shared" si="17"/>
        <v>853.51042240000004</v>
      </c>
    </row>
    <row r="11" spans="1:23" x14ac:dyDescent="0.25">
      <c r="A11" s="17" t="s">
        <v>403</v>
      </c>
      <c r="B11" s="17" t="str">
        <f t="shared" si="0"/>
        <v>LysylPG 30:1</v>
      </c>
      <c r="C11" s="1" t="str">
        <f t="shared" si="1"/>
        <v>30</v>
      </c>
      <c r="D11" s="1" t="str">
        <f t="shared" si="2"/>
        <v>1</v>
      </c>
      <c r="G11" s="17">
        <f t="shared" si="3"/>
        <v>42</v>
      </c>
      <c r="H11" s="17">
        <f t="shared" si="4"/>
        <v>81</v>
      </c>
      <c r="I11" s="17">
        <v>2</v>
      </c>
      <c r="J11" s="17">
        <f t="shared" si="5"/>
        <v>11</v>
      </c>
      <c r="K11" s="17">
        <v>1</v>
      </c>
      <c r="L11" s="19" t="str">
        <f t="shared" si="6"/>
        <v>C42H81N2O11P1</v>
      </c>
      <c r="M11" s="21">
        <f t="shared" si="7"/>
        <v>820.55776860000003</v>
      </c>
      <c r="N11" s="46">
        <f t="shared" si="8"/>
        <v>821.5650432000001</v>
      </c>
      <c r="O11" s="19">
        <f t="shared" si="9"/>
        <v>803.5539232000001</v>
      </c>
      <c r="P11" s="19">
        <f t="shared" si="10"/>
        <v>838.59158860000002</v>
      </c>
      <c r="Q11" s="19">
        <f t="shared" si="11"/>
        <v>843.54698860000008</v>
      </c>
      <c r="R11" s="19">
        <f t="shared" si="12"/>
        <v>859.52092860000005</v>
      </c>
      <c r="S11" s="19">
        <f t="shared" si="13"/>
        <v>827.57322860000011</v>
      </c>
      <c r="T11" s="19">
        <f t="shared" si="14"/>
        <v>819.55049399999996</v>
      </c>
      <c r="U11" s="19">
        <f t="shared" si="15"/>
        <v>865.55598859999998</v>
      </c>
      <c r="V11" s="19">
        <f t="shared" si="16"/>
        <v>879.57163860000003</v>
      </c>
      <c r="W11" s="46">
        <f t="shared" si="17"/>
        <v>855.52607160000002</v>
      </c>
    </row>
    <row r="12" spans="1:23" x14ac:dyDescent="0.25">
      <c r="A12" s="17" t="s">
        <v>386</v>
      </c>
      <c r="B12" s="17" t="str">
        <f t="shared" si="0"/>
        <v>LysylPG 30:0</v>
      </c>
      <c r="C12" s="1" t="str">
        <f t="shared" si="1"/>
        <v>30</v>
      </c>
      <c r="D12" s="1" t="str">
        <f t="shared" si="2"/>
        <v>0</v>
      </c>
      <c r="G12" s="17">
        <f t="shared" si="3"/>
        <v>42</v>
      </c>
      <c r="H12" s="17">
        <f t="shared" si="4"/>
        <v>83</v>
      </c>
      <c r="I12" s="17">
        <v>2</v>
      </c>
      <c r="J12" s="17">
        <f t="shared" si="5"/>
        <v>11</v>
      </c>
      <c r="K12" s="17">
        <v>1</v>
      </c>
      <c r="L12" s="19" t="str">
        <f t="shared" si="6"/>
        <v>C42H83N2O11P1</v>
      </c>
      <c r="M12" s="21">
        <f t="shared" si="7"/>
        <v>822.57341780000002</v>
      </c>
      <c r="N12" s="46">
        <f t="shared" si="8"/>
        <v>823.58069240000009</v>
      </c>
      <c r="O12" s="19">
        <f t="shared" si="9"/>
        <v>805.56957240000008</v>
      </c>
      <c r="P12" s="19">
        <f t="shared" si="10"/>
        <v>840.60723780000001</v>
      </c>
      <c r="Q12" s="19">
        <f t="shared" si="11"/>
        <v>845.56263780000006</v>
      </c>
      <c r="R12" s="19">
        <f t="shared" si="12"/>
        <v>861.53657780000003</v>
      </c>
      <c r="S12" s="19">
        <f t="shared" si="13"/>
        <v>829.58887780000009</v>
      </c>
      <c r="T12" s="19">
        <f t="shared" si="14"/>
        <v>821.56614319999994</v>
      </c>
      <c r="U12" s="19">
        <f t="shared" si="15"/>
        <v>867.57163779999996</v>
      </c>
      <c r="V12" s="19">
        <f t="shared" si="16"/>
        <v>881.58728780000001</v>
      </c>
      <c r="W12" s="46">
        <f t="shared" si="17"/>
        <v>857.54172080000001</v>
      </c>
    </row>
    <row r="13" spans="1:23" x14ac:dyDescent="0.25">
      <c r="A13" s="17" t="s">
        <v>559</v>
      </c>
      <c r="B13" s="17" t="str">
        <f t="shared" si="0"/>
        <v>LysylPG 31:2</v>
      </c>
      <c r="C13" s="1" t="str">
        <f t="shared" si="1"/>
        <v>31</v>
      </c>
      <c r="D13" s="1" t="str">
        <f t="shared" si="2"/>
        <v>2</v>
      </c>
      <c r="G13" s="17">
        <f t="shared" si="3"/>
        <v>43</v>
      </c>
      <c r="H13" s="17">
        <f t="shared" si="4"/>
        <v>81</v>
      </c>
      <c r="I13" s="17">
        <v>2</v>
      </c>
      <c r="J13" s="17">
        <f t="shared" si="5"/>
        <v>11</v>
      </c>
      <c r="K13" s="17">
        <v>1</v>
      </c>
      <c r="L13" s="19" t="str">
        <f t="shared" si="6"/>
        <v>C43H81N2O11P1</v>
      </c>
      <c r="M13" s="21">
        <f t="shared" si="7"/>
        <v>832.55776860000003</v>
      </c>
      <c r="N13" s="46">
        <f t="shared" si="8"/>
        <v>833.5650432000001</v>
      </c>
      <c r="O13" s="19">
        <f t="shared" si="9"/>
        <v>815.5539232000001</v>
      </c>
      <c r="P13" s="19">
        <f t="shared" si="10"/>
        <v>850.59158860000002</v>
      </c>
      <c r="Q13" s="19">
        <f t="shared" si="11"/>
        <v>855.54698860000008</v>
      </c>
      <c r="R13" s="19">
        <f t="shared" si="12"/>
        <v>871.52092860000005</v>
      </c>
      <c r="S13" s="19">
        <f t="shared" si="13"/>
        <v>839.57322860000011</v>
      </c>
      <c r="T13" s="19">
        <f t="shared" si="14"/>
        <v>831.55049399999996</v>
      </c>
      <c r="U13" s="19">
        <f t="shared" si="15"/>
        <v>877.55598859999998</v>
      </c>
      <c r="V13" s="19">
        <f t="shared" si="16"/>
        <v>891.57163860000003</v>
      </c>
      <c r="W13" s="46">
        <f t="shared" si="17"/>
        <v>867.52607160000002</v>
      </c>
    </row>
    <row r="14" spans="1:23" x14ac:dyDescent="0.25">
      <c r="A14" s="17" t="s">
        <v>552</v>
      </c>
      <c r="B14" s="17" t="str">
        <f t="shared" si="0"/>
        <v>LysylPG 31:1</v>
      </c>
      <c r="C14" s="1" t="str">
        <f t="shared" si="1"/>
        <v>31</v>
      </c>
      <c r="D14" s="1" t="str">
        <f t="shared" si="2"/>
        <v>1</v>
      </c>
      <c r="G14" s="17">
        <f t="shared" si="3"/>
        <v>43</v>
      </c>
      <c r="H14" s="17">
        <f t="shared" si="4"/>
        <v>83</v>
      </c>
      <c r="I14" s="17">
        <v>2</v>
      </c>
      <c r="J14" s="17">
        <f t="shared" si="5"/>
        <v>11</v>
      </c>
      <c r="K14" s="17">
        <v>1</v>
      </c>
      <c r="L14" s="19" t="str">
        <f t="shared" si="6"/>
        <v>C43H83N2O11P1</v>
      </c>
      <c r="M14" s="21">
        <f t="shared" si="7"/>
        <v>834.57341780000002</v>
      </c>
      <c r="N14" s="46">
        <f t="shared" si="8"/>
        <v>835.58069240000009</v>
      </c>
      <c r="O14" s="19">
        <f t="shared" si="9"/>
        <v>817.56957240000008</v>
      </c>
      <c r="P14" s="19">
        <f t="shared" si="10"/>
        <v>852.60723780000001</v>
      </c>
      <c r="Q14" s="19">
        <f t="shared" si="11"/>
        <v>857.56263780000006</v>
      </c>
      <c r="R14" s="19">
        <f t="shared" si="12"/>
        <v>873.53657780000003</v>
      </c>
      <c r="S14" s="19">
        <f t="shared" si="13"/>
        <v>841.58887780000009</v>
      </c>
      <c r="T14" s="19">
        <f t="shared" si="14"/>
        <v>833.56614319999994</v>
      </c>
      <c r="U14" s="19">
        <f t="shared" si="15"/>
        <v>879.57163779999996</v>
      </c>
      <c r="V14" s="19">
        <f t="shared" si="16"/>
        <v>893.58728780000001</v>
      </c>
      <c r="W14" s="46">
        <f t="shared" si="17"/>
        <v>869.54172080000001</v>
      </c>
    </row>
    <row r="15" spans="1:23" x14ac:dyDescent="0.25">
      <c r="A15" s="17" t="s">
        <v>387</v>
      </c>
      <c r="B15" s="17" t="str">
        <f t="shared" si="0"/>
        <v>LysylPG 31:0</v>
      </c>
      <c r="C15" s="1" t="str">
        <f t="shared" si="1"/>
        <v>31</v>
      </c>
      <c r="D15" s="1" t="str">
        <f t="shared" si="2"/>
        <v>0</v>
      </c>
      <c r="G15" s="17">
        <f t="shared" si="3"/>
        <v>43</v>
      </c>
      <c r="H15" s="17">
        <f t="shared" si="4"/>
        <v>85</v>
      </c>
      <c r="I15" s="17">
        <v>2</v>
      </c>
      <c r="J15" s="17">
        <f t="shared" si="5"/>
        <v>11</v>
      </c>
      <c r="K15" s="17">
        <v>1</v>
      </c>
      <c r="L15" s="19" t="str">
        <f t="shared" si="6"/>
        <v>C43H85N2O11P1</v>
      </c>
      <c r="M15" s="21">
        <f t="shared" si="7"/>
        <v>836.589067</v>
      </c>
      <c r="N15" s="46">
        <f t="shared" si="8"/>
        <v>837.59634160000007</v>
      </c>
      <c r="O15" s="19">
        <f t="shared" si="9"/>
        <v>819.58522160000007</v>
      </c>
      <c r="P15" s="19">
        <f t="shared" si="10"/>
        <v>854.62288699999999</v>
      </c>
      <c r="Q15" s="19">
        <f t="shared" si="11"/>
        <v>859.57828700000005</v>
      </c>
      <c r="R15" s="19">
        <f t="shared" si="12"/>
        <v>875.55222700000002</v>
      </c>
      <c r="S15" s="19">
        <f t="shared" si="13"/>
        <v>843.60452700000008</v>
      </c>
      <c r="T15" s="19">
        <f t="shared" si="14"/>
        <v>835.58179239999993</v>
      </c>
      <c r="U15" s="19">
        <f t="shared" si="15"/>
        <v>881.58728699999995</v>
      </c>
      <c r="V15" s="19">
        <f t="shared" si="16"/>
        <v>895.602937</v>
      </c>
      <c r="W15" s="46">
        <f t="shared" si="17"/>
        <v>871.55736999999999</v>
      </c>
    </row>
    <row r="16" spans="1:23" x14ac:dyDescent="0.25">
      <c r="A16" s="17" t="s">
        <v>560</v>
      </c>
      <c r="B16" s="17" t="str">
        <f t="shared" si="0"/>
        <v>LysylPG 32:2</v>
      </c>
      <c r="C16" s="1" t="str">
        <f t="shared" si="1"/>
        <v>32</v>
      </c>
      <c r="D16" s="1" t="str">
        <f t="shared" si="2"/>
        <v>2</v>
      </c>
      <c r="G16" s="17">
        <f t="shared" si="3"/>
        <v>44</v>
      </c>
      <c r="H16" s="17">
        <f t="shared" si="4"/>
        <v>83</v>
      </c>
      <c r="I16" s="17">
        <v>2</v>
      </c>
      <c r="J16" s="17">
        <f t="shared" si="5"/>
        <v>11</v>
      </c>
      <c r="K16" s="17">
        <v>1</v>
      </c>
      <c r="L16" s="19" t="str">
        <f t="shared" si="6"/>
        <v>C44H83N2O11P1</v>
      </c>
      <c r="M16" s="21">
        <f t="shared" si="7"/>
        <v>846.57341780000002</v>
      </c>
      <c r="N16" s="46">
        <f t="shared" si="8"/>
        <v>847.58069240000009</v>
      </c>
      <c r="O16" s="19">
        <f t="shared" si="9"/>
        <v>829.56957240000008</v>
      </c>
      <c r="P16" s="19">
        <f t="shared" si="10"/>
        <v>864.60723780000001</v>
      </c>
      <c r="Q16" s="19">
        <f t="shared" si="11"/>
        <v>869.56263780000006</v>
      </c>
      <c r="R16" s="19">
        <f t="shared" si="12"/>
        <v>885.53657780000003</v>
      </c>
      <c r="S16" s="19">
        <f t="shared" si="13"/>
        <v>853.58887780000009</v>
      </c>
      <c r="T16" s="19">
        <f t="shared" si="14"/>
        <v>845.56614319999994</v>
      </c>
      <c r="U16" s="19">
        <f t="shared" si="15"/>
        <v>891.57163779999996</v>
      </c>
      <c r="V16" s="19">
        <f t="shared" si="16"/>
        <v>905.58728780000001</v>
      </c>
      <c r="W16" s="46">
        <f t="shared" si="17"/>
        <v>881.54172080000001</v>
      </c>
    </row>
    <row r="17" spans="1:23" x14ac:dyDescent="0.25">
      <c r="A17" s="17" t="s">
        <v>401</v>
      </c>
      <c r="B17" s="17" t="str">
        <f t="shared" si="0"/>
        <v>LysylPG 32:1</v>
      </c>
      <c r="C17" s="1" t="str">
        <f t="shared" si="1"/>
        <v>32</v>
      </c>
      <c r="D17" s="1" t="str">
        <f t="shared" si="2"/>
        <v>1</v>
      </c>
      <c r="G17" s="17">
        <f t="shared" si="3"/>
        <v>44</v>
      </c>
      <c r="H17" s="17">
        <f t="shared" si="4"/>
        <v>85</v>
      </c>
      <c r="I17" s="17">
        <v>2</v>
      </c>
      <c r="J17" s="17">
        <f t="shared" si="5"/>
        <v>11</v>
      </c>
      <c r="K17" s="17">
        <v>1</v>
      </c>
      <c r="L17" s="19" t="str">
        <f t="shared" si="6"/>
        <v>C44H85N2O11P1</v>
      </c>
      <c r="M17" s="21">
        <f t="shared" si="7"/>
        <v>848.589067</v>
      </c>
      <c r="N17" s="46">
        <f t="shared" si="8"/>
        <v>849.59634160000007</v>
      </c>
      <c r="O17" s="19">
        <f t="shared" si="9"/>
        <v>831.58522160000007</v>
      </c>
      <c r="P17" s="19">
        <f t="shared" si="10"/>
        <v>866.62288699999999</v>
      </c>
      <c r="Q17" s="19">
        <f t="shared" si="11"/>
        <v>871.57828700000005</v>
      </c>
      <c r="R17" s="19">
        <f t="shared" si="12"/>
        <v>887.55222700000002</v>
      </c>
      <c r="S17" s="19">
        <f t="shared" si="13"/>
        <v>855.60452700000008</v>
      </c>
      <c r="T17" s="19">
        <f t="shared" si="14"/>
        <v>847.58179239999993</v>
      </c>
      <c r="U17" s="19">
        <f t="shared" si="15"/>
        <v>893.58728699999995</v>
      </c>
      <c r="V17" s="19">
        <f t="shared" si="16"/>
        <v>907.602937</v>
      </c>
      <c r="W17" s="46">
        <f t="shared" si="17"/>
        <v>883.55736999999999</v>
      </c>
    </row>
    <row r="18" spans="1:23" x14ac:dyDescent="0.25">
      <c r="A18" s="17" t="s">
        <v>388</v>
      </c>
      <c r="B18" s="17" t="str">
        <f t="shared" si="0"/>
        <v>LysylPG 32:0</v>
      </c>
      <c r="C18" s="1" t="str">
        <f t="shared" si="1"/>
        <v>32</v>
      </c>
      <c r="D18" s="1" t="str">
        <f t="shared" si="2"/>
        <v>0</v>
      </c>
      <c r="G18" s="17">
        <f t="shared" si="3"/>
        <v>44</v>
      </c>
      <c r="H18" s="17">
        <f t="shared" si="4"/>
        <v>87</v>
      </c>
      <c r="I18" s="17">
        <v>2</v>
      </c>
      <c r="J18" s="17">
        <f t="shared" si="5"/>
        <v>11</v>
      </c>
      <c r="K18" s="17">
        <v>1</v>
      </c>
      <c r="L18" s="19" t="str">
        <f t="shared" si="6"/>
        <v>C44H87N2O11P1</v>
      </c>
      <c r="M18" s="21">
        <f t="shared" si="7"/>
        <v>850.60471619999998</v>
      </c>
      <c r="N18" s="46">
        <f t="shared" si="8"/>
        <v>851.61199080000006</v>
      </c>
      <c r="O18" s="19">
        <f t="shared" si="9"/>
        <v>833.60087080000005</v>
      </c>
      <c r="P18" s="19">
        <f t="shared" si="10"/>
        <v>868.63853619999998</v>
      </c>
      <c r="Q18" s="19">
        <f t="shared" si="11"/>
        <v>873.59393620000003</v>
      </c>
      <c r="R18" s="19">
        <f t="shared" si="12"/>
        <v>889.5678762</v>
      </c>
      <c r="S18" s="19">
        <f t="shared" si="13"/>
        <v>857.62017620000006</v>
      </c>
      <c r="T18" s="19">
        <f t="shared" si="14"/>
        <v>849.59744159999991</v>
      </c>
      <c r="U18" s="19">
        <f t="shared" si="15"/>
        <v>895.60293619999993</v>
      </c>
      <c r="V18" s="19">
        <f t="shared" si="16"/>
        <v>909.61858619999998</v>
      </c>
      <c r="W18" s="46">
        <f t="shared" si="17"/>
        <v>885.57301919999998</v>
      </c>
    </row>
    <row r="19" spans="1:23" hidden="1" x14ac:dyDescent="0.25">
      <c r="A19" s="17" t="s">
        <v>394</v>
      </c>
      <c r="B19" s="17" t="str">
        <f t="shared" si="0"/>
        <v>LysylPG 27:0</v>
      </c>
      <c r="C19" s="1" t="str">
        <f t="shared" si="1"/>
        <v>27</v>
      </c>
      <c r="D19" s="1" t="str">
        <f t="shared" si="2"/>
        <v>0</v>
      </c>
      <c r="G19" s="17">
        <f t="shared" si="3"/>
        <v>39</v>
      </c>
      <c r="H19" s="17">
        <f t="shared" si="4"/>
        <v>77</v>
      </c>
      <c r="I19" s="17">
        <v>2</v>
      </c>
      <c r="J19" s="17">
        <f t="shared" si="5"/>
        <v>11</v>
      </c>
      <c r="K19" s="17">
        <v>1</v>
      </c>
      <c r="L19" s="19" t="str">
        <f t="shared" si="6"/>
        <v>C39H77N2O11P1</v>
      </c>
      <c r="M19" s="21">
        <f t="shared" si="7"/>
        <v>780.52647020000006</v>
      </c>
      <c r="N19" s="46">
        <f t="shared" si="8"/>
        <v>781.53374480000014</v>
      </c>
      <c r="O19" s="19">
        <f t="shared" si="9"/>
        <v>763.52262480000013</v>
      </c>
      <c r="P19" s="19">
        <f t="shared" si="10"/>
        <v>798.56029020000005</v>
      </c>
      <c r="Q19" s="19">
        <f t="shared" si="11"/>
        <v>803.51569020000011</v>
      </c>
      <c r="R19" s="19">
        <f t="shared" si="12"/>
        <v>819.48963020000008</v>
      </c>
      <c r="S19" s="19">
        <f t="shared" si="13"/>
        <v>787.54193020000014</v>
      </c>
      <c r="T19" s="19">
        <f t="shared" si="14"/>
        <v>779.51919559999999</v>
      </c>
      <c r="U19" s="19">
        <f t="shared" si="15"/>
        <v>825.52469020000001</v>
      </c>
      <c r="V19" s="19">
        <f t="shared" si="16"/>
        <v>839.54034020000006</v>
      </c>
    </row>
    <row r="20" spans="1:23" hidden="1" x14ac:dyDescent="0.25">
      <c r="A20" s="17" t="s">
        <v>395</v>
      </c>
      <c r="B20" s="17" t="str">
        <f t="shared" si="0"/>
        <v>LysylPG 26:0</v>
      </c>
      <c r="C20" s="1" t="str">
        <f t="shared" si="1"/>
        <v>26</v>
      </c>
      <c r="D20" s="1" t="str">
        <f t="shared" si="2"/>
        <v>0</v>
      </c>
      <c r="G20" s="17">
        <f t="shared" si="3"/>
        <v>38</v>
      </c>
      <c r="H20" s="17">
        <f t="shared" si="4"/>
        <v>75</v>
      </c>
      <c r="I20" s="17">
        <v>2</v>
      </c>
      <c r="J20" s="17">
        <f t="shared" si="5"/>
        <v>11</v>
      </c>
      <c r="K20" s="17">
        <v>1</v>
      </c>
      <c r="L20" s="19" t="str">
        <f t="shared" si="6"/>
        <v>C38H75N2O11P1</v>
      </c>
      <c r="M20" s="21">
        <f t="shared" si="7"/>
        <v>766.51082100000008</v>
      </c>
      <c r="N20" s="46">
        <f t="shared" si="8"/>
        <v>767.51809560000015</v>
      </c>
      <c r="O20" s="19">
        <f t="shared" si="9"/>
        <v>749.50697560000015</v>
      </c>
      <c r="P20" s="19">
        <f t="shared" si="10"/>
        <v>784.54464100000007</v>
      </c>
      <c r="Q20" s="19">
        <f t="shared" si="11"/>
        <v>789.50004100000012</v>
      </c>
      <c r="R20" s="19">
        <f t="shared" si="12"/>
        <v>805.47398100000009</v>
      </c>
      <c r="S20" s="19">
        <f t="shared" si="13"/>
        <v>773.52628100000015</v>
      </c>
      <c r="T20" s="19">
        <f t="shared" si="14"/>
        <v>765.5035464</v>
      </c>
      <c r="U20" s="19">
        <f t="shared" si="15"/>
        <v>811.50904100000002</v>
      </c>
      <c r="V20" s="19">
        <f t="shared" si="16"/>
        <v>825.52469100000008</v>
      </c>
    </row>
    <row r="21" spans="1:23" hidden="1" x14ac:dyDescent="0.25">
      <c r="A21" s="17" t="s">
        <v>396</v>
      </c>
      <c r="B21" s="17" t="str">
        <f t="shared" si="0"/>
        <v>LysylPG 25:0</v>
      </c>
      <c r="C21" s="1" t="str">
        <f t="shared" si="1"/>
        <v>25</v>
      </c>
      <c r="D21" s="1" t="str">
        <f t="shared" si="2"/>
        <v>0</v>
      </c>
      <c r="G21" s="17">
        <f t="shared" si="3"/>
        <v>37</v>
      </c>
      <c r="H21" s="17">
        <f t="shared" si="4"/>
        <v>73</v>
      </c>
      <c r="I21" s="17">
        <v>2</v>
      </c>
      <c r="J21" s="17">
        <f t="shared" si="5"/>
        <v>11</v>
      </c>
      <c r="K21" s="17">
        <v>1</v>
      </c>
      <c r="L21" s="19" t="str">
        <f t="shared" si="6"/>
        <v>C37H73N2O11P1</v>
      </c>
      <c r="M21" s="21">
        <f t="shared" si="7"/>
        <v>752.49517179999998</v>
      </c>
      <c r="N21" s="46">
        <f t="shared" si="8"/>
        <v>753.50244640000005</v>
      </c>
      <c r="O21" s="19">
        <f t="shared" si="9"/>
        <v>735.49132640000005</v>
      </c>
      <c r="P21" s="19">
        <f t="shared" si="10"/>
        <v>770.52899179999997</v>
      </c>
      <c r="Q21" s="19">
        <f t="shared" si="11"/>
        <v>775.48439180000003</v>
      </c>
      <c r="R21" s="19">
        <f t="shared" si="12"/>
        <v>791.4583318</v>
      </c>
      <c r="S21" s="19">
        <f t="shared" si="13"/>
        <v>759.51063180000006</v>
      </c>
      <c r="T21" s="19">
        <f t="shared" si="14"/>
        <v>751.48789719999991</v>
      </c>
      <c r="U21" s="19">
        <f t="shared" si="15"/>
        <v>797.49339179999993</v>
      </c>
      <c r="V21" s="19">
        <f t="shared" si="16"/>
        <v>811.50904179999998</v>
      </c>
    </row>
    <row r="22" spans="1:23" hidden="1" x14ac:dyDescent="0.25">
      <c r="A22" s="17" t="s">
        <v>397</v>
      </c>
      <c r="B22" s="17" t="str">
        <f t="shared" si="0"/>
        <v>LysylPG 24:0</v>
      </c>
      <c r="C22" s="1" t="str">
        <f t="shared" si="1"/>
        <v>24</v>
      </c>
      <c r="D22" s="1" t="str">
        <f t="shared" si="2"/>
        <v>0</v>
      </c>
      <c r="G22" s="17">
        <f t="shared" si="3"/>
        <v>36</v>
      </c>
      <c r="H22" s="17">
        <f t="shared" si="4"/>
        <v>71</v>
      </c>
      <c r="I22" s="17">
        <v>2</v>
      </c>
      <c r="J22" s="17">
        <f t="shared" si="5"/>
        <v>11</v>
      </c>
      <c r="K22" s="17">
        <v>1</v>
      </c>
      <c r="L22" s="19" t="str">
        <f t="shared" si="6"/>
        <v>C36H71N2O11P1</v>
      </c>
      <c r="M22" s="21">
        <f t="shared" si="7"/>
        <v>738.4795226</v>
      </c>
      <c r="N22" s="46">
        <f t="shared" si="8"/>
        <v>739.48679720000007</v>
      </c>
      <c r="O22" s="19">
        <f t="shared" si="9"/>
        <v>721.47567720000006</v>
      </c>
      <c r="P22" s="19">
        <f t="shared" si="10"/>
        <v>756.51334259999999</v>
      </c>
      <c r="Q22" s="19">
        <f t="shared" si="11"/>
        <v>761.46874260000004</v>
      </c>
      <c r="R22" s="19">
        <f t="shared" si="12"/>
        <v>777.44268260000001</v>
      </c>
      <c r="S22" s="19">
        <f t="shared" si="13"/>
        <v>745.49498260000007</v>
      </c>
      <c r="T22" s="19">
        <f t="shared" si="14"/>
        <v>737.47224799999992</v>
      </c>
      <c r="U22" s="19">
        <f t="shared" si="15"/>
        <v>783.47774259999994</v>
      </c>
      <c r="V22" s="19">
        <f t="shared" si="16"/>
        <v>797.49339259999999</v>
      </c>
    </row>
    <row r="23" spans="1:23" hidden="1" x14ac:dyDescent="0.25">
      <c r="A23" s="17" t="s">
        <v>398</v>
      </c>
      <c r="B23" s="17" t="str">
        <f t="shared" si="0"/>
        <v>LysylPG 23:0</v>
      </c>
      <c r="C23" s="1" t="str">
        <f t="shared" si="1"/>
        <v>23</v>
      </c>
      <c r="D23" s="1" t="str">
        <f t="shared" si="2"/>
        <v>0</v>
      </c>
      <c r="G23" s="17">
        <f t="shared" si="3"/>
        <v>35</v>
      </c>
      <c r="H23" s="17">
        <f t="shared" si="4"/>
        <v>69</v>
      </c>
      <c r="I23" s="17">
        <v>2</v>
      </c>
      <c r="J23" s="17">
        <f t="shared" si="5"/>
        <v>11</v>
      </c>
      <c r="K23" s="17">
        <v>1</v>
      </c>
      <c r="L23" s="19" t="str">
        <f t="shared" si="6"/>
        <v>C35H69N2O11P1</v>
      </c>
      <c r="M23" s="21">
        <f t="shared" si="7"/>
        <v>724.46387340000001</v>
      </c>
      <c r="N23" s="46">
        <f t="shared" si="8"/>
        <v>725.47114800000008</v>
      </c>
      <c r="O23" s="19">
        <f t="shared" si="9"/>
        <v>707.46002800000008</v>
      </c>
      <c r="P23" s="19">
        <f t="shared" si="10"/>
        <v>742.4976934</v>
      </c>
      <c r="Q23" s="19">
        <f t="shared" si="11"/>
        <v>747.45309340000006</v>
      </c>
      <c r="R23" s="19">
        <f t="shared" si="12"/>
        <v>763.42703340000003</v>
      </c>
      <c r="S23" s="19">
        <f t="shared" si="13"/>
        <v>731.47933340000009</v>
      </c>
      <c r="T23" s="19">
        <f t="shared" si="14"/>
        <v>723.45659879999994</v>
      </c>
      <c r="U23" s="19">
        <f t="shared" si="15"/>
        <v>769.46209339999996</v>
      </c>
      <c r="V23" s="19">
        <f t="shared" si="16"/>
        <v>783.47774340000001</v>
      </c>
    </row>
    <row r="24" spans="1:23" hidden="1" x14ac:dyDescent="0.25">
      <c r="A24" s="17" t="s">
        <v>399</v>
      </c>
      <c r="B24" s="17" t="str">
        <f t="shared" si="0"/>
        <v>LysylPG 22:0</v>
      </c>
      <c r="C24" s="1" t="str">
        <f t="shared" si="1"/>
        <v>22</v>
      </c>
      <c r="D24" s="1" t="str">
        <f t="shared" si="2"/>
        <v>0</v>
      </c>
      <c r="G24" s="17">
        <f t="shared" si="3"/>
        <v>34</v>
      </c>
      <c r="H24" s="17">
        <f t="shared" si="4"/>
        <v>67</v>
      </c>
      <c r="I24" s="17">
        <v>2</v>
      </c>
      <c r="J24" s="17">
        <f t="shared" si="5"/>
        <v>11</v>
      </c>
      <c r="K24" s="17">
        <v>1</v>
      </c>
      <c r="L24" s="19" t="str">
        <f t="shared" si="6"/>
        <v>C34H67N2O11P1</v>
      </c>
      <c r="M24" s="21">
        <f t="shared" si="7"/>
        <v>710.44822419999991</v>
      </c>
      <c r="N24" s="46">
        <f t="shared" si="8"/>
        <v>711.45549879999999</v>
      </c>
      <c r="O24" s="19">
        <f t="shared" si="9"/>
        <v>693.44437879999998</v>
      </c>
      <c r="P24" s="19">
        <f t="shared" si="10"/>
        <v>728.4820441999999</v>
      </c>
      <c r="Q24" s="19">
        <f t="shared" si="11"/>
        <v>733.43744419999996</v>
      </c>
      <c r="R24" s="19">
        <f t="shared" si="12"/>
        <v>749.41138419999993</v>
      </c>
      <c r="S24" s="19">
        <f t="shared" si="13"/>
        <v>717.46368419999999</v>
      </c>
      <c r="T24" s="19">
        <f t="shared" si="14"/>
        <v>709.44094959999984</v>
      </c>
      <c r="U24" s="19">
        <f t="shared" si="15"/>
        <v>755.44644419999986</v>
      </c>
      <c r="V24" s="19">
        <f t="shared" si="16"/>
        <v>769.46209419999991</v>
      </c>
    </row>
    <row r="25" spans="1:23" hidden="1" x14ac:dyDescent="0.25">
      <c r="A25" s="17" t="s">
        <v>400</v>
      </c>
      <c r="B25" s="17" t="str">
        <f t="shared" si="0"/>
        <v>LysylPG 25:1</v>
      </c>
      <c r="C25" s="1" t="str">
        <f t="shared" si="1"/>
        <v>25</v>
      </c>
      <c r="D25" s="1" t="str">
        <f t="shared" si="2"/>
        <v>1</v>
      </c>
      <c r="G25" s="17">
        <f t="shared" si="3"/>
        <v>37</v>
      </c>
      <c r="H25" s="17">
        <f t="shared" si="4"/>
        <v>71</v>
      </c>
      <c r="I25" s="17">
        <v>2</v>
      </c>
      <c r="J25" s="17">
        <f t="shared" si="5"/>
        <v>11</v>
      </c>
      <c r="K25" s="17">
        <v>1</v>
      </c>
      <c r="L25" s="19" t="str">
        <f t="shared" si="6"/>
        <v>C37H71N2O11P1</v>
      </c>
      <c r="M25" s="21">
        <f t="shared" si="7"/>
        <v>750.4795226</v>
      </c>
      <c r="N25" s="46">
        <f t="shared" si="8"/>
        <v>751.48679720000007</v>
      </c>
      <c r="O25" s="19">
        <f t="shared" si="9"/>
        <v>733.47567720000006</v>
      </c>
      <c r="P25" s="19">
        <f t="shared" si="10"/>
        <v>768.51334259999999</v>
      </c>
      <c r="Q25" s="19">
        <f t="shared" si="11"/>
        <v>773.46874260000004</v>
      </c>
      <c r="R25" s="19">
        <f t="shared" si="12"/>
        <v>789.44268260000001</v>
      </c>
      <c r="S25" s="19">
        <f t="shared" si="13"/>
        <v>757.49498260000007</v>
      </c>
      <c r="T25" s="19">
        <f t="shared" si="14"/>
        <v>749.47224799999992</v>
      </c>
      <c r="U25" s="19">
        <f t="shared" si="15"/>
        <v>795.47774259999994</v>
      </c>
      <c r="V25" s="19">
        <f t="shared" si="16"/>
        <v>809.49339259999999</v>
      </c>
    </row>
    <row r="26" spans="1:23" hidden="1" x14ac:dyDescent="0.25">
      <c r="A26" s="17" t="s">
        <v>401</v>
      </c>
      <c r="B26" s="17" t="str">
        <f t="shared" si="0"/>
        <v>LysylPG 32:1</v>
      </c>
      <c r="C26" s="1" t="str">
        <f t="shared" si="1"/>
        <v>32</v>
      </c>
      <c r="D26" s="1" t="str">
        <f t="shared" si="2"/>
        <v>1</v>
      </c>
      <c r="G26" s="17">
        <f t="shared" si="3"/>
        <v>44</v>
      </c>
      <c r="H26" s="17">
        <f t="shared" si="4"/>
        <v>85</v>
      </c>
      <c r="I26" s="17">
        <v>2</v>
      </c>
      <c r="J26" s="17">
        <f t="shared" si="5"/>
        <v>11</v>
      </c>
      <c r="K26" s="17">
        <v>1</v>
      </c>
      <c r="L26" s="19" t="str">
        <f t="shared" si="6"/>
        <v>C44H85N2O11P1</v>
      </c>
      <c r="M26" s="21">
        <f t="shared" si="7"/>
        <v>848.589067</v>
      </c>
      <c r="N26" s="46">
        <f t="shared" si="8"/>
        <v>849.59634160000007</v>
      </c>
      <c r="O26" s="19">
        <f t="shared" si="9"/>
        <v>831.58522160000007</v>
      </c>
      <c r="P26" s="19">
        <f t="shared" si="10"/>
        <v>866.62288699999999</v>
      </c>
      <c r="Q26" s="19">
        <f t="shared" si="11"/>
        <v>871.57828700000005</v>
      </c>
      <c r="R26" s="19">
        <f t="shared" si="12"/>
        <v>887.55222700000002</v>
      </c>
      <c r="S26" s="19">
        <f t="shared" si="13"/>
        <v>855.60452700000008</v>
      </c>
      <c r="T26" s="19">
        <f t="shared" si="14"/>
        <v>847.58179239999993</v>
      </c>
      <c r="U26" s="19">
        <f t="shared" si="15"/>
        <v>893.58728699999995</v>
      </c>
      <c r="V26" s="19">
        <f t="shared" si="16"/>
        <v>907.602937</v>
      </c>
    </row>
    <row r="27" spans="1:23" hidden="1" x14ac:dyDescent="0.25">
      <c r="A27" s="17" t="s">
        <v>402</v>
      </c>
      <c r="B27" s="17" t="str">
        <f t="shared" si="0"/>
        <v>LysylPG 35:1</v>
      </c>
      <c r="C27" s="1" t="str">
        <f t="shared" si="1"/>
        <v>35</v>
      </c>
      <c r="D27" s="1" t="str">
        <f t="shared" si="2"/>
        <v>1</v>
      </c>
      <c r="G27" s="17">
        <f t="shared" si="3"/>
        <v>47</v>
      </c>
      <c r="H27" s="17">
        <f t="shared" si="4"/>
        <v>91</v>
      </c>
      <c r="I27" s="17">
        <v>2</v>
      </c>
      <c r="J27" s="17">
        <f t="shared" si="5"/>
        <v>11</v>
      </c>
      <c r="K27" s="17">
        <v>1</v>
      </c>
      <c r="L27" s="19" t="str">
        <f t="shared" si="6"/>
        <v>C47H91N2O11P1</v>
      </c>
      <c r="M27" s="21">
        <f t="shared" si="7"/>
        <v>890.63601460000007</v>
      </c>
      <c r="N27" s="46">
        <f t="shared" si="8"/>
        <v>891.64328920000014</v>
      </c>
      <c r="O27" s="19">
        <f t="shared" si="9"/>
        <v>873.63216920000013</v>
      </c>
      <c r="P27" s="19">
        <f t="shared" si="10"/>
        <v>908.66983460000006</v>
      </c>
      <c r="Q27" s="19">
        <f t="shared" si="11"/>
        <v>913.62523460000011</v>
      </c>
      <c r="R27" s="19">
        <f t="shared" si="12"/>
        <v>929.59917460000008</v>
      </c>
      <c r="S27" s="19">
        <f t="shared" si="13"/>
        <v>897.65147460000014</v>
      </c>
      <c r="T27" s="19">
        <f t="shared" si="14"/>
        <v>889.62873999999999</v>
      </c>
      <c r="U27" s="19">
        <f t="shared" si="15"/>
        <v>935.63423460000001</v>
      </c>
      <c r="V27" s="19">
        <f t="shared" si="16"/>
        <v>949.64988460000006</v>
      </c>
    </row>
    <row r="28" spans="1:23" hidden="1" x14ac:dyDescent="0.25">
      <c r="A28" s="17" t="s">
        <v>403</v>
      </c>
      <c r="B28" s="17" t="str">
        <f t="shared" si="0"/>
        <v>LysylPG 30:1</v>
      </c>
      <c r="C28" s="1" t="str">
        <f t="shared" si="1"/>
        <v>30</v>
      </c>
      <c r="D28" s="1" t="str">
        <f t="shared" si="2"/>
        <v>1</v>
      </c>
      <c r="G28" s="17">
        <f t="shared" si="3"/>
        <v>42</v>
      </c>
      <c r="H28" s="17">
        <f t="shared" si="4"/>
        <v>81</v>
      </c>
      <c r="I28" s="17">
        <v>2</v>
      </c>
      <c r="J28" s="17">
        <f t="shared" si="5"/>
        <v>11</v>
      </c>
      <c r="K28" s="17">
        <v>1</v>
      </c>
      <c r="L28" s="19" t="str">
        <f t="shared" si="6"/>
        <v>C42H81N2O11P1</v>
      </c>
      <c r="M28" s="21">
        <f t="shared" si="7"/>
        <v>820.55776860000003</v>
      </c>
      <c r="N28" s="46">
        <f t="shared" si="8"/>
        <v>821.5650432000001</v>
      </c>
      <c r="O28" s="19">
        <f t="shared" si="9"/>
        <v>803.5539232000001</v>
      </c>
      <c r="P28" s="19">
        <f t="shared" si="10"/>
        <v>838.59158860000002</v>
      </c>
      <c r="Q28" s="19">
        <f t="shared" si="11"/>
        <v>843.54698860000008</v>
      </c>
      <c r="R28" s="19">
        <f t="shared" si="12"/>
        <v>859.52092860000005</v>
      </c>
      <c r="S28" s="19">
        <f t="shared" si="13"/>
        <v>827.57322860000011</v>
      </c>
      <c r="T28" s="19">
        <f t="shared" si="14"/>
        <v>819.55049399999996</v>
      </c>
      <c r="U28" s="19">
        <f t="shared" si="15"/>
        <v>865.55598859999998</v>
      </c>
      <c r="V28" s="19">
        <f t="shared" si="16"/>
        <v>879.57163860000003</v>
      </c>
    </row>
    <row r="29" spans="1:23" x14ac:dyDescent="0.25">
      <c r="A29" s="17" t="s">
        <v>561</v>
      </c>
      <c r="B29" s="17" t="str">
        <f t="shared" si="0"/>
        <v>LysylPG 33:2</v>
      </c>
      <c r="C29" s="1" t="str">
        <f t="shared" si="1"/>
        <v>33</v>
      </c>
      <c r="D29" s="1" t="str">
        <f t="shared" si="2"/>
        <v>2</v>
      </c>
      <c r="G29" s="17">
        <f t="shared" si="3"/>
        <v>45</v>
      </c>
      <c r="H29" s="17">
        <f t="shared" si="4"/>
        <v>85</v>
      </c>
      <c r="I29" s="17">
        <v>2</v>
      </c>
      <c r="J29" s="17">
        <f t="shared" si="5"/>
        <v>11</v>
      </c>
      <c r="K29" s="17">
        <v>1</v>
      </c>
      <c r="L29" s="19" t="str">
        <f t="shared" si="6"/>
        <v>C45H85N2O11P1</v>
      </c>
      <c r="M29" s="21">
        <f t="shared" si="7"/>
        <v>860.589067</v>
      </c>
      <c r="N29" s="46">
        <f t="shared" si="8"/>
        <v>861.59634160000007</v>
      </c>
      <c r="O29" s="19">
        <f t="shared" si="9"/>
        <v>843.58522160000007</v>
      </c>
      <c r="P29" s="19">
        <f t="shared" si="10"/>
        <v>878.62288699999999</v>
      </c>
      <c r="Q29" s="19">
        <f t="shared" si="11"/>
        <v>883.57828700000005</v>
      </c>
      <c r="R29" s="19">
        <f t="shared" si="12"/>
        <v>899.55222700000002</v>
      </c>
      <c r="S29" s="19">
        <f t="shared" si="13"/>
        <v>867.60452700000008</v>
      </c>
      <c r="T29" s="19">
        <f t="shared" si="14"/>
        <v>859.58179239999993</v>
      </c>
      <c r="U29" s="19">
        <f t="shared" si="15"/>
        <v>905.58728699999995</v>
      </c>
      <c r="V29" s="19">
        <f t="shared" si="16"/>
        <v>919.602937</v>
      </c>
      <c r="W29" s="46">
        <f t="shared" ref="W29:W46" si="36">M29+34.968853-0.00055</f>
        <v>895.55736999999999</v>
      </c>
    </row>
    <row r="30" spans="1:23" x14ac:dyDescent="0.25">
      <c r="A30" s="17" t="s">
        <v>553</v>
      </c>
      <c r="B30" s="17" t="str">
        <f t="shared" si="0"/>
        <v>LysylPG 33:1</v>
      </c>
      <c r="C30" s="1" t="str">
        <f t="shared" si="1"/>
        <v>33</v>
      </c>
      <c r="D30" s="1" t="str">
        <f t="shared" si="2"/>
        <v>1</v>
      </c>
      <c r="G30" s="17">
        <f t="shared" si="3"/>
        <v>45</v>
      </c>
      <c r="H30" s="17">
        <f t="shared" si="4"/>
        <v>87</v>
      </c>
      <c r="I30" s="17">
        <v>2</v>
      </c>
      <c r="J30" s="17">
        <f t="shared" si="5"/>
        <v>11</v>
      </c>
      <c r="K30" s="17">
        <v>1</v>
      </c>
      <c r="L30" s="19" t="str">
        <f t="shared" si="6"/>
        <v>C45H87N2O11P1</v>
      </c>
      <c r="M30" s="21">
        <f t="shared" si="7"/>
        <v>862.60471619999998</v>
      </c>
      <c r="N30" s="46">
        <f t="shared" si="8"/>
        <v>863.61199080000006</v>
      </c>
      <c r="O30" s="19">
        <f t="shared" si="9"/>
        <v>845.60087080000005</v>
      </c>
      <c r="P30" s="19">
        <f t="shared" si="10"/>
        <v>880.63853619999998</v>
      </c>
      <c r="Q30" s="19">
        <f t="shared" si="11"/>
        <v>885.59393620000003</v>
      </c>
      <c r="R30" s="19">
        <f t="shared" si="12"/>
        <v>901.5678762</v>
      </c>
      <c r="S30" s="19">
        <f t="shared" si="13"/>
        <v>869.62017620000006</v>
      </c>
      <c r="T30" s="19">
        <f t="shared" si="14"/>
        <v>861.59744159999991</v>
      </c>
      <c r="U30" s="19">
        <f t="shared" si="15"/>
        <v>907.60293619999993</v>
      </c>
      <c r="V30" s="19">
        <f t="shared" si="16"/>
        <v>921.61858619999998</v>
      </c>
      <c r="W30" s="46">
        <f t="shared" si="36"/>
        <v>897.57301919999998</v>
      </c>
    </row>
    <row r="31" spans="1:23" x14ac:dyDescent="0.25">
      <c r="A31" s="17" t="s">
        <v>389</v>
      </c>
      <c r="B31" s="17" t="str">
        <f t="shared" si="0"/>
        <v>LysylPG 33:0</v>
      </c>
      <c r="C31" s="1" t="str">
        <f t="shared" si="1"/>
        <v>33</v>
      </c>
      <c r="D31" s="1" t="str">
        <f t="shared" si="2"/>
        <v>0</v>
      </c>
      <c r="G31" s="17">
        <f t="shared" si="3"/>
        <v>45</v>
      </c>
      <c r="H31" s="17">
        <f t="shared" si="4"/>
        <v>89</v>
      </c>
      <c r="I31" s="17">
        <v>2</v>
      </c>
      <c r="J31" s="17">
        <f t="shared" si="5"/>
        <v>11</v>
      </c>
      <c r="K31" s="17">
        <v>1</v>
      </c>
      <c r="L31" s="19" t="str">
        <f t="shared" si="6"/>
        <v>C45H89N2O11P1</v>
      </c>
      <c r="M31" s="21">
        <f t="shared" si="7"/>
        <v>864.62036540000008</v>
      </c>
      <c r="N31" s="46">
        <f t="shared" si="8"/>
        <v>865.62764000000016</v>
      </c>
      <c r="O31" s="19">
        <f t="shared" si="9"/>
        <v>847.61652000000015</v>
      </c>
      <c r="P31" s="19">
        <f t="shared" si="10"/>
        <v>882.65418540000007</v>
      </c>
      <c r="Q31" s="19">
        <f t="shared" si="11"/>
        <v>887.60958540000013</v>
      </c>
      <c r="R31" s="19">
        <f t="shared" si="12"/>
        <v>903.5835254000001</v>
      </c>
      <c r="S31" s="19">
        <f t="shared" si="13"/>
        <v>871.63582540000016</v>
      </c>
      <c r="T31" s="19">
        <f t="shared" si="14"/>
        <v>863.61309080000001</v>
      </c>
      <c r="U31" s="19">
        <f t="shared" si="15"/>
        <v>909.61858540000003</v>
      </c>
      <c r="V31" s="19">
        <f t="shared" si="16"/>
        <v>923.63423540000008</v>
      </c>
      <c r="W31" s="46">
        <f t="shared" si="36"/>
        <v>899.58866840000007</v>
      </c>
    </row>
    <row r="32" spans="1:23" x14ac:dyDescent="0.25">
      <c r="A32" s="17" t="s">
        <v>562</v>
      </c>
      <c r="B32" s="17" t="str">
        <f t="shared" si="0"/>
        <v>LysylPG 34:2</v>
      </c>
      <c r="C32" s="1" t="str">
        <f t="shared" si="1"/>
        <v>34</v>
      </c>
      <c r="D32" s="1" t="str">
        <f t="shared" si="2"/>
        <v>2</v>
      </c>
      <c r="G32" s="17">
        <f t="shared" si="3"/>
        <v>46</v>
      </c>
      <c r="H32" s="17">
        <f t="shared" si="4"/>
        <v>87</v>
      </c>
      <c r="I32" s="17">
        <v>2</v>
      </c>
      <c r="J32" s="17">
        <f t="shared" si="5"/>
        <v>11</v>
      </c>
      <c r="K32" s="17">
        <v>1</v>
      </c>
      <c r="L32" s="19" t="str">
        <f t="shared" si="6"/>
        <v>C46H87N2O11P1</v>
      </c>
      <c r="M32" s="21">
        <f t="shared" si="7"/>
        <v>874.60471619999998</v>
      </c>
      <c r="N32" s="46">
        <f t="shared" si="8"/>
        <v>875.61199080000006</v>
      </c>
      <c r="O32" s="19">
        <f t="shared" si="9"/>
        <v>857.60087080000005</v>
      </c>
      <c r="P32" s="19">
        <f t="shared" si="10"/>
        <v>892.63853619999998</v>
      </c>
      <c r="Q32" s="19">
        <f t="shared" si="11"/>
        <v>897.59393620000003</v>
      </c>
      <c r="R32" s="19">
        <f t="shared" si="12"/>
        <v>913.5678762</v>
      </c>
      <c r="S32" s="19">
        <f t="shared" si="13"/>
        <v>881.62017620000006</v>
      </c>
      <c r="T32" s="19">
        <f t="shared" si="14"/>
        <v>873.59744159999991</v>
      </c>
      <c r="U32" s="19">
        <f t="shared" si="15"/>
        <v>919.60293619999993</v>
      </c>
      <c r="V32" s="19">
        <f t="shared" si="16"/>
        <v>933.61858619999998</v>
      </c>
      <c r="W32" s="46">
        <f t="shared" si="36"/>
        <v>909.57301919999998</v>
      </c>
    </row>
    <row r="33" spans="1:23" x14ac:dyDescent="0.25">
      <c r="A33" s="17" t="s">
        <v>554</v>
      </c>
      <c r="B33" s="17" t="str">
        <f t="shared" si="0"/>
        <v>LysylPG 34:1</v>
      </c>
      <c r="C33" s="1" t="str">
        <f t="shared" si="1"/>
        <v>34</v>
      </c>
      <c r="D33" s="1" t="str">
        <f t="shared" si="2"/>
        <v>1</v>
      </c>
      <c r="G33" s="17">
        <f t="shared" si="3"/>
        <v>46</v>
      </c>
      <c r="H33" s="17">
        <f t="shared" si="4"/>
        <v>89</v>
      </c>
      <c r="I33" s="17">
        <v>2</v>
      </c>
      <c r="J33" s="17">
        <f t="shared" si="5"/>
        <v>11</v>
      </c>
      <c r="K33" s="17">
        <v>1</v>
      </c>
      <c r="L33" s="19" t="str">
        <f t="shared" si="6"/>
        <v>C46H89N2O11P1</v>
      </c>
      <c r="M33" s="21">
        <f t="shared" si="7"/>
        <v>876.62036540000008</v>
      </c>
      <c r="N33" s="46">
        <f t="shared" si="8"/>
        <v>877.62764000000016</v>
      </c>
      <c r="O33" s="19">
        <f t="shared" si="9"/>
        <v>859.61652000000015</v>
      </c>
      <c r="P33" s="19">
        <f t="shared" si="10"/>
        <v>894.65418540000007</v>
      </c>
      <c r="Q33" s="19">
        <f t="shared" si="11"/>
        <v>899.60958540000013</v>
      </c>
      <c r="R33" s="19">
        <f t="shared" si="12"/>
        <v>915.5835254000001</v>
      </c>
      <c r="S33" s="19">
        <f t="shared" si="13"/>
        <v>883.63582540000016</v>
      </c>
      <c r="T33" s="19">
        <f t="shared" si="14"/>
        <v>875.61309080000001</v>
      </c>
      <c r="U33" s="19">
        <f t="shared" si="15"/>
        <v>921.61858540000003</v>
      </c>
      <c r="V33" s="19">
        <f t="shared" si="16"/>
        <v>935.63423540000008</v>
      </c>
      <c r="W33" s="46">
        <f t="shared" si="36"/>
        <v>911.58866840000007</v>
      </c>
    </row>
    <row r="34" spans="1:23" x14ac:dyDescent="0.25">
      <c r="A34" s="17" t="s">
        <v>390</v>
      </c>
      <c r="B34" s="17" t="str">
        <f t="shared" si="0"/>
        <v>LysylPG 34:0</v>
      </c>
      <c r="C34" s="1" t="str">
        <f t="shared" si="1"/>
        <v>34</v>
      </c>
      <c r="D34" s="1" t="str">
        <f t="shared" si="2"/>
        <v>0</v>
      </c>
      <c r="G34" s="17">
        <f t="shared" si="3"/>
        <v>46</v>
      </c>
      <c r="H34" s="17">
        <f t="shared" si="4"/>
        <v>91</v>
      </c>
      <c r="I34" s="17">
        <v>2</v>
      </c>
      <c r="J34" s="17">
        <f t="shared" si="5"/>
        <v>11</v>
      </c>
      <c r="K34" s="17">
        <v>1</v>
      </c>
      <c r="L34" s="19" t="str">
        <f t="shared" si="6"/>
        <v>C46H91N2O11P1</v>
      </c>
      <c r="M34" s="21">
        <f t="shared" si="7"/>
        <v>878.63601460000007</v>
      </c>
      <c r="N34" s="46">
        <f t="shared" si="8"/>
        <v>879.64328920000014</v>
      </c>
      <c r="O34" s="19">
        <f t="shared" si="9"/>
        <v>861.63216920000013</v>
      </c>
      <c r="P34" s="19">
        <f t="shared" si="10"/>
        <v>896.66983460000006</v>
      </c>
      <c r="Q34" s="19">
        <f t="shared" si="11"/>
        <v>901.62523460000011</v>
      </c>
      <c r="R34" s="19">
        <f t="shared" si="12"/>
        <v>917.59917460000008</v>
      </c>
      <c r="S34" s="19">
        <f t="shared" si="13"/>
        <v>885.65147460000014</v>
      </c>
      <c r="T34" s="19">
        <f t="shared" si="14"/>
        <v>877.62873999999999</v>
      </c>
      <c r="U34" s="19">
        <f t="shared" si="15"/>
        <v>923.63423460000001</v>
      </c>
      <c r="V34" s="19">
        <f t="shared" si="16"/>
        <v>937.64988460000006</v>
      </c>
      <c r="W34" s="46">
        <f t="shared" si="36"/>
        <v>913.60431760000006</v>
      </c>
    </row>
    <row r="35" spans="1:23" x14ac:dyDescent="0.25">
      <c r="A35" s="17" t="s">
        <v>563</v>
      </c>
      <c r="B35" s="17" t="str">
        <f t="shared" si="0"/>
        <v>LysylPG 35:2</v>
      </c>
      <c r="C35" s="1" t="str">
        <f t="shared" si="1"/>
        <v>35</v>
      </c>
      <c r="D35" s="1" t="str">
        <f t="shared" si="2"/>
        <v>2</v>
      </c>
      <c r="G35" s="17">
        <f t="shared" si="3"/>
        <v>47</v>
      </c>
      <c r="H35" s="17">
        <f t="shared" si="4"/>
        <v>89</v>
      </c>
      <c r="I35" s="17">
        <v>2</v>
      </c>
      <c r="J35" s="17">
        <f t="shared" si="5"/>
        <v>11</v>
      </c>
      <c r="K35" s="17">
        <v>1</v>
      </c>
      <c r="L35" s="19" t="str">
        <f t="shared" si="6"/>
        <v>C47H89N2O11P1</v>
      </c>
      <c r="M35" s="21">
        <f t="shared" si="7"/>
        <v>888.62036540000008</v>
      </c>
      <c r="N35" s="46">
        <f t="shared" si="8"/>
        <v>889.62764000000016</v>
      </c>
      <c r="O35" s="19">
        <f t="shared" si="9"/>
        <v>871.61652000000015</v>
      </c>
      <c r="P35" s="19">
        <f t="shared" si="10"/>
        <v>906.65418540000007</v>
      </c>
      <c r="Q35" s="19">
        <f t="shared" si="11"/>
        <v>911.60958540000013</v>
      </c>
      <c r="R35" s="19">
        <f t="shared" si="12"/>
        <v>927.5835254000001</v>
      </c>
      <c r="S35" s="19">
        <f t="shared" si="13"/>
        <v>895.63582540000016</v>
      </c>
      <c r="T35" s="19">
        <f t="shared" si="14"/>
        <v>887.61309080000001</v>
      </c>
      <c r="U35" s="19">
        <f t="shared" si="15"/>
        <v>933.61858540000003</v>
      </c>
      <c r="V35" s="19">
        <f t="shared" si="16"/>
        <v>947.63423540000008</v>
      </c>
      <c r="W35" s="46">
        <f t="shared" si="36"/>
        <v>923.58866840000007</v>
      </c>
    </row>
    <row r="36" spans="1:23" x14ac:dyDescent="0.25">
      <c r="A36" s="17" t="s">
        <v>402</v>
      </c>
      <c r="B36" s="17" t="str">
        <f t="shared" si="0"/>
        <v>LysylPG 35:1</v>
      </c>
      <c r="C36" s="1" t="str">
        <f t="shared" si="1"/>
        <v>35</v>
      </c>
      <c r="D36" s="1" t="str">
        <f t="shared" si="2"/>
        <v>1</v>
      </c>
      <c r="G36" s="17">
        <f t="shared" si="3"/>
        <v>47</v>
      </c>
      <c r="H36" s="17">
        <f t="shared" si="4"/>
        <v>91</v>
      </c>
      <c r="I36" s="17">
        <v>2</v>
      </c>
      <c r="J36" s="17">
        <f t="shared" si="5"/>
        <v>11</v>
      </c>
      <c r="K36" s="17">
        <v>1</v>
      </c>
      <c r="L36" s="19" t="str">
        <f t="shared" si="6"/>
        <v>C47H91N2O11P1</v>
      </c>
      <c r="M36" s="21">
        <f t="shared" si="7"/>
        <v>890.63601460000007</v>
      </c>
      <c r="N36" s="46">
        <f t="shared" si="8"/>
        <v>891.64328920000014</v>
      </c>
      <c r="O36" s="19">
        <f t="shared" si="9"/>
        <v>873.63216920000013</v>
      </c>
      <c r="P36" s="19">
        <f t="shared" si="10"/>
        <v>908.66983460000006</v>
      </c>
      <c r="Q36" s="19">
        <f t="shared" si="11"/>
        <v>913.62523460000011</v>
      </c>
      <c r="R36" s="19">
        <f t="shared" si="12"/>
        <v>929.59917460000008</v>
      </c>
      <c r="S36" s="19">
        <f t="shared" si="13"/>
        <v>897.65147460000014</v>
      </c>
      <c r="T36" s="19">
        <f t="shared" si="14"/>
        <v>889.62873999999999</v>
      </c>
      <c r="U36" s="19">
        <f t="shared" si="15"/>
        <v>935.63423460000001</v>
      </c>
      <c r="V36" s="19">
        <f t="shared" si="16"/>
        <v>949.64988460000006</v>
      </c>
      <c r="W36" s="46">
        <f t="shared" si="36"/>
        <v>925.60431760000006</v>
      </c>
    </row>
    <row r="37" spans="1:23" x14ac:dyDescent="0.25">
      <c r="A37" s="17" t="s">
        <v>391</v>
      </c>
      <c r="B37" s="17" t="str">
        <f t="shared" si="0"/>
        <v>LysylPG 35:0</v>
      </c>
      <c r="C37" s="1" t="str">
        <f t="shared" si="1"/>
        <v>35</v>
      </c>
      <c r="D37" s="1" t="str">
        <f t="shared" si="2"/>
        <v>0</v>
      </c>
      <c r="G37" s="17">
        <f t="shared" si="3"/>
        <v>47</v>
      </c>
      <c r="H37" s="17">
        <f t="shared" si="4"/>
        <v>93</v>
      </c>
      <c r="I37" s="17">
        <v>2</v>
      </c>
      <c r="J37" s="17">
        <f t="shared" si="5"/>
        <v>11</v>
      </c>
      <c r="K37" s="17">
        <v>1</v>
      </c>
      <c r="L37" s="19" t="str">
        <f t="shared" si="6"/>
        <v>C47H93N2O11P1</v>
      </c>
      <c r="M37" s="21">
        <f t="shared" si="7"/>
        <v>892.65166380000005</v>
      </c>
      <c r="N37" s="46">
        <f t="shared" si="8"/>
        <v>893.65893840000012</v>
      </c>
      <c r="O37" s="19">
        <f t="shared" si="9"/>
        <v>875.64781840000012</v>
      </c>
      <c r="P37" s="19">
        <f t="shared" si="10"/>
        <v>910.68548380000004</v>
      </c>
      <c r="Q37" s="19">
        <f t="shared" si="11"/>
        <v>915.6408838000001</v>
      </c>
      <c r="R37" s="19">
        <f t="shared" si="12"/>
        <v>931.61482380000007</v>
      </c>
      <c r="S37" s="19">
        <f t="shared" si="13"/>
        <v>899.66712380000013</v>
      </c>
      <c r="T37" s="19">
        <f t="shared" si="14"/>
        <v>891.64438919999998</v>
      </c>
      <c r="U37" s="19">
        <f t="shared" si="15"/>
        <v>937.6498838</v>
      </c>
      <c r="V37" s="19">
        <f t="shared" si="16"/>
        <v>951.66553380000005</v>
      </c>
      <c r="W37" s="46">
        <f t="shared" si="36"/>
        <v>927.61996680000004</v>
      </c>
    </row>
    <row r="38" spans="1:23" x14ac:dyDescent="0.25">
      <c r="A38" s="17" t="s">
        <v>564</v>
      </c>
      <c r="B38" s="17" t="str">
        <f t="shared" si="0"/>
        <v>LysylPG 36:2</v>
      </c>
      <c r="C38" s="1" t="str">
        <f t="shared" si="1"/>
        <v>36</v>
      </c>
      <c r="D38" s="1" t="str">
        <f t="shared" si="2"/>
        <v>2</v>
      </c>
      <c r="G38" s="17">
        <f t="shared" si="3"/>
        <v>48</v>
      </c>
      <c r="H38" s="17">
        <f t="shared" si="4"/>
        <v>91</v>
      </c>
      <c r="I38" s="17">
        <v>2</v>
      </c>
      <c r="J38" s="17">
        <f t="shared" si="5"/>
        <v>11</v>
      </c>
      <c r="K38" s="17">
        <v>1</v>
      </c>
      <c r="L38" s="19" t="str">
        <f t="shared" si="6"/>
        <v>C48H91N2O11P1</v>
      </c>
      <c r="M38" s="21">
        <f t="shared" si="7"/>
        <v>902.63601460000007</v>
      </c>
      <c r="N38" s="46">
        <f t="shared" si="8"/>
        <v>903.64328920000014</v>
      </c>
      <c r="O38" s="19">
        <f t="shared" si="9"/>
        <v>885.63216920000013</v>
      </c>
      <c r="P38" s="19">
        <f t="shared" si="10"/>
        <v>920.66983460000006</v>
      </c>
      <c r="Q38" s="19">
        <f t="shared" si="11"/>
        <v>925.62523460000011</v>
      </c>
      <c r="R38" s="19">
        <f t="shared" si="12"/>
        <v>941.59917460000008</v>
      </c>
      <c r="S38" s="19">
        <f t="shared" si="13"/>
        <v>909.65147460000014</v>
      </c>
      <c r="T38" s="19">
        <f t="shared" si="14"/>
        <v>901.62873999999999</v>
      </c>
      <c r="U38" s="19">
        <f t="shared" si="15"/>
        <v>947.63423460000001</v>
      </c>
      <c r="V38" s="19">
        <f t="shared" si="16"/>
        <v>961.64988460000006</v>
      </c>
      <c r="W38" s="46">
        <f t="shared" si="36"/>
        <v>937.60431760000006</v>
      </c>
    </row>
    <row r="39" spans="1:23" x14ac:dyDescent="0.25">
      <c r="A39" s="17" t="s">
        <v>555</v>
      </c>
      <c r="B39" s="17" t="str">
        <f t="shared" si="0"/>
        <v>LysylPG 36:1</v>
      </c>
      <c r="C39" s="1" t="str">
        <f t="shared" si="1"/>
        <v>36</v>
      </c>
      <c r="D39" s="1" t="str">
        <f t="shared" si="2"/>
        <v>1</v>
      </c>
      <c r="G39" s="17">
        <f t="shared" si="3"/>
        <v>48</v>
      </c>
      <c r="H39" s="17">
        <f t="shared" si="4"/>
        <v>93</v>
      </c>
      <c r="I39" s="17">
        <v>2</v>
      </c>
      <c r="J39" s="17">
        <f t="shared" si="5"/>
        <v>11</v>
      </c>
      <c r="K39" s="17">
        <v>1</v>
      </c>
      <c r="L39" s="19" t="str">
        <f t="shared" si="6"/>
        <v>C48H93N2O11P1</v>
      </c>
      <c r="M39" s="21">
        <f t="shared" si="7"/>
        <v>904.65166380000005</v>
      </c>
      <c r="N39" s="46">
        <f t="shared" si="8"/>
        <v>905.65893840000012</v>
      </c>
      <c r="O39" s="19">
        <f t="shared" si="9"/>
        <v>887.64781840000012</v>
      </c>
      <c r="P39" s="19">
        <f t="shared" si="10"/>
        <v>922.68548380000004</v>
      </c>
      <c r="Q39" s="19">
        <f t="shared" si="11"/>
        <v>927.6408838000001</v>
      </c>
      <c r="R39" s="19">
        <f t="shared" si="12"/>
        <v>943.61482380000007</v>
      </c>
      <c r="S39" s="19">
        <f t="shared" si="13"/>
        <v>911.66712380000013</v>
      </c>
      <c r="T39" s="19">
        <f t="shared" si="14"/>
        <v>903.64438919999998</v>
      </c>
      <c r="U39" s="19">
        <f t="shared" si="15"/>
        <v>949.6498838</v>
      </c>
      <c r="V39" s="19">
        <f t="shared" si="16"/>
        <v>963.66553380000005</v>
      </c>
      <c r="W39" s="46">
        <f t="shared" si="36"/>
        <v>939.61996680000004</v>
      </c>
    </row>
    <row r="40" spans="1:23" x14ac:dyDescent="0.25">
      <c r="A40" s="17" t="s">
        <v>392</v>
      </c>
      <c r="B40" s="17" t="str">
        <f t="shared" si="0"/>
        <v>LysylPG 36:0</v>
      </c>
      <c r="C40" s="1" t="str">
        <f t="shared" si="1"/>
        <v>36</v>
      </c>
      <c r="D40" s="1" t="str">
        <f t="shared" si="2"/>
        <v>0</v>
      </c>
      <c r="G40" s="17">
        <f t="shared" si="3"/>
        <v>48</v>
      </c>
      <c r="H40" s="17">
        <f t="shared" si="4"/>
        <v>95</v>
      </c>
      <c r="I40" s="17">
        <v>2</v>
      </c>
      <c r="J40" s="17">
        <f t="shared" si="5"/>
        <v>11</v>
      </c>
      <c r="K40" s="17">
        <v>1</v>
      </c>
      <c r="L40" s="19" t="str">
        <f t="shared" si="6"/>
        <v>C48H95N2O11P1</v>
      </c>
      <c r="M40" s="21">
        <f t="shared" si="7"/>
        <v>906.66731300000004</v>
      </c>
      <c r="N40" s="46">
        <f t="shared" si="8"/>
        <v>907.67458760000011</v>
      </c>
      <c r="O40" s="19">
        <f t="shared" si="9"/>
        <v>889.6634676000001</v>
      </c>
      <c r="P40" s="19">
        <f t="shared" si="10"/>
        <v>924.70113300000003</v>
      </c>
      <c r="Q40" s="19">
        <f t="shared" si="11"/>
        <v>929.65653300000008</v>
      </c>
      <c r="R40" s="19">
        <f t="shared" si="12"/>
        <v>945.63047300000005</v>
      </c>
      <c r="S40" s="19">
        <f t="shared" si="13"/>
        <v>913.68277300000011</v>
      </c>
      <c r="T40" s="19">
        <f t="shared" si="14"/>
        <v>905.66003839999996</v>
      </c>
      <c r="U40" s="19">
        <f t="shared" si="15"/>
        <v>951.66553299999998</v>
      </c>
      <c r="V40" s="19">
        <f t="shared" si="16"/>
        <v>965.68118300000003</v>
      </c>
      <c r="W40" s="46">
        <f t="shared" si="36"/>
        <v>941.63561600000003</v>
      </c>
    </row>
    <row r="41" spans="1:23" x14ac:dyDescent="0.25">
      <c r="A41" s="17" t="s">
        <v>662</v>
      </c>
      <c r="B41" s="17" t="str">
        <f t="shared" ref="B41" si="37">IF(ISNUMBER(SEARCH("(",A41)),IF(ISNUMBER(SEARCH("/",A41)),CONCATENATE(MID(A41,1,7)," ",(SUM(MID(A41,FIND("(",A41)+1,FIND(":",A41)-FIND("(",A41)-1),MID(A41,FIND("/",A41)+1,FIND(":",A41,FIND("/",A41))-FIND("/",A41)-1))),":",SUM(MID(A41,FIND(":",A41)+1,FIND("/",A41)-FIND(":",A41)-1),MID(A41,FIND(":",A41,FIND("/",A41))+1,FIND(")",A41)-FIND(":",A41,FIND("/",A41))-1)),MID(A41,(FIND(")",A41)+1),100)),CONCATENATE(MID(A41,1,7)," ",(SUM(MID(A41,FIND("(",A41)+1,FIND(":",A41)-FIND("(",A41)-1),MID(A41,FIND("_",A41)+1,FIND(":",A41,FIND("_",A41))-FIND("_",A41)-1))),":",SUM(MID(A41,FIND(":",A41)+1,FIND("_",A41)-FIND(":",A41)-1),MID(A41,FIND(":",A41,FIND("_",A41))+1,FIND(")",A41)-FIND(":",A41,FIND("_",A41))-1)),MID(A41,(FIND(")",A41)+1),100))),A41)</f>
        <v>LysylPG 37:2</v>
      </c>
      <c r="C41" s="1" t="str">
        <f t="shared" ref="C41" si="38">MID(B41,9,FIND(":",B41)-FIND(" ",B41)-1)</f>
        <v>37</v>
      </c>
      <c r="D41" s="1" t="str">
        <f t="shared" ref="D41" si="39">IF(ISNUMBER(SEARCH("__",B41)),MID(B41,FIND(":",B41)+1,FIND("__",B41)-FIND(":",B41)-1),MID(B41,FIND(":",B41)+1,7))</f>
        <v>2</v>
      </c>
      <c r="G41" s="17">
        <f t="shared" ref="G41" si="40">C41+12</f>
        <v>49</v>
      </c>
      <c r="H41" s="17">
        <f t="shared" ref="H41" si="41">2*G41-(2*D41)-((LEN(A41)-LEN(SUBSTITUTE(A41,"_O_","")))/LEN("_O_"))*2-((LEN(A41)-LEN(SUBSTITUTE(A41,"_CHO_","")))/LEN("_CHO_"))*2-((LEN(A41)-LEN(SUBSTITUTE(A41,"_COOH_","")))/LEN("_COOH_"))*2-1</f>
        <v>93</v>
      </c>
      <c r="I41" s="17">
        <v>2</v>
      </c>
      <c r="J41" s="17">
        <f t="shared" ref="J41" si="42">8+((LEN(A41)-LEN(SUBSTITUTE(A41,"_OH_","")))/LEN("_OH_"))*1+((LEN(A41)-LEN(SUBSTITUTE(A41,"_OOH_","")))/LEN("_OOH_"))*2+((LEN(A41)-LEN(SUBSTITUTE(A41,"_O_","")))/LEN("_O_"))*1+((LEN(A41)-LEN(SUBSTITUTE(A41,"_CHO_","")))/LEN("_CHO_"))*1+((LEN(A41)-LEN(SUBSTITUTE(A41,"_COOH_","")))/LEN("_COOH_"))*2+3</f>
        <v>11</v>
      </c>
      <c r="K41" s="17">
        <v>1</v>
      </c>
      <c r="L41" s="19" t="str">
        <f t="shared" ref="L41" si="43">CONCATENATE("C",G41,"H",H41,"N",I41,"O",J41,"P",K41)</f>
        <v>C49H93N2O11P1</v>
      </c>
      <c r="M41" s="21">
        <f t="shared" ref="M41" si="44">(G41*12)+(H41*1.0078246)+(I41*14.003074)+(J41*15.994915)+(K41*30.973763)</f>
        <v>916.65166380000005</v>
      </c>
      <c r="N41" s="46">
        <f t="shared" ref="N41" si="45">M41+1.0078246-0.00055</f>
        <v>917.65893840000012</v>
      </c>
      <c r="O41" s="19">
        <f t="shared" ref="O41" si="46">N41-18.01057-0.00055</f>
        <v>899.64781840000012</v>
      </c>
      <c r="P41" s="19">
        <f t="shared" ref="P41" si="47">M41+18.03437-0.00055</f>
        <v>934.68548380000004</v>
      </c>
      <c r="Q41" s="19">
        <f t="shared" ref="Q41" si="48">M41+22.98977-0.00055</f>
        <v>939.6408838000001</v>
      </c>
      <c r="R41" s="19">
        <f t="shared" ref="R41" si="49">M41+38.96371-0.00055</f>
        <v>955.61482380000007</v>
      </c>
      <c r="S41" s="19">
        <f t="shared" ref="S41" si="50">M41+7.01601-0.00055</f>
        <v>923.66712380000013</v>
      </c>
      <c r="T41" s="19">
        <f t="shared" ref="T41" si="51">M41-1.0078246+0.00055</f>
        <v>915.64438919999998</v>
      </c>
      <c r="U41" s="19">
        <f t="shared" ref="U41" si="52">M41+44.99767+0.00055</f>
        <v>961.6498838</v>
      </c>
      <c r="V41" s="19">
        <f t="shared" ref="V41" si="53">M41+59.01332+0.00055</f>
        <v>975.66553380000005</v>
      </c>
      <c r="W41" s="46">
        <f t="shared" si="36"/>
        <v>951.61996680000004</v>
      </c>
    </row>
    <row r="42" spans="1:23" x14ac:dyDescent="0.25">
      <c r="A42" s="17" t="s">
        <v>556</v>
      </c>
      <c r="B42" s="17" t="str">
        <f t="shared" si="0"/>
        <v>LysylPG 37:1</v>
      </c>
      <c r="C42" s="1" t="str">
        <f t="shared" si="1"/>
        <v>37</v>
      </c>
      <c r="D42" s="1" t="str">
        <f t="shared" si="2"/>
        <v>1</v>
      </c>
      <c r="G42" s="17">
        <f t="shared" si="3"/>
        <v>49</v>
      </c>
      <c r="H42" s="17">
        <f t="shared" si="4"/>
        <v>95</v>
      </c>
      <c r="I42" s="17">
        <v>2</v>
      </c>
      <c r="J42" s="17">
        <f t="shared" si="5"/>
        <v>11</v>
      </c>
      <c r="K42" s="17">
        <v>1</v>
      </c>
      <c r="L42" s="19" t="str">
        <f t="shared" si="6"/>
        <v>C49H95N2O11P1</v>
      </c>
      <c r="M42" s="21">
        <f t="shared" si="7"/>
        <v>918.66731300000004</v>
      </c>
      <c r="N42" s="46">
        <f t="shared" si="8"/>
        <v>919.67458760000011</v>
      </c>
      <c r="O42" s="19">
        <f t="shared" si="9"/>
        <v>901.6634676000001</v>
      </c>
      <c r="P42" s="19">
        <f t="shared" si="10"/>
        <v>936.70113300000003</v>
      </c>
      <c r="Q42" s="19">
        <f t="shared" si="11"/>
        <v>941.65653300000008</v>
      </c>
      <c r="R42" s="19">
        <f t="shared" si="12"/>
        <v>957.63047300000005</v>
      </c>
      <c r="S42" s="19">
        <f t="shared" si="13"/>
        <v>925.68277300000011</v>
      </c>
      <c r="T42" s="19">
        <f t="shared" si="14"/>
        <v>917.66003839999996</v>
      </c>
      <c r="U42" s="19">
        <f t="shared" si="15"/>
        <v>963.66553299999998</v>
      </c>
      <c r="V42" s="19">
        <f t="shared" si="16"/>
        <v>977.68118300000003</v>
      </c>
      <c r="W42" s="46">
        <f t="shared" si="36"/>
        <v>953.63561600000003</v>
      </c>
    </row>
    <row r="43" spans="1:23" x14ac:dyDescent="0.25">
      <c r="A43" s="17" t="s">
        <v>343</v>
      </c>
      <c r="B43" s="17" t="str">
        <f t="shared" si="0"/>
        <v>LysylPG 37:0</v>
      </c>
      <c r="C43" s="1" t="str">
        <f t="shared" si="1"/>
        <v>37</v>
      </c>
      <c r="D43" s="1" t="str">
        <f t="shared" si="2"/>
        <v>0</v>
      </c>
      <c r="G43" s="17">
        <f t="shared" si="3"/>
        <v>49</v>
      </c>
      <c r="H43" s="17">
        <f t="shared" si="4"/>
        <v>97</v>
      </c>
      <c r="I43" s="17">
        <v>2</v>
      </c>
      <c r="J43" s="17">
        <f t="shared" si="5"/>
        <v>11</v>
      </c>
      <c r="K43" s="17">
        <v>1</v>
      </c>
      <c r="L43" s="19" t="str">
        <f t="shared" si="6"/>
        <v>C49H97N2O11P1</v>
      </c>
      <c r="M43" s="21">
        <f t="shared" si="7"/>
        <v>920.68296220000002</v>
      </c>
      <c r="N43" s="46">
        <f t="shared" si="8"/>
        <v>921.69023680000009</v>
      </c>
      <c r="O43" s="19">
        <f t="shared" si="9"/>
        <v>903.67911680000009</v>
      </c>
      <c r="P43" s="19">
        <f t="shared" si="10"/>
        <v>938.71678220000001</v>
      </c>
      <c r="Q43" s="19">
        <f t="shared" si="11"/>
        <v>943.67218220000007</v>
      </c>
      <c r="R43" s="19">
        <f t="shared" si="12"/>
        <v>959.64612220000004</v>
      </c>
      <c r="S43" s="19">
        <f t="shared" si="13"/>
        <v>927.6984222000001</v>
      </c>
      <c r="T43" s="19">
        <f t="shared" si="14"/>
        <v>919.67568759999995</v>
      </c>
      <c r="U43" s="19">
        <f t="shared" si="15"/>
        <v>965.68118219999997</v>
      </c>
      <c r="V43" s="19">
        <f t="shared" si="16"/>
        <v>979.69683220000002</v>
      </c>
      <c r="W43" s="46">
        <f t="shared" si="36"/>
        <v>955.65126520000001</v>
      </c>
    </row>
    <row r="44" spans="1:23" x14ac:dyDescent="0.25">
      <c r="A44" s="17" t="s">
        <v>663</v>
      </c>
      <c r="B44" s="17" t="str">
        <f t="shared" ref="B44" si="54">IF(ISNUMBER(SEARCH("(",A44)),IF(ISNUMBER(SEARCH("/",A44)),CONCATENATE(MID(A44,1,7)," ",(SUM(MID(A44,FIND("(",A44)+1,FIND(":",A44)-FIND("(",A44)-1),MID(A44,FIND("/",A44)+1,FIND(":",A44,FIND("/",A44))-FIND("/",A44)-1))),":",SUM(MID(A44,FIND(":",A44)+1,FIND("/",A44)-FIND(":",A44)-1),MID(A44,FIND(":",A44,FIND("/",A44))+1,FIND(")",A44)-FIND(":",A44,FIND("/",A44))-1)),MID(A44,(FIND(")",A44)+1),100)),CONCATENATE(MID(A44,1,7)," ",(SUM(MID(A44,FIND("(",A44)+1,FIND(":",A44)-FIND("(",A44)-1),MID(A44,FIND("_",A44)+1,FIND(":",A44,FIND("_",A44))-FIND("_",A44)-1))),":",SUM(MID(A44,FIND(":",A44)+1,FIND("_",A44)-FIND(":",A44)-1),MID(A44,FIND(":",A44,FIND("_",A44))+1,FIND(")",A44)-FIND(":",A44,FIND("_",A44))-1)),MID(A44,(FIND(")",A44)+1),100))),A44)</f>
        <v>LysylPG 38:2</v>
      </c>
      <c r="C44" s="1" t="str">
        <f t="shared" ref="C44" si="55">MID(B44,9,FIND(":",B44)-FIND(" ",B44)-1)</f>
        <v>38</v>
      </c>
      <c r="D44" s="1" t="str">
        <f t="shared" ref="D44" si="56">IF(ISNUMBER(SEARCH("__",B44)),MID(B44,FIND(":",B44)+1,FIND("__",B44)-FIND(":",B44)-1),MID(B44,FIND(":",B44)+1,7))</f>
        <v>2</v>
      </c>
      <c r="G44" s="17">
        <f t="shared" ref="G44" si="57">C44+12</f>
        <v>50</v>
      </c>
      <c r="H44" s="17">
        <f t="shared" ref="H44" si="58">2*G44-(2*D44)-((LEN(A44)-LEN(SUBSTITUTE(A44,"_O_","")))/LEN("_O_"))*2-((LEN(A44)-LEN(SUBSTITUTE(A44,"_CHO_","")))/LEN("_CHO_"))*2-((LEN(A44)-LEN(SUBSTITUTE(A44,"_COOH_","")))/LEN("_COOH_"))*2-1</f>
        <v>95</v>
      </c>
      <c r="I44" s="17">
        <v>2</v>
      </c>
      <c r="J44" s="17">
        <f t="shared" ref="J44" si="59">8+((LEN(A44)-LEN(SUBSTITUTE(A44,"_OH_","")))/LEN("_OH_"))*1+((LEN(A44)-LEN(SUBSTITUTE(A44,"_OOH_","")))/LEN("_OOH_"))*2+((LEN(A44)-LEN(SUBSTITUTE(A44,"_O_","")))/LEN("_O_"))*1+((LEN(A44)-LEN(SUBSTITUTE(A44,"_CHO_","")))/LEN("_CHO_"))*1+((LEN(A44)-LEN(SUBSTITUTE(A44,"_COOH_","")))/LEN("_COOH_"))*2+3</f>
        <v>11</v>
      </c>
      <c r="K44" s="17">
        <v>1</v>
      </c>
      <c r="L44" s="19" t="str">
        <f t="shared" ref="L44" si="60">CONCATENATE("C",G44,"H",H44,"N",I44,"O",J44,"P",K44)</f>
        <v>C50H95N2O11P1</v>
      </c>
      <c r="M44" s="21">
        <f t="shared" ref="M44" si="61">(G44*12)+(H44*1.0078246)+(I44*14.003074)+(J44*15.994915)+(K44*30.973763)</f>
        <v>930.66731300000004</v>
      </c>
      <c r="N44" s="46">
        <f t="shared" ref="N44" si="62">M44+1.0078246-0.00055</f>
        <v>931.67458760000011</v>
      </c>
      <c r="O44" s="19">
        <f t="shared" ref="O44" si="63">N44-18.01057-0.00055</f>
        <v>913.6634676000001</v>
      </c>
      <c r="P44" s="19">
        <f t="shared" ref="P44" si="64">M44+18.03437-0.00055</f>
        <v>948.70113300000003</v>
      </c>
      <c r="Q44" s="19">
        <f t="shared" ref="Q44" si="65">M44+22.98977-0.00055</f>
        <v>953.65653300000008</v>
      </c>
      <c r="R44" s="19">
        <f t="shared" ref="R44" si="66">M44+38.96371-0.00055</f>
        <v>969.63047300000005</v>
      </c>
      <c r="S44" s="19">
        <f t="shared" ref="S44" si="67">M44+7.01601-0.00055</f>
        <v>937.68277300000011</v>
      </c>
      <c r="T44" s="19">
        <f t="shared" ref="T44" si="68">M44-1.0078246+0.00055</f>
        <v>929.66003839999996</v>
      </c>
      <c r="U44" s="19">
        <f t="shared" ref="U44" si="69">M44+44.99767+0.00055</f>
        <v>975.66553299999998</v>
      </c>
      <c r="V44" s="19">
        <f t="shared" ref="V44" si="70">M44+59.01332+0.00055</f>
        <v>989.68118300000003</v>
      </c>
      <c r="W44" s="46">
        <f t="shared" si="36"/>
        <v>965.63561600000003</v>
      </c>
    </row>
    <row r="45" spans="1:23" x14ac:dyDescent="0.25">
      <c r="A45" s="17" t="s">
        <v>557</v>
      </c>
      <c r="B45" s="17" t="str">
        <f t="shared" si="0"/>
        <v>LysylPG 38:1</v>
      </c>
      <c r="C45" s="1" t="str">
        <f t="shared" si="1"/>
        <v>38</v>
      </c>
      <c r="D45" s="1" t="str">
        <f t="shared" si="2"/>
        <v>1</v>
      </c>
      <c r="G45" s="17">
        <f t="shared" si="3"/>
        <v>50</v>
      </c>
      <c r="H45" s="17">
        <f t="shared" si="4"/>
        <v>97</v>
      </c>
      <c r="I45" s="17">
        <v>2</v>
      </c>
      <c r="J45" s="17">
        <f t="shared" si="5"/>
        <v>11</v>
      </c>
      <c r="K45" s="17">
        <v>1</v>
      </c>
      <c r="L45" s="19" t="str">
        <f t="shared" si="6"/>
        <v>C50H97N2O11P1</v>
      </c>
      <c r="M45" s="21">
        <f t="shared" si="7"/>
        <v>932.68296220000002</v>
      </c>
      <c r="N45" s="46">
        <f t="shared" si="8"/>
        <v>933.69023680000009</v>
      </c>
      <c r="O45" s="19">
        <f t="shared" si="9"/>
        <v>915.67911680000009</v>
      </c>
      <c r="P45" s="19">
        <f t="shared" si="10"/>
        <v>950.71678220000001</v>
      </c>
      <c r="Q45" s="19">
        <f t="shared" si="11"/>
        <v>955.67218220000007</v>
      </c>
      <c r="R45" s="19">
        <f t="shared" si="12"/>
        <v>971.64612220000004</v>
      </c>
      <c r="S45" s="19">
        <f t="shared" si="13"/>
        <v>939.6984222000001</v>
      </c>
      <c r="T45" s="19">
        <f t="shared" si="14"/>
        <v>931.67568759999995</v>
      </c>
      <c r="U45" s="19">
        <f t="shared" si="15"/>
        <v>977.68118219999997</v>
      </c>
      <c r="V45" s="19">
        <f t="shared" si="16"/>
        <v>991.69683220000002</v>
      </c>
      <c r="W45" s="46">
        <f t="shared" si="36"/>
        <v>967.65126520000001</v>
      </c>
    </row>
    <row r="46" spans="1:23" x14ac:dyDescent="0.25">
      <c r="A46" s="17" t="s">
        <v>383</v>
      </c>
      <c r="B46" s="17" t="str">
        <f t="shared" si="0"/>
        <v>LysylPG 38:0</v>
      </c>
      <c r="C46" s="1" t="str">
        <f t="shared" si="1"/>
        <v>38</v>
      </c>
      <c r="D46" s="1" t="str">
        <f t="shared" si="2"/>
        <v>0</v>
      </c>
      <c r="G46" s="17">
        <f t="shared" si="3"/>
        <v>50</v>
      </c>
      <c r="H46" s="17">
        <f t="shared" si="4"/>
        <v>99</v>
      </c>
      <c r="I46" s="17">
        <v>2</v>
      </c>
      <c r="J46" s="17">
        <f t="shared" si="5"/>
        <v>11</v>
      </c>
      <c r="K46" s="17">
        <v>1</v>
      </c>
      <c r="L46" s="19" t="str">
        <f t="shared" si="6"/>
        <v>C50H99N2O11P1</v>
      </c>
      <c r="M46" s="21">
        <f t="shared" si="7"/>
        <v>934.6986114</v>
      </c>
      <c r="N46" s="46">
        <f t="shared" si="8"/>
        <v>935.70588600000008</v>
      </c>
      <c r="O46" s="19">
        <f t="shared" si="9"/>
        <v>917.69476600000007</v>
      </c>
      <c r="P46" s="19">
        <f t="shared" si="10"/>
        <v>952.7324314</v>
      </c>
      <c r="Q46" s="19">
        <f t="shared" si="11"/>
        <v>957.68783140000005</v>
      </c>
      <c r="R46" s="19">
        <f t="shared" si="12"/>
        <v>973.66177140000002</v>
      </c>
      <c r="S46" s="19">
        <f t="shared" si="13"/>
        <v>941.71407140000008</v>
      </c>
      <c r="T46" s="19">
        <f t="shared" si="14"/>
        <v>933.69133679999993</v>
      </c>
      <c r="U46" s="19">
        <f t="shared" si="15"/>
        <v>979.69683139999995</v>
      </c>
      <c r="V46" s="19">
        <f t="shared" si="16"/>
        <v>993.7124814</v>
      </c>
      <c r="W46" s="46">
        <f t="shared" si="36"/>
        <v>969.6669144</v>
      </c>
    </row>
    <row r="49" spans="1:23" x14ac:dyDescent="0.25">
      <c r="C49" s="1"/>
      <c r="D49" s="1"/>
      <c r="W49" s="46"/>
    </row>
    <row r="50" spans="1:23" x14ac:dyDescent="0.25">
      <c r="C50" s="1"/>
      <c r="D50" s="1"/>
      <c r="W50" s="46"/>
    </row>
    <row r="53" spans="1:23" x14ac:dyDescent="0.25">
      <c r="A53"/>
      <c r="C53" s="1"/>
      <c r="D53" s="1"/>
      <c r="W53" s="46"/>
    </row>
    <row r="54" spans="1:23" x14ac:dyDescent="0.25">
      <c r="A54"/>
      <c r="C54" s="1"/>
      <c r="D54" s="1"/>
      <c r="W54" s="46"/>
    </row>
    <row r="55" spans="1:23" x14ac:dyDescent="0.25">
      <c r="A55"/>
      <c r="C55" s="1"/>
      <c r="D55" s="1"/>
      <c r="W55" s="46"/>
    </row>
    <row r="56" spans="1:23" x14ac:dyDescent="0.25">
      <c r="A56"/>
      <c r="C56" s="1"/>
      <c r="D56" s="1"/>
      <c r="W56" s="46"/>
    </row>
    <row r="57" spans="1:23" x14ac:dyDescent="0.25">
      <c r="A57"/>
      <c r="C57" s="1"/>
      <c r="D57" s="1"/>
      <c r="W57" s="46"/>
    </row>
    <row r="58" spans="1:23" x14ac:dyDescent="0.25">
      <c r="A58"/>
      <c r="C58" s="1"/>
      <c r="D58" s="1"/>
      <c r="W58" s="46"/>
    </row>
    <row r="59" spans="1:23" x14ac:dyDescent="0.25">
      <c r="A59"/>
      <c r="C59" s="1"/>
      <c r="D59" s="1"/>
      <c r="W59" s="46"/>
    </row>
    <row r="60" spans="1:23" x14ac:dyDescent="0.25">
      <c r="A60"/>
      <c r="C60" s="1"/>
      <c r="D60" s="1"/>
      <c r="W60" s="46"/>
    </row>
    <row r="61" spans="1:23" x14ac:dyDescent="0.25">
      <c r="A61"/>
      <c r="C61" s="1"/>
      <c r="D61" s="1"/>
      <c r="W61" s="46"/>
    </row>
  </sheetData>
  <sortState xmlns:xlrd2="http://schemas.microsoft.com/office/spreadsheetml/2017/richdata2" ref="A3:W46">
    <sortCondition ref="N3:N4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W43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.140625" defaultRowHeight="15.75" x14ac:dyDescent="0.25"/>
  <cols>
    <col min="1" max="1" width="21.85546875" style="17" customWidth="1"/>
    <col min="2" max="2" width="0.5703125" style="17" customWidth="1"/>
    <col min="3" max="3" width="3.85546875" style="17" hidden="1" customWidth="1"/>
    <col min="4" max="5" width="2.5703125" style="17" hidden="1" customWidth="1"/>
    <col min="6" max="6" width="9.140625" style="17" hidden="1" customWidth="1"/>
    <col min="7" max="9" width="10.85546875" style="17" hidden="1" customWidth="1"/>
    <col min="10" max="11" width="9.5703125" style="17" hidden="1" customWidth="1"/>
    <col min="12" max="12" width="17" style="19" bestFit="1" customWidth="1"/>
    <col min="13" max="13" width="15.85546875" style="19" bestFit="1" customWidth="1"/>
    <col min="14" max="14" width="12.140625" style="19" bestFit="1" customWidth="1"/>
    <col min="15" max="15" width="14.42578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5.42578125" style="17" bestFit="1" customWidth="1"/>
  </cols>
  <sheetData>
    <row r="1" spans="1:23" s="28" customFormat="1" x14ac:dyDescent="0.25">
      <c r="A1" s="27" t="s">
        <v>74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 t="s">
        <v>9</v>
      </c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</row>
    <row r="2" spans="1:23" hidden="1" x14ac:dyDescent="0.25">
      <c r="A2" s="17" t="s">
        <v>106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PA 48:7</v>
      </c>
      <c r="C2" s="1" t="str">
        <f>MID(B2,4,FIND(":",B2)-FIND(" ",B2)-1)</f>
        <v>48</v>
      </c>
      <c r="D2" s="1" t="str">
        <f>IF(ISNUMBER(SEARCH("__",B2)),MID(B2,FIND(":",B2)+1,FIND("__",B2)-FIND(":",B2)-1),MID(B2,FIND(":",B2)+1,7))</f>
        <v>7</v>
      </c>
      <c r="G2" s="17">
        <f>C2+3</f>
        <v>51</v>
      </c>
      <c r="H2" s="17">
        <f>2*G2-(2*D2)-1-((LEN(A2)-LEN(SUBSTITUTE(A2,"_O_","")))/LEN("_O_"))*2-((LEN(A2)-LEN(SUBSTITUTE(A2,"_CHO_","")))/LEN("_CHO_"))*2-((LEN(A2)-LEN(SUBSTITUTE(A2,"_COOH_","")))/LEN("_COOH_"))*2</f>
        <v>87</v>
      </c>
      <c r="I2" s="17">
        <f>8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8</v>
      </c>
      <c r="J2" s="17">
        <v>1</v>
      </c>
      <c r="L2" s="19" t="str">
        <f>CONCATENATE("C",G2,"H",H2,"O",I2,"P",J2)</f>
        <v>C51H87O8P1</v>
      </c>
      <c r="M2" s="19">
        <f t="shared" ref="M2" si="0">(G2*12)+(H2*1.0078246)+(I2*15.994915)+(J2*30.973763)</f>
        <v>858.61382319999996</v>
      </c>
      <c r="N2" s="19">
        <f>M2+1.0078246-0.00055</f>
        <v>859.62109780000003</v>
      </c>
      <c r="O2" s="19">
        <f>N2-18.01057-0.00055</f>
        <v>841.60997780000002</v>
      </c>
      <c r="P2" s="19">
        <f>M2+18.03437-0.00055</f>
        <v>876.64764319999995</v>
      </c>
      <c r="Q2" s="19">
        <f>M2+22.98977-0.00055</f>
        <v>881.6030432</v>
      </c>
      <c r="R2" s="19">
        <f>M2+38.96371-0.00055</f>
        <v>897.57698319999997</v>
      </c>
      <c r="S2" s="19">
        <f>M2+7.01601-0.00055</f>
        <v>865.62928320000003</v>
      </c>
      <c r="T2" s="19">
        <f>M2-1.0078246+0.00055</f>
        <v>857.60654859999988</v>
      </c>
      <c r="U2" s="19">
        <f>M2+44.99767+0.00055</f>
        <v>903.6120431999999</v>
      </c>
      <c r="V2" s="19">
        <f>M2+59.01332+0.00055</f>
        <v>917.62769319999995</v>
      </c>
    </row>
    <row r="3" spans="1:23" x14ac:dyDescent="0.25">
      <c r="A3" s="17" t="s">
        <v>518</v>
      </c>
      <c r="B3" s="17" t="str">
        <f t="shared" ref="B3:B34" si="1"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PA 20:0</v>
      </c>
      <c r="C3" s="1" t="str">
        <f t="shared" ref="C3:C34" si="2">MID(B3,4,FIND(":",B3)-FIND(" ",B3)-1)</f>
        <v>20</v>
      </c>
      <c r="D3" s="1" t="str">
        <f t="shared" ref="D3:D34" si="3">IF(ISNUMBER(SEARCH("__",B3)),MID(B3,FIND(":",B3)+1,FIND("__",B3)-FIND(":",B3)-1),MID(B3,FIND(":",B3)+1,7))</f>
        <v>0</v>
      </c>
      <c r="G3" s="17">
        <f t="shared" ref="G3:G34" si="4">C3+3</f>
        <v>23</v>
      </c>
      <c r="H3" s="17">
        <f t="shared" ref="H3:H34" si="5">2*G3-(2*D3)-1-((LEN(A3)-LEN(SUBSTITUTE(A3,"_O_","")))/LEN("_O_"))*2-((LEN(A3)-LEN(SUBSTITUTE(A3,"_CHO_","")))/LEN("_CHO_"))*2-((LEN(A3)-LEN(SUBSTITUTE(A3,"_COOH_","")))/LEN("_COOH_"))*2</f>
        <v>45</v>
      </c>
      <c r="I3" s="17">
        <f t="shared" ref="I3:I34" si="6">8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8</v>
      </c>
      <c r="J3" s="17">
        <v>1</v>
      </c>
      <c r="L3" s="19" t="str">
        <f t="shared" ref="L3:L34" si="7">CONCATENATE("C",G3,"H",H3,"O",I3,"P",J3)</f>
        <v>C23H45O8P1</v>
      </c>
      <c r="M3" s="19">
        <f t="shared" ref="M3:M35" si="8">(G3*12)+(H3*1.0078246)+(I3*15.994915)+(J3*30.973763)</f>
        <v>480.28519</v>
      </c>
      <c r="N3" s="19">
        <f t="shared" ref="N3:N34" si="9">M3+1.0078246-0.00055</f>
        <v>481.29246460000002</v>
      </c>
      <c r="O3" s="19">
        <f t="shared" ref="O3:O34" si="10">N3-18.01057-0.00055</f>
        <v>463.28134460000001</v>
      </c>
      <c r="P3" s="19">
        <f t="shared" ref="P3:P34" si="11">M3+18.03437-0.00055</f>
        <v>498.31901000000005</v>
      </c>
      <c r="Q3" s="19">
        <f t="shared" ref="Q3:Q34" si="12">M3+22.98977-0.00055</f>
        <v>503.27441000000005</v>
      </c>
      <c r="R3" s="19">
        <f t="shared" ref="R3:R34" si="13">M3+38.96371-0.00055</f>
        <v>519.24835000000007</v>
      </c>
      <c r="S3" s="19">
        <f t="shared" ref="S3:S34" si="14">M3+7.01601-0.00055</f>
        <v>487.30065000000002</v>
      </c>
      <c r="T3" s="19">
        <f t="shared" ref="T3:T34" si="15">M3-1.0078246+0.00055</f>
        <v>479.27791539999998</v>
      </c>
      <c r="U3" s="19">
        <f t="shared" ref="U3:U34" si="16">M3+44.99767+0.00055</f>
        <v>525.28341</v>
      </c>
      <c r="V3" s="19">
        <f t="shared" ref="V3:V34" si="17">M3+59.01332+0.00055</f>
        <v>539.29905999999994</v>
      </c>
    </row>
    <row r="4" spans="1:23" x14ac:dyDescent="0.25">
      <c r="A4" s="17" t="s">
        <v>519</v>
      </c>
      <c r="B4" s="17" t="str">
        <f t="shared" si="1"/>
        <v>PA 21:0</v>
      </c>
      <c r="C4" s="1" t="str">
        <f t="shared" si="2"/>
        <v>21</v>
      </c>
      <c r="D4" s="1" t="str">
        <f t="shared" si="3"/>
        <v>0</v>
      </c>
      <c r="G4" s="17">
        <f t="shared" si="4"/>
        <v>24</v>
      </c>
      <c r="H4" s="17">
        <f t="shared" si="5"/>
        <v>47</v>
      </c>
      <c r="I4" s="17">
        <f t="shared" si="6"/>
        <v>8</v>
      </c>
      <c r="J4" s="17">
        <v>1</v>
      </c>
      <c r="L4" s="19" t="str">
        <f t="shared" si="7"/>
        <v>C24H47O8P1</v>
      </c>
      <c r="M4" s="19">
        <f t="shared" si="8"/>
        <v>494.30083919999998</v>
      </c>
      <c r="N4" s="19">
        <f t="shared" si="9"/>
        <v>495.3081138</v>
      </c>
      <c r="O4" s="19">
        <f t="shared" si="10"/>
        <v>477.2969938</v>
      </c>
      <c r="P4" s="19">
        <f t="shared" si="11"/>
        <v>512.33465920000003</v>
      </c>
      <c r="Q4" s="19">
        <f t="shared" si="12"/>
        <v>517.29005919999997</v>
      </c>
      <c r="R4" s="19">
        <f t="shared" si="13"/>
        <v>533.26399920000006</v>
      </c>
      <c r="S4" s="19">
        <f t="shared" si="14"/>
        <v>501.3162992</v>
      </c>
      <c r="T4" s="19">
        <f t="shared" si="15"/>
        <v>493.29356459999997</v>
      </c>
      <c r="U4" s="19">
        <f t="shared" si="16"/>
        <v>539.29905919999999</v>
      </c>
      <c r="V4" s="19">
        <f t="shared" si="17"/>
        <v>553.31470919999992</v>
      </c>
    </row>
    <row r="5" spans="1:23" x14ac:dyDescent="0.25">
      <c r="A5" s="17" t="s">
        <v>520</v>
      </c>
      <c r="B5" s="17" t="str">
        <f t="shared" si="1"/>
        <v>PA 22:0</v>
      </c>
      <c r="C5" s="1" t="str">
        <f t="shared" si="2"/>
        <v>22</v>
      </c>
      <c r="D5" s="1" t="str">
        <f t="shared" si="3"/>
        <v>0</v>
      </c>
      <c r="G5" s="17">
        <f t="shared" si="4"/>
        <v>25</v>
      </c>
      <c r="H5" s="17">
        <f t="shared" si="5"/>
        <v>49</v>
      </c>
      <c r="I5" s="17">
        <f t="shared" si="6"/>
        <v>8</v>
      </c>
      <c r="J5" s="17">
        <v>1</v>
      </c>
      <c r="L5" s="19" t="str">
        <f t="shared" si="7"/>
        <v>C25H49O8P1</v>
      </c>
      <c r="M5" s="19">
        <f t="shared" si="8"/>
        <v>508.31648840000003</v>
      </c>
      <c r="N5" s="19">
        <f t="shared" si="9"/>
        <v>509.32376300000004</v>
      </c>
      <c r="O5" s="19">
        <f t="shared" si="10"/>
        <v>491.31264300000009</v>
      </c>
      <c r="P5" s="19">
        <f t="shared" si="11"/>
        <v>526.35030840000002</v>
      </c>
      <c r="Q5" s="19">
        <f t="shared" si="12"/>
        <v>531.30570840000007</v>
      </c>
      <c r="R5" s="19">
        <f t="shared" si="13"/>
        <v>547.27964840000004</v>
      </c>
      <c r="S5" s="19">
        <f t="shared" si="14"/>
        <v>515.3319484000001</v>
      </c>
      <c r="T5" s="19">
        <f t="shared" si="15"/>
        <v>507.30921380000001</v>
      </c>
      <c r="U5" s="19">
        <f t="shared" si="16"/>
        <v>553.31470839999997</v>
      </c>
      <c r="V5" s="19">
        <f t="shared" si="17"/>
        <v>567.33035840000002</v>
      </c>
    </row>
    <row r="6" spans="1:23" x14ac:dyDescent="0.25">
      <c r="A6" s="17" t="s">
        <v>521</v>
      </c>
      <c r="B6" s="17" t="str">
        <f t="shared" si="1"/>
        <v>PA 23:0</v>
      </c>
      <c r="C6" s="1" t="str">
        <f t="shared" si="2"/>
        <v>23</v>
      </c>
      <c r="D6" s="1" t="str">
        <f t="shared" si="3"/>
        <v>0</v>
      </c>
      <c r="G6" s="17">
        <f t="shared" si="4"/>
        <v>26</v>
      </c>
      <c r="H6" s="17">
        <f t="shared" si="5"/>
        <v>51</v>
      </c>
      <c r="I6" s="17">
        <f t="shared" si="6"/>
        <v>8</v>
      </c>
      <c r="J6" s="17">
        <v>1</v>
      </c>
      <c r="L6" s="19" t="str">
        <f t="shared" si="7"/>
        <v>C26H51O8P1</v>
      </c>
      <c r="M6" s="19">
        <f t="shared" si="8"/>
        <v>522.33213760000001</v>
      </c>
      <c r="N6" s="19">
        <f t="shared" si="9"/>
        <v>523.33941220000008</v>
      </c>
      <c r="O6" s="19">
        <f t="shared" si="10"/>
        <v>505.32829220000008</v>
      </c>
      <c r="P6" s="19">
        <f t="shared" si="11"/>
        <v>540.3659576</v>
      </c>
      <c r="Q6" s="19">
        <f t="shared" si="12"/>
        <v>545.32135760000006</v>
      </c>
      <c r="R6" s="19">
        <f t="shared" si="13"/>
        <v>561.29529760000003</v>
      </c>
      <c r="S6" s="19">
        <f t="shared" si="14"/>
        <v>529.34759760000009</v>
      </c>
      <c r="T6" s="19">
        <f t="shared" si="15"/>
        <v>521.32486299999994</v>
      </c>
      <c r="U6" s="19">
        <f t="shared" si="16"/>
        <v>567.33035759999996</v>
      </c>
      <c r="V6" s="19">
        <f t="shared" si="17"/>
        <v>581.34600760000001</v>
      </c>
    </row>
    <row r="7" spans="1:23" x14ac:dyDescent="0.25">
      <c r="A7" s="17" t="s">
        <v>466</v>
      </c>
      <c r="B7" s="17" t="str">
        <f t="shared" si="1"/>
        <v>PA 24:0</v>
      </c>
      <c r="C7" s="1" t="str">
        <f t="shared" si="2"/>
        <v>24</v>
      </c>
      <c r="D7" s="1" t="str">
        <f t="shared" si="3"/>
        <v>0</v>
      </c>
      <c r="G7" s="17">
        <f t="shared" si="4"/>
        <v>27</v>
      </c>
      <c r="H7" s="17">
        <f t="shared" si="5"/>
        <v>53</v>
      </c>
      <c r="I7" s="17">
        <f t="shared" si="6"/>
        <v>8</v>
      </c>
      <c r="J7" s="17">
        <v>1</v>
      </c>
      <c r="L7" s="19" t="str">
        <f t="shared" si="7"/>
        <v>C27H53O8P1</v>
      </c>
      <c r="M7" s="19">
        <f t="shared" si="8"/>
        <v>536.34778679999999</v>
      </c>
      <c r="N7" s="19">
        <f t="shared" si="9"/>
        <v>537.35506140000007</v>
      </c>
      <c r="O7" s="19">
        <f t="shared" si="10"/>
        <v>519.34394140000006</v>
      </c>
      <c r="P7" s="19">
        <f t="shared" si="11"/>
        <v>554.38160679999999</v>
      </c>
      <c r="Q7" s="19">
        <f t="shared" si="12"/>
        <v>559.33700680000004</v>
      </c>
      <c r="R7" s="19">
        <f t="shared" si="13"/>
        <v>575.31094680000001</v>
      </c>
      <c r="S7" s="19">
        <f t="shared" si="14"/>
        <v>543.36324680000007</v>
      </c>
      <c r="T7" s="19">
        <f t="shared" si="15"/>
        <v>535.34051219999992</v>
      </c>
      <c r="U7" s="19">
        <f t="shared" si="16"/>
        <v>581.34600679999994</v>
      </c>
      <c r="V7" s="19">
        <f t="shared" si="17"/>
        <v>595.36165679999999</v>
      </c>
    </row>
    <row r="8" spans="1:23" x14ac:dyDescent="0.25">
      <c r="A8" s="17" t="s">
        <v>522</v>
      </c>
      <c r="B8" s="17" t="str">
        <f t="shared" si="1"/>
        <v>PA 25:0</v>
      </c>
      <c r="C8" s="1" t="str">
        <f t="shared" si="2"/>
        <v>25</v>
      </c>
      <c r="D8" s="1" t="str">
        <f t="shared" si="3"/>
        <v>0</v>
      </c>
      <c r="G8" s="17">
        <f t="shared" si="4"/>
        <v>28</v>
      </c>
      <c r="H8" s="17">
        <f t="shared" si="5"/>
        <v>55</v>
      </c>
      <c r="I8" s="17">
        <f t="shared" si="6"/>
        <v>8</v>
      </c>
      <c r="J8" s="17">
        <v>1</v>
      </c>
      <c r="L8" s="19" t="str">
        <f t="shared" si="7"/>
        <v>C28H55O8P1</v>
      </c>
      <c r="M8" s="19">
        <f t="shared" si="8"/>
        <v>550.36343599999998</v>
      </c>
      <c r="N8" s="19">
        <f t="shared" si="9"/>
        <v>551.37071060000005</v>
      </c>
      <c r="O8" s="19">
        <f t="shared" si="10"/>
        <v>533.35959060000005</v>
      </c>
      <c r="P8" s="19">
        <f t="shared" si="11"/>
        <v>568.39725599999997</v>
      </c>
      <c r="Q8" s="19">
        <f t="shared" si="12"/>
        <v>573.35265600000002</v>
      </c>
      <c r="R8" s="19">
        <f t="shared" si="13"/>
        <v>589.326596</v>
      </c>
      <c r="S8" s="19">
        <f t="shared" si="14"/>
        <v>557.37889600000005</v>
      </c>
      <c r="T8" s="19">
        <f t="shared" si="15"/>
        <v>549.35616139999991</v>
      </c>
      <c r="U8" s="19">
        <f t="shared" si="16"/>
        <v>595.36165599999993</v>
      </c>
      <c r="V8" s="19">
        <f t="shared" si="17"/>
        <v>609.37730599999998</v>
      </c>
    </row>
    <row r="9" spans="1:23" x14ac:dyDescent="0.25">
      <c r="A9" s="17" t="s">
        <v>523</v>
      </c>
      <c r="B9" s="17" t="str">
        <f t="shared" si="1"/>
        <v>PA 26:0</v>
      </c>
      <c r="C9" s="1" t="str">
        <f t="shared" si="2"/>
        <v>26</v>
      </c>
      <c r="D9" s="1" t="str">
        <f t="shared" si="3"/>
        <v>0</v>
      </c>
      <c r="G9" s="17">
        <f t="shared" si="4"/>
        <v>29</v>
      </c>
      <c r="H9" s="17">
        <f t="shared" si="5"/>
        <v>57</v>
      </c>
      <c r="I9" s="17">
        <f t="shared" si="6"/>
        <v>8</v>
      </c>
      <c r="J9" s="17">
        <v>1</v>
      </c>
      <c r="L9" s="19" t="str">
        <f t="shared" si="7"/>
        <v>C29H57O8P1</v>
      </c>
      <c r="M9" s="19">
        <f t="shared" si="8"/>
        <v>564.37908519999996</v>
      </c>
      <c r="N9" s="19">
        <f t="shared" si="9"/>
        <v>565.38635980000004</v>
      </c>
      <c r="O9" s="19">
        <f t="shared" si="10"/>
        <v>547.37523980000003</v>
      </c>
      <c r="P9" s="19">
        <f t="shared" si="11"/>
        <v>582.41290519999995</v>
      </c>
      <c r="Q9" s="19">
        <f t="shared" si="12"/>
        <v>587.36830520000001</v>
      </c>
      <c r="R9" s="19">
        <f t="shared" si="13"/>
        <v>603.34224519999998</v>
      </c>
      <c r="S9" s="19">
        <f t="shared" si="14"/>
        <v>571.39454520000004</v>
      </c>
      <c r="T9" s="19">
        <f t="shared" si="15"/>
        <v>563.37181059999989</v>
      </c>
      <c r="U9" s="19">
        <f t="shared" si="16"/>
        <v>609.37730519999991</v>
      </c>
      <c r="V9" s="19">
        <f t="shared" si="17"/>
        <v>623.39295519999996</v>
      </c>
    </row>
    <row r="10" spans="1:23" x14ac:dyDescent="0.25">
      <c r="A10" s="17" t="s">
        <v>524</v>
      </c>
      <c r="B10" s="17" t="str">
        <f t="shared" si="1"/>
        <v>PA 27:0</v>
      </c>
      <c r="C10" s="1" t="str">
        <f t="shared" si="2"/>
        <v>27</v>
      </c>
      <c r="D10" s="1" t="str">
        <f t="shared" si="3"/>
        <v>0</v>
      </c>
      <c r="G10" s="17">
        <f t="shared" si="4"/>
        <v>30</v>
      </c>
      <c r="H10" s="17">
        <f t="shared" si="5"/>
        <v>59</v>
      </c>
      <c r="I10" s="17">
        <f t="shared" si="6"/>
        <v>8</v>
      </c>
      <c r="J10" s="17">
        <v>1</v>
      </c>
      <c r="L10" s="19" t="str">
        <f t="shared" si="7"/>
        <v>C30H59O8P1</v>
      </c>
      <c r="M10" s="19">
        <f t="shared" si="8"/>
        <v>578.39473439999995</v>
      </c>
      <c r="N10" s="19">
        <f t="shared" si="9"/>
        <v>579.40200900000002</v>
      </c>
      <c r="O10" s="19">
        <f t="shared" si="10"/>
        <v>561.39088900000002</v>
      </c>
      <c r="P10" s="19">
        <f t="shared" si="11"/>
        <v>596.42855439999994</v>
      </c>
      <c r="Q10" s="19">
        <f t="shared" si="12"/>
        <v>601.38395439999999</v>
      </c>
      <c r="R10" s="19">
        <f t="shared" si="13"/>
        <v>617.35789439999996</v>
      </c>
      <c r="S10" s="19">
        <f t="shared" si="14"/>
        <v>585.41019440000002</v>
      </c>
      <c r="T10" s="19">
        <f t="shared" si="15"/>
        <v>577.38745979999987</v>
      </c>
      <c r="U10" s="19">
        <f t="shared" si="16"/>
        <v>623.39295439999989</v>
      </c>
      <c r="V10" s="19">
        <f t="shared" si="17"/>
        <v>637.40860439999994</v>
      </c>
    </row>
    <row r="11" spans="1:23" x14ac:dyDescent="0.25">
      <c r="A11" s="17" t="s">
        <v>525</v>
      </c>
      <c r="B11" s="17" t="str">
        <f t="shared" si="1"/>
        <v>PA 28:0</v>
      </c>
      <c r="C11" s="1" t="str">
        <f t="shared" si="2"/>
        <v>28</v>
      </c>
      <c r="D11" s="1" t="str">
        <f t="shared" si="3"/>
        <v>0</v>
      </c>
      <c r="G11" s="17">
        <f t="shared" si="4"/>
        <v>31</v>
      </c>
      <c r="H11" s="17">
        <f t="shared" si="5"/>
        <v>61</v>
      </c>
      <c r="I11" s="17">
        <f t="shared" si="6"/>
        <v>8</v>
      </c>
      <c r="J11" s="17">
        <v>1</v>
      </c>
      <c r="L11" s="19" t="str">
        <f t="shared" si="7"/>
        <v>C31H61O8P1</v>
      </c>
      <c r="M11" s="19">
        <f t="shared" si="8"/>
        <v>592.41038359999993</v>
      </c>
      <c r="N11" s="19">
        <f t="shared" si="9"/>
        <v>593.41765820000001</v>
      </c>
      <c r="O11" s="19">
        <f t="shared" si="10"/>
        <v>575.4065382</v>
      </c>
      <c r="P11" s="19">
        <f t="shared" si="11"/>
        <v>610.44420359999992</v>
      </c>
      <c r="Q11" s="19">
        <f t="shared" si="12"/>
        <v>615.39960359999998</v>
      </c>
      <c r="R11" s="19">
        <f t="shared" si="13"/>
        <v>631.37354359999995</v>
      </c>
      <c r="S11" s="19">
        <f t="shared" si="14"/>
        <v>599.42584360000001</v>
      </c>
      <c r="T11" s="19">
        <f t="shared" si="15"/>
        <v>591.40310899999986</v>
      </c>
      <c r="U11" s="19">
        <f t="shared" si="16"/>
        <v>637.40860359999988</v>
      </c>
      <c r="V11" s="19">
        <f t="shared" si="17"/>
        <v>651.42425359999993</v>
      </c>
    </row>
    <row r="12" spans="1:23" x14ac:dyDescent="0.25">
      <c r="A12" s="17" t="s">
        <v>526</v>
      </c>
      <c r="B12" s="17" t="str">
        <f t="shared" si="1"/>
        <v>PA 29:0</v>
      </c>
      <c r="C12" s="1" t="str">
        <f t="shared" si="2"/>
        <v>29</v>
      </c>
      <c r="D12" s="1" t="str">
        <f t="shared" si="3"/>
        <v>0</v>
      </c>
      <c r="G12" s="17">
        <f t="shared" si="4"/>
        <v>32</v>
      </c>
      <c r="H12" s="17">
        <f t="shared" si="5"/>
        <v>63</v>
      </c>
      <c r="I12" s="17">
        <f t="shared" si="6"/>
        <v>8</v>
      </c>
      <c r="J12" s="17">
        <v>1</v>
      </c>
      <c r="L12" s="19" t="str">
        <f t="shared" si="7"/>
        <v>C32H63O8P1</v>
      </c>
      <c r="M12" s="19">
        <f t="shared" si="8"/>
        <v>606.42603280000003</v>
      </c>
      <c r="N12" s="19">
        <f t="shared" si="9"/>
        <v>607.4333074000001</v>
      </c>
      <c r="O12" s="19">
        <f t="shared" si="10"/>
        <v>589.4221874000001</v>
      </c>
      <c r="P12" s="19">
        <f t="shared" si="11"/>
        <v>624.45985280000002</v>
      </c>
      <c r="Q12" s="19">
        <f t="shared" si="12"/>
        <v>629.41525280000008</v>
      </c>
      <c r="R12" s="19">
        <f t="shared" si="13"/>
        <v>645.38919280000005</v>
      </c>
      <c r="S12" s="19">
        <f t="shared" si="14"/>
        <v>613.44149280000011</v>
      </c>
      <c r="T12" s="19">
        <f t="shared" si="15"/>
        <v>605.41875819999996</v>
      </c>
      <c r="U12" s="19">
        <f t="shared" si="16"/>
        <v>651.42425279999998</v>
      </c>
      <c r="V12" s="19">
        <f t="shared" si="17"/>
        <v>665.43990280000003</v>
      </c>
    </row>
    <row r="13" spans="1:23" x14ac:dyDescent="0.25">
      <c r="A13" s="17" t="s">
        <v>539</v>
      </c>
      <c r="B13" s="17" t="str">
        <f t="shared" si="1"/>
        <v>PA 30:2</v>
      </c>
      <c r="C13" s="1" t="str">
        <f t="shared" si="2"/>
        <v>30</v>
      </c>
      <c r="D13" s="1" t="str">
        <f t="shared" si="3"/>
        <v>2</v>
      </c>
      <c r="G13" s="17">
        <f t="shared" si="4"/>
        <v>33</v>
      </c>
      <c r="H13" s="17">
        <f t="shared" si="5"/>
        <v>61</v>
      </c>
      <c r="I13" s="17">
        <f t="shared" si="6"/>
        <v>8</v>
      </c>
      <c r="J13" s="17">
        <v>1</v>
      </c>
      <c r="L13" s="19" t="str">
        <f t="shared" si="7"/>
        <v>C33H61O8P1</v>
      </c>
      <c r="M13" s="19">
        <f t="shared" si="8"/>
        <v>616.41038359999993</v>
      </c>
      <c r="N13" s="19">
        <f t="shared" si="9"/>
        <v>617.41765820000001</v>
      </c>
      <c r="O13" s="19">
        <f t="shared" si="10"/>
        <v>599.4065382</v>
      </c>
      <c r="P13" s="19">
        <f t="shared" si="11"/>
        <v>634.44420359999992</v>
      </c>
      <c r="Q13" s="19">
        <f t="shared" si="12"/>
        <v>639.39960359999998</v>
      </c>
      <c r="R13" s="19">
        <f t="shared" si="13"/>
        <v>655.37354359999995</v>
      </c>
      <c r="S13" s="19">
        <f t="shared" si="14"/>
        <v>623.42584360000001</v>
      </c>
      <c r="T13" s="19">
        <f t="shared" si="15"/>
        <v>615.40310899999986</v>
      </c>
      <c r="U13" s="19">
        <f t="shared" si="16"/>
        <v>661.40860359999988</v>
      </c>
      <c r="V13" s="19">
        <f t="shared" si="17"/>
        <v>675.42425359999993</v>
      </c>
    </row>
    <row r="14" spans="1:23" x14ac:dyDescent="0.25">
      <c r="A14" s="17" t="s">
        <v>532</v>
      </c>
      <c r="B14" s="17" t="str">
        <f t="shared" si="1"/>
        <v>PA 30:1</v>
      </c>
      <c r="C14" s="1" t="str">
        <f t="shared" si="2"/>
        <v>30</v>
      </c>
      <c r="D14" s="1" t="str">
        <f t="shared" si="3"/>
        <v>1</v>
      </c>
      <c r="G14" s="17">
        <f t="shared" si="4"/>
        <v>33</v>
      </c>
      <c r="H14" s="17">
        <f t="shared" si="5"/>
        <v>63</v>
      </c>
      <c r="I14" s="17">
        <f t="shared" si="6"/>
        <v>8</v>
      </c>
      <c r="J14" s="17">
        <v>1</v>
      </c>
      <c r="L14" s="19" t="str">
        <f t="shared" si="7"/>
        <v>C33H63O8P1</v>
      </c>
      <c r="M14" s="19">
        <f t="shared" ref="M14" si="18">(G14*12)+(H14*1.0078246)+(I14*15.994915)+(J14*30.973763)</f>
        <v>618.42603280000003</v>
      </c>
      <c r="N14" s="19">
        <f t="shared" si="9"/>
        <v>619.4333074000001</v>
      </c>
      <c r="O14" s="19">
        <f t="shared" si="10"/>
        <v>601.4221874000001</v>
      </c>
      <c r="P14" s="19">
        <f t="shared" si="11"/>
        <v>636.45985280000002</v>
      </c>
      <c r="Q14" s="19">
        <f t="shared" si="12"/>
        <v>641.41525280000008</v>
      </c>
      <c r="R14" s="19">
        <f t="shared" si="13"/>
        <v>657.38919280000005</v>
      </c>
      <c r="S14" s="19">
        <f t="shared" si="14"/>
        <v>625.44149280000011</v>
      </c>
      <c r="T14" s="19">
        <f t="shared" si="15"/>
        <v>617.41875819999996</v>
      </c>
      <c r="U14" s="19">
        <f t="shared" si="16"/>
        <v>663.42425279999998</v>
      </c>
      <c r="V14" s="19">
        <f t="shared" si="17"/>
        <v>677.43990280000003</v>
      </c>
    </row>
    <row r="15" spans="1:23" x14ac:dyDescent="0.25">
      <c r="A15" s="17" t="s">
        <v>527</v>
      </c>
      <c r="B15" s="17" t="str">
        <f t="shared" si="1"/>
        <v>PA 30:0</v>
      </c>
      <c r="C15" s="1" t="str">
        <f t="shared" si="2"/>
        <v>30</v>
      </c>
      <c r="D15" s="1" t="str">
        <f t="shared" si="3"/>
        <v>0</v>
      </c>
      <c r="G15" s="17">
        <f t="shared" si="4"/>
        <v>33</v>
      </c>
      <c r="H15" s="17">
        <f t="shared" si="5"/>
        <v>65</v>
      </c>
      <c r="I15" s="17">
        <f t="shared" si="6"/>
        <v>8</v>
      </c>
      <c r="J15" s="17">
        <v>1</v>
      </c>
      <c r="L15" s="19" t="str">
        <f t="shared" si="7"/>
        <v>C33H65O8P1</v>
      </c>
      <c r="M15" s="19">
        <f t="shared" si="8"/>
        <v>620.44168200000001</v>
      </c>
      <c r="N15" s="19">
        <f t="shared" si="9"/>
        <v>621.44895660000009</v>
      </c>
      <c r="O15" s="19">
        <f t="shared" si="10"/>
        <v>603.43783660000008</v>
      </c>
      <c r="P15" s="19">
        <f t="shared" si="11"/>
        <v>638.47550200000001</v>
      </c>
      <c r="Q15" s="19">
        <f t="shared" si="12"/>
        <v>643.43090200000006</v>
      </c>
      <c r="R15" s="19">
        <f t="shared" si="13"/>
        <v>659.40484200000003</v>
      </c>
      <c r="S15" s="19">
        <f t="shared" si="14"/>
        <v>627.45714200000009</v>
      </c>
      <c r="T15" s="19">
        <f t="shared" si="15"/>
        <v>619.43440739999994</v>
      </c>
      <c r="U15" s="19">
        <f t="shared" si="16"/>
        <v>665.43990199999996</v>
      </c>
      <c r="V15" s="19">
        <f t="shared" si="17"/>
        <v>679.45555200000001</v>
      </c>
    </row>
    <row r="16" spans="1:23" x14ac:dyDescent="0.25">
      <c r="A16" s="17" t="s">
        <v>540</v>
      </c>
      <c r="B16" s="17" t="str">
        <f t="shared" si="1"/>
        <v>PA 31:2</v>
      </c>
      <c r="C16" s="1" t="str">
        <f t="shared" si="2"/>
        <v>31</v>
      </c>
      <c r="D16" s="1" t="str">
        <f t="shared" si="3"/>
        <v>2</v>
      </c>
      <c r="G16" s="17">
        <f t="shared" si="4"/>
        <v>34</v>
      </c>
      <c r="H16" s="17">
        <f t="shared" si="5"/>
        <v>63</v>
      </c>
      <c r="I16" s="17">
        <f t="shared" si="6"/>
        <v>8</v>
      </c>
      <c r="J16" s="17">
        <v>1</v>
      </c>
      <c r="L16" s="19" t="str">
        <f t="shared" si="7"/>
        <v>C34H63O8P1</v>
      </c>
      <c r="M16" s="19">
        <f t="shared" si="8"/>
        <v>630.42603280000003</v>
      </c>
      <c r="N16" s="19">
        <f t="shared" si="9"/>
        <v>631.4333074000001</v>
      </c>
      <c r="O16" s="19">
        <f t="shared" si="10"/>
        <v>613.4221874000001</v>
      </c>
      <c r="P16" s="19">
        <f t="shared" si="11"/>
        <v>648.45985280000002</v>
      </c>
      <c r="Q16" s="19">
        <f t="shared" si="12"/>
        <v>653.41525280000008</v>
      </c>
      <c r="R16" s="19">
        <f t="shared" si="13"/>
        <v>669.38919280000005</v>
      </c>
      <c r="S16" s="19">
        <f t="shared" si="14"/>
        <v>637.44149280000011</v>
      </c>
      <c r="T16" s="19">
        <f t="shared" si="15"/>
        <v>629.41875819999996</v>
      </c>
      <c r="U16" s="19">
        <f t="shared" si="16"/>
        <v>675.42425279999998</v>
      </c>
      <c r="V16" s="19">
        <f t="shared" si="17"/>
        <v>689.43990280000003</v>
      </c>
    </row>
    <row r="17" spans="1:22" x14ac:dyDescent="0.25">
      <c r="A17" s="17" t="s">
        <v>533</v>
      </c>
      <c r="B17" s="17" t="str">
        <f t="shared" si="1"/>
        <v>PA 31:1</v>
      </c>
      <c r="C17" s="1" t="str">
        <f t="shared" si="2"/>
        <v>31</v>
      </c>
      <c r="D17" s="1" t="str">
        <f t="shared" si="3"/>
        <v>1</v>
      </c>
      <c r="G17" s="17">
        <f t="shared" si="4"/>
        <v>34</v>
      </c>
      <c r="H17" s="17">
        <f t="shared" si="5"/>
        <v>65</v>
      </c>
      <c r="I17" s="17">
        <f t="shared" si="6"/>
        <v>8</v>
      </c>
      <c r="J17" s="17">
        <v>1</v>
      </c>
      <c r="L17" s="19" t="str">
        <f t="shared" si="7"/>
        <v>C34H65O8P1</v>
      </c>
      <c r="M17" s="19">
        <f t="shared" si="8"/>
        <v>632.44168200000001</v>
      </c>
      <c r="N17" s="19">
        <f t="shared" si="9"/>
        <v>633.44895660000009</v>
      </c>
      <c r="O17" s="19">
        <f t="shared" si="10"/>
        <v>615.43783660000008</v>
      </c>
      <c r="P17" s="19">
        <f t="shared" si="11"/>
        <v>650.47550200000001</v>
      </c>
      <c r="Q17" s="19">
        <f t="shared" si="12"/>
        <v>655.43090200000006</v>
      </c>
      <c r="R17" s="19">
        <f t="shared" si="13"/>
        <v>671.40484200000003</v>
      </c>
      <c r="S17" s="19">
        <f t="shared" si="14"/>
        <v>639.45714200000009</v>
      </c>
      <c r="T17" s="19">
        <f t="shared" si="15"/>
        <v>631.43440739999994</v>
      </c>
      <c r="U17" s="19">
        <f t="shared" si="16"/>
        <v>677.43990199999996</v>
      </c>
      <c r="V17" s="19">
        <f t="shared" si="17"/>
        <v>691.45555200000001</v>
      </c>
    </row>
    <row r="18" spans="1:22" x14ac:dyDescent="0.25">
      <c r="A18" s="17" t="s">
        <v>528</v>
      </c>
      <c r="B18" s="17" t="str">
        <f t="shared" si="1"/>
        <v>PA 31:0</v>
      </c>
      <c r="C18" s="1" t="str">
        <f t="shared" si="2"/>
        <v>31</v>
      </c>
      <c r="D18" s="1" t="str">
        <f t="shared" si="3"/>
        <v>0</v>
      </c>
      <c r="G18" s="17">
        <f t="shared" si="4"/>
        <v>34</v>
      </c>
      <c r="H18" s="17">
        <f t="shared" si="5"/>
        <v>67</v>
      </c>
      <c r="I18" s="17">
        <f t="shared" si="6"/>
        <v>8</v>
      </c>
      <c r="J18" s="17">
        <v>1</v>
      </c>
      <c r="L18" s="19" t="str">
        <f t="shared" si="7"/>
        <v>C34H67O8P1</v>
      </c>
      <c r="M18" s="19">
        <f t="shared" si="8"/>
        <v>634.4573312</v>
      </c>
      <c r="N18" s="19">
        <f t="shared" si="9"/>
        <v>635.46460580000007</v>
      </c>
      <c r="O18" s="19">
        <f t="shared" si="10"/>
        <v>617.45348580000007</v>
      </c>
      <c r="P18" s="19">
        <f t="shared" si="11"/>
        <v>652.49115119999999</v>
      </c>
      <c r="Q18" s="19">
        <f t="shared" si="12"/>
        <v>657.44655120000004</v>
      </c>
      <c r="R18" s="19">
        <f t="shared" si="13"/>
        <v>673.42049120000001</v>
      </c>
      <c r="S18" s="19">
        <f t="shared" si="14"/>
        <v>641.47279120000007</v>
      </c>
      <c r="T18" s="19">
        <f t="shared" si="15"/>
        <v>633.45005659999993</v>
      </c>
      <c r="U18" s="19">
        <f t="shared" si="16"/>
        <v>679.45555119999995</v>
      </c>
      <c r="V18" s="19">
        <f t="shared" si="17"/>
        <v>693.4712012</v>
      </c>
    </row>
    <row r="19" spans="1:22" x14ac:dyDescent="0.25">
      <c r="A19" s="17" t="s">
        <v>546</v>
      </c>
      <c r="B19" s="17" t="str">
        <f t="shared" si="1"/>
        <v>PA 32:3</v>
      </c>
      <c r="C19" s="1" t="str">
        <f t="shared" si="2"/>
        <v>32</v>
      </c>
      <c r="D19" s="1" t="str">
        <f t="shared" si="3"/>
        <v>3</v>
      </c>
      <c r="G19" s="17">
        <f t="shared" si="4"/>
        <v>35</v>
      </c>
      <c r="H19" s="17">
        <f t="shared" si="5"/>
        <v>63</v>
      </c>
      <c r="I19" s="17">
        <f t="shared" si="6"/>
        <v>8</v>
      </c>
      <c r="J19" s="17">
        <v>1</v>
      </c>
      <c r="L19" s="19" t="str">
        <f t="shared" si="7"/>
        <v>C35H63O8P1</v>
      </c>
      <c r="M19" s="19">
        <f t="shared" si="8"/>
        <v>642.42603280000003</v>
      </c>
      <c r="N19" s="19">
        <f t="shared" si="9"/>
        <v>643.4333074000001</v>
      </c>
      <c r="O19" s="19">
        <f t="shared" si="10"/>
        <v>625.4221874000001</v>
      </c>
      <c r="P19" s="19">
        <f t="shared" si="11"/>
        <v>660.45985280000002</v>
      </c>
      <c r="Q19" s="19">
        <f t="shared" si="12"/>
        <v>665.41525280000008</v>
      </c>
      <c r="R19" s="19">
        <f t="shared" si="13"/>
        <v>681.38919280000005</v>
      </c>
      <c r="S19" s="19">
        <f t="shared" si="14"/>
        <v>649.44149280000011</v>
      </c>
      <c r="T19" s="19">
        <f t="shared" si="15"/>
        <v>641.41875819999996</v>
      </c>
      <c r="U19" s="19">
        <f t="shared" si="16"/>
        <v>687.42425279999998</v>
      </c>
      <c r="V19" s="19">
        <f t="shared" si="17"/>
        <v>701.43990280000003</v>
      </c>
    </row>
    <row r="20" spans="1:22" x14ac:dyDescent="0.25">
      <c r="A20" s="17" t="s">
        <v>541</v>
      </c>
      <c r="B20" s="17" t="str">
        <f t="shared" si="1"/>
        <v>PA 32:2</v>
      </c>
      <c r="C20" s="1" t="str">
        <f t="shared" si="2"/>
        <v>32</v>
      </c>
      <c r="D20" s="1" t="str">
        <f t="shared" si="3"/>
        <v>2</v>
      </c>
      <c r="G20" s="17">
        <f t="shared" si="4"/>
        <v>35</v>
      </c>
      <c r="H20" s="17">
        <f t="shared" si="5"/>
        <v>65</v>
      </c>
      <c r="I20" s="17">
        <f t="shared" si="6"/>
        <v>8</v>
      </c>
      <c r="J20" s="17">
        <v>1</v>
      </c>
      <c r="L20" s="19" t="str">
        <f t="shared" si="7"/>
        <v>C35H65O8P1</v>
      </c>
      <c r="M20" s="19">
        <f t="shared" si="8"/>
        <v>644.44168200000001</v>
      </c>
      <c r="N20" s="19">
        <f t="shared" si="9"/>
        <v>645.44895660000009</v>
      </c>
      <c r="O20" s="19">
        <f t="shared" si="10"/>
        <v>627.43783660000008</v>
      </c>
      <c r="P20" s="19">
        <f t="shared" si="11"/>
        <v>662.47550200000001</v>
      </c>
      <c r="Q20" s="19">
        <f t="shared" si="12"/>
        <v>667.43090200000006</v>
      </c>
      <c r="R20" s="19">
        <f t="shared" si="13"/>
        <v>683.40484200000003</v>
      </c>
      <c r="S20" s="19">
        <f t="shared" si="14"/>
        <v>651.45714200000009</v>
      </c>
      <c r="T20" s="19">
        <f t="shared" si="15"/>
        <v>643.43440739999994</v>
      </c>
      <c r="U20" s="19">
        <f t="shared" si="16"/>
        <v>689.43990199999996</v>
      </c>
      <c r="V20" s="19">
        <f t="shared" si="17"/>
        <v>703.45555200000001</v>
      </c>
    </row>
    <row r="21" spans="1:22" x14ac:dyDescent="0.25">
      <c r="A21" s="17" t="s">
        <v>534</v>
      </c>
      <c r="B21" s="17" t="str">
        <f t="shared" si="1"/>
        <v>PA 32:1</v>
      </c>
      <c r="C21" s="1" t="str">
        <f t="shared" si="2"/>
        <v>32</v>
      </c>
      <c r="D21" s="1" t="str">
        <f t="shared" si="3"/>
        <v>1</v>
      </c>
      <c r="G21" s="17">
        <f t="shared" si="4"/>
        <v>35</v>
      </c>
      <c r="H21" s="17">
        <f t="shared" si="5"/>
        <v>67</v>
      </c>
      <c r="I21" s="17">
        <f t="shared" si="6"/>
        <v>8</v>
      </c>
      <c r="J21" s="17">
        <v>1</v>
      </c>
      <c r="L21" s="19" t="str">
        <f t="shared" si="7"/>
        <v>C35H67O8P1</v>
      </c>
      <c r="M21" s="19">
        <f t="shared" si="8"/>
        <v>646.4573312</v>
      </c>
      <c r="N21" s="19">
        <f t="shared" si="9"/>
        <v>647.46460580000007</v>
      </c>
      <c r="O21" s="19">
        <f t="shared" si="10"/>
        <v>629.45348580000007</v>
      </c>
      <c r="P21" s="19">
        <f t="shared" si="11"/>
        <v>664.49115119999999</v>
      </c>
      <c r="Q21" s="19">
        <f t="shared" si="12"/>
        <v>669.44655120000004</v>
      </c>
      <c r="R21" s="19">
        <f t="shared" si="13"/>
        <v>685.42049120000001</v>
      </c>
      <c r="S21" s="19">
        <f t="shared" si="14"/>
        <v>653.47279120000007</v>
      </c>
      <c r="T21" s="19">
        <f t="shared" si="15"/>
        <v>645.45005659999993</v>
      </c>
      <c r="U21" s="19">
        <f t="shared" si="16"/>
        <v>691.45555119999995</v>
      </c>
      <c r="V21" s="19">
        <f t="shared" si="17"/>
        <v>705.4712012</v>
      </c>
    </row>
    <row r="22" spans="1:22" x14ac:dyDescent="0.25">
      <c r="A22" s="17" t="s">
        <v>107</v>
      </c>
      <c r="B22" s="17" t="str">
        <f t="shared" si="1"/>
        <v>PA 32:0</v>
      </c>
      <c r="C22" s="1" t="str">
        <f t="shared" si="2"/>
        <v>32</v>
      </c>
      <c r="D22" s="1" t="str">
        <f t="shared" si="3"/>
        <v>0</v>
      </c>
      <c r="G22" s="17">
        <f t="shared" si="4"/>
        <v>35</v>
      </c>
      <c r="H22" s="17">
        <f t="shared" si="5"/>
        <v>69</v>
      </c>
      <c r="I22" s="17">
        <f t="shared" si="6"/>
        <v>8</v>
      </c>
      <c r="J22" s="17">
        <v>1</v>
      </c>
      <c r="L22" s="19" t="str">
        <f t="shared" si="7"/>
        <v>C35H69O8P1</v>
      </c>
      <c r="M22" s="19">
        <f t="shared" si="8"/>
        <v>648.47298039999998</v>
      </c>
      <c r="N22" s="19">
        <f t="shared" si="9"/>
        <v>649.48025500000006</v>
      </c>
      <c r="O22" s="19">
        <f t="shared" si="10"/>
        <v>631.46913500000005</v>
      </c>
      <c r="P22" s="19">
        <f t="shared" si="11"/>
        <v>666.50680039999997</v>
      </c>
      <c r="Q22" s="19">
        <f t="shared" si="12"/>
        <v>671.46220040000003</v>
      </c>
      <c r="R22" s="19">
        <f t="shared" si="13"/>
        <v>687.4361404</v>
      </c>
      <c r="S22" s="19">
        <f t="shared" si="14"/>
        <v>655.48844040000006</v>
      </c>
      <c r="T22" s="19">
        <f t="shared" si="15"/>
        <v>647.46570579999991</v>
      </c>
      <c r="U22" s="19">
        <f t="shared" si="16"/>
        <v>693.47120039999993</v>
      </c>
      <c r="V22" s="19">
        <f t="shared" si="17"/>
        <v>707.48685039999998</v>
      </c>
    </row>
    <row r="23" spans="1:22" x14ac:dyDescent="0.25">
      <c r="A23" s="17" t="s">
        <v>542</v>
      </c>
      <c r="B23" s="17" t="str">
        <f t="shared" si="1"/>
        <v>PA 33:2</v>
      </c>
      <c r="C23" s="1" t="str">
        <f t="shared" si="2"/>
        <v>33</v>
      </c>
      <c r="D23" s="1" t="str">
        <f t="shared" si="3"/>
        <v>2</v>
      </c>
      <c r="G23" s="17">
        <f t="shared" si="4"/>
        <v>36</v>
      </c>
      <c r="H23" s="17">
        <f t="shared" si="5"/>
        <v>67</v>
      </c>
      <c r="I23" s="17">
        <f t="shared" si="6"/>
        <v>8</v>
      </c>
      <c r="J23" s="17">
        <v>1</v>
      </c>
      <c r="L23" s="19" t="str">
        <f t="shared" si="7"/>
        <v>C36H67O8P1</v>
      </c>
      <c r="M23" s="19">
        <f t="shared" si="8"/>
        <v>658.4573312</v>
      </c>
      <c r="N23" s="19">
        <f t="shared" si="9"/>
        <v>659.46460580000007</v>
      </c>
      <c r="O23" s="19">
        <f t="shared" si="10"/>
        <v>641.45348580000007</v>
      </c>
      <c r="P23" s="19">
        <f t="shared" si="11"/>
        <v>676.49115119999999</v>
      </c>
      <c r="Q23" s="19">
        <f t="shared" si="12"/>
        <v>681.44655120000004</v>
      </c>
      <c r="R23" s="19">
        <f t="shared" si="13"/>
        <v>697.42049120000001</v>
      </c>
      <c r="S23" s="19">
        <f t="shared" si="14"/>
        <v>665.47279120000007</v>
      </c>
      <c r="T23" s="19">
        <f t="shared" si="15"/>
        <v>657.45005659999993</v>
      </c>
      <c r="U23" s="19">
        <f t="shared" si="16"/>
        <v>703.45555119999995</v>
      </c>
      <c r="V23" s="19">
        <f t="shared" si="17"/>
        <v>717.4712012</v>
      </c>
    </row>
    <row r="24" spans="1:22" x14ac:dyDescent="0.25">
      <c r="A24" s="17" t="s">
        <v>535</v>
      </c>
      <c r="B24" s="17" t="str">
        <f t="shared" si="1"/>
        <v>PA 33:1</v>
      </c>
      <c r="C24" s="1" t="str">
        <f t="shared" si="2"/>
        <v>33</v>
      </c>
      <c r="D24" s="1" t="str">
        <f t="shared" si="3"/>
        <v>1</v>
      </c>
      <c r="G24" s="17">
        <f t="shared" si="4"/>
        <v>36</v>
      </c>
      <c r="H24" s="17">
        <f t="shared" si="5"/>
        <v>69</v>
      </c>
      <c r="I24" s="17">
        <f t="shared" si="6"/>
        <v>8</v>
      </c>
      <c r="J24" s="17">
        <v>1</v>
      </c>
      <c r="L24" s="19" t="str">
        <f t="shared" si="7"/>
        <v>C36H69O8P1</v>
      </c>
      <c r="M24" s="19">
        <f t="shared" si="8"/>
        <v>660.47298039999998</v>
      </c>
      <c r="N24" s="19">
        <f t="shared" si="9"/>
        <v>661.48025500000006</v>
      </c>
      <c r="O24" s="19">
        <f t="shared" si="10"/>
        <v>643.46913500000005</v>
      </c>
      <c r="P24" s="19">
        <f t="shared" si="11"/>
        <v>678.50680039999997</v>
      </c>
      <c r="Q24" s="19">
        <f t="shared" si="12"/>
        <v>683.46220040000003</v>
      </c>
      <c r="R24" s="19">
        <f t="shared" si="13"/>
        <v>699.4361404</v>
      </c>
      <c r="S24" s="19">
        <f t="shared" si="14"/>
        <v>667.48844040000006</v>
      </c>
      <c r="T24" s="19">
        <f t="shared" si="15"/>
        <v>659.46570579999991</v>
      </c>
      <c r="U24" s="19">
        <f t="shared" si="16"/>
        <v>705.47120039999993</v>
      </c>
      <c r="V24" s="19">
        <f t="shared" si="17"/>
        <v>719.48685039999998</v>
      </c>
    </row>
    <row r="25" spans="1:22" x14ac:dyDescent="0.25">
      <c r="A25" s="17" t="s">
        <v>459</v>
      </c>
      <c r="B25" s="17" t="str">
        <f t="shared" si="1"/>
        <v>PA 33:0</v>
      </c>
      <c r="C25" s="1" t="str">
        <f t="shared" si="2"/>
        <v>33</v>
      </c>
      <c r="D25" s="1" t="str">
        <f t="shared" si="3"/>
        <v>0</v>
      </c>
      <c r="G25" s="17">
        <f t="shared" si="4"/>
        <v>36</v>
      </c>
      <c r="H25" s="17">
        <f t="shared" si="5"/>
        <v>71</v>
      </c>
      <c r="I25" s="17">
        <f t="shared" si="6"/>
        <v>8</v>
      </c>
      <c r="J25" s="17">
        <v>1</v>
      </c>
      <c r="L25" s="19" t="str">
        <f t="shared" si="7"/>
        <v>C36H71O8P1</v>
      </c>
      <c r="M25" s="19">
        <f t="shared" si="8"/>
        <v>662.48862959999997</v>
      </c>
      <c r="N25" s="19">
        <f t="shared" si="9"/>
        <v>663.49590420000004</v>
      </c>
      <c r="O25" s="19">
        <f t="shared" si="10"/>
        <v>645.48478420000004</v>
      </c>
      <c r="P25" s="19">
        <f t="shared" si="11"/>
        <v>680.52244959999996</v>
      </c>
      <c r="Q25" s="19">
        <f t="shared" si="12"/>
        <v>685.47784960000001</v>
      </c>
      <c r="R25" s="19">
        <f t="shared" si="13"/>
        <v>701.45178959999998</v>
      </c>
      <c r="S25" s="19">
        <f t="shared" si="14"/>
        <v>669.50408960000004</v>
      </c>
      <c r="T25" s="19">
        <f t="shared" si="15"/>
        <v>661.48135499999989</v>
      </c>
      <c r="U25" s="19">
        <f t="shared" si="16"/>
        <v>707.48684959999991</v>
      </c>
      <c r="V25" s="19">
        <f t="shared" si="17"/>
        <v>721.50249959999996</v>
      </c>
    </row>
    <row r="26" spans="1:22" x14ac:dyDescent="0.25">
      <c r="A26" s="17" t="s">
        <v>543</v>
      </c>
      <c r="B26" s="17" t="str">
        <f t="shared" si="1"/>
        <v>PA 34:2</v>
      </c>
      <c r="C26" s="1" t="str">
        <f t="shared" si="2"/>
        <v>34</v>
      </c>
      <c r="D26" s="1" t="str">
        <f t="shared" si="3"/>
        <v>2</v>
      </c>
      <c r="G26" s="17">
        <f t="shared" si="4"/>
        <v>37</v>
      </c>
      <c r="H26" s="17">
        <f t="shared" si="5"/>
        <v>69</v>
      </c>
      <c r="I26" s="17">
        <f t="shared" si="6"/>
        <v>8</v>
      </c>
      <c r="J26" s="17">
        <v>1</v>
      </c>
      <c r="L26" s="19" t="str">
        <f t="shared" si="7"/>
        <v>C37H69O8P1</v>
      </c>
      <c r="M26" s="19">
        <f t="shared" si="8"/>
        <v>672.47298039999998</v>
      </c>
      <c r="N26" s="19">
        <f t="shared" si="9"/>
        <v>673.48025500000006</v>
      </c>
      <c r="O26" s="19">
        <f t="shared" si="10"/>
        <v>655.46913500000005</v>
      </c>
      <c r="P26" s="19">
        <f t="shared" si="11"/>
        <v>690.50680039999997</v>
      </c>
      <c r="Q26" s="19">
        <f t="shared" si="12"/>
        <v>695.46220040000003</v>
      </c>
      <c r="R26" s="19">
        <f t="shared" si="13"/>
        <v>711.4361404</v>
      </c>
      <c r="S26" s="19">
        <f t="shared" si="14"/>
        <v>679.48844040000006</v>
      </c>
      <c r="T26" s="19">
        <f t="shared" si="15"/>
        <v>671.46570579999991</v>
      </c>
      <c r="U26" s="19">
        <f t="shared" si="16"/>
        <v>717.47120039999993</v>
      </c>
      <c r="V26" s="19">
        <f t="shared" si="17"/>
        <v>731.48685039999998</v>
      </c>
    </row>
    <row r="27" spans="1:22" x14ac:dyDescent="0.25">
      <c r="A27" s="17" t="s">
        <v>536</v>
      </c>
      <c r="B27" s="17" t="str">
        <f t="shared" si="1"/>
        <v>PA 34:1</v>
      </c>
      <c r="C27" s="1" t="str">
        <f t="shared" si="2"/>
        <v>34</v>
      </c>
      <c r="D27" s="1" t="str">
        <f t="shared" si="3"/>
        <v>1</v>
      </c>
      <c r="G27" s="17">
        <f t="shared" si="4"/>
        <v>37</v>
      </c>
      <c r="H27" s="17">
        <f t="shared" si="5"/>
        <v>71</v>
      </c>
      <c r="I27" s="17">
        <f t="shared" si="6"/>
        <v>8</v>
      </c>
      <c r="J27" s="17">
        <v>1</v>
      </c>
      <c r="L27" s="19" t="str">
        <f t="shared" si="7"/>
        <v>C37H71O8P1</v>
      </c>
      <c r="M27" s="19">
        <f t="shared" si="8"/>
        <v>674.48862959999997</v>
      </c>
      <c r="N27" s="19">
        <f t="shared" si="9"/>
        <v>675.49590420000004</v>
      </c>
      <c r="O27" s="19">
        <f t="shared" si="10"/>
        <v>657.48478420000004</v>
      </c>
      <c r="P27" s="19">
        <f t="shared" si="11"/>
        <v>692.52244959999996</v>
      </c>
      <c r="Q27" s="19">
        <f t="shared" si="12"/>
        <v>697.47784960000001</v>
      </c>
      <c r="R27" s="19">
        <f t="shared" si="13"/>
        <v>713.45178959999998</v>
      </c>
      <c r="S27" s="19">
        <f t="shared" si="14"/>
        <v>681.50408960000004</v>
      </c>
      <c r="T27" s="19">
        <f t="shared" si="15"/>
        <v>673.48135499999989</v>
      </c>
      <c r="U27" s="19">
        <f t="shared" si="16"/>
        <v>719.48684959999991</v>
      </c>
      <c r="V27" s="19">
        <f t="shared" si="17"/>
        <v>733.50249959999996</v>
      </c>
    </row>
    <row r="28" spans="1:22" x14ac:dyDescent="0.25">
      <c r="A28" s="17" t="s">
        <v>529</v>
      </c>
      <c r="B28" s="17" t="str">
        <f t="shared" si="1"/>
        <v>PA 34:0</v>
      </c>
      <c r="C28" s="1" t="str">
        <f t="shared" si="2"/>
        <v>34</v>
      </c>
      <c r="D28" s="1" t="str">
        <f t="shared" si="3"/>
        <v>0</v>
      </c>
      <c r="G28" s="17">
        <f t="shared" si="4"/>
        <v>37</v>
      </c>
      <c r="H28" s="17">
        <f t="shared" si="5"/>
        <v>73</v>
      </c>
      <c r="I28" s="17">
        <f t="shared" si="6"/>
        <v>8</v>
      </c>
      <c r="J28" s="17">
        <v>1</v>
      </c>
      <c r="L28" s="19" t="str">
        <f t="shared" si="7"/>
        <v>C37H73O8P1</v>
      </c>
      <c r="M28" s="19">
        <f t="shared" si="8"/>
        <v>676.50427879999995</v>
      </c>
      <c r="N28" s="19">
        <f t="shared" si="9"/>
        <v>677.51155340000003</v>
      </c>
      <c r="O28" s="19">
        <f t="shared" si="10"/>
        <v>659.50043340000002</v>
      </c>
      <c r="P28" s="19">
        <f t="shared" si="11"/>
        <v>694.53809879999994</v>
      </c>
      <c r="Q28" s="19">
        <f t="shared" si="12"/>
        <v>699.4934988</v>
      </c>
      <c r="R28" s="19">
        <f t="shared" si="13"/>
        <v>715.46743879999997</v>
      </c>
      <c r="S28" s="19">
        <f t="shared" si="14"/>
        <v>683.51973880000003</v>
      </c>
      <c r="T28" s="19">
        <f t="shared" si="15"/>
        <v>675.49700419999988</v>
      </c>
      <c r="U28" s="19">
        <f t="shared" si="16"/>
        <v>721.5024987999999</v>
      </c>
      <c r="V28" s="19">
        <f t="shared" si="17"/>
        <v>735.51814879999995</v>
      </c>
    </row>
    <row r="29" spans="1:22" x14ac:dyDescent="0.25">
      <c r="A29" s="17" t="s">
        <v>544</v>
      </c>
      <c r="B29" s="17" t="str">
        <f t="shared" si="1"/>
        <v>PA 35:2</v>
      </c>
      <c r="C29" s="1" t="str">
        <f t="shared" si="2"/>
        <v>35</v>
      </c>
      <c r="D29" s="1" t="str">
        <f t="shared" si="3"/>
        <v>2</v>
      </c>
      <c r="G29" s="17">
        <f t="shared" si="4"/>
        <v>38</v>
      </c>
      <c r="H29" s="17">
        <f t="shared" si="5"/>
        <v>71</v>
      </c>
      <c r="I29" s="17">
        <f t="shared" si="6"/>
        <v>8</v>
      </c>
      <c r="J29" s="17">
        <v>1</v>
      </c>
      <c r="L29" s="19" t="str">
        <f t="shared" si="7"/>
        <v>C38H71O8P1</v>
      </c>
      <c r="M29" s="19">
        <f t="shared" si="8"/>
        <v>686.48862959999997</v>
      </c>
      <c r="N29" s="19">
        <f t="shared" si="9"/>
        <v>687.49590420000004</v>
      </c>
      <c r="O29" s="19">
        <f t="shared" si="10"/>
        <v>669.48478420000004</v>
      </c>
      <c r="P29" s="19">
        <f t="shared" si="11"/>
        <v>704.52244959999996</v>
      </c>
      <c r="Q29" s="19">
        <f t="shared" si="12"/>
        <v>709.47784960000001</v>
      </c>
      <c r="R29" s="19">
        <f t="shared" si="13"/>
        <v>725.45178959999998</v>
      </c>
      <c r="S29" s="19">
        <f t="shared" si="14"/>
        <v>693.50408960000004</v>
      </c>
      <c r="T29" s="19">
        <f t="shared" si="15"/>
        <v>685.48135499999989</v>
      </c>
      <c r="U29" s="19">
        <f t="shared" si="16"/>
        <v>731.48684959999991</v>
      </c>
      <c r="V29" s="19">
        <f t="shared" si="17"/>
        <v>745.50249959999996</v>
      </c>
    </row>
    <row r="30" spans="1:22" x14ac:dyDescent="0.25">
      <c r="A30" s="17" t="s">
        <v>537</v>
      </c>
      <c r="B30" s="17" t="str">
        <f t="shared" si="1"/>
        <v>PA 35:1</v>
      </c>
      <c r="C30" s="1" t="str">
        <f t="shared" si="2"/>
        <v>35</v>
      </c>
      <c r="D30" s="1" t="str">
        <f t="shared" si="3"/>
        <v>1</v>
      </c>
      <c r="G30" s="17">
        <f t="shared" si="4"/>
        <v>38</v>
      </c>
      <c r="H30" s="17">
        <f t="shared" si="5"/>
        <v>73</v>
      </c>
      <c r="I30" s="17">
        <f t="shared" si="6"/>
        <v>8</v>
      </c>
      <c r="J30" s="17">
        <v>1</v>
      </c>
      <c r="L30" s="19" t="str">
        <f t="shared" si="7"/>
        <v>C38H73O8P1</v>
      </c>
      <c r="M30" s="19">
        <f t="shared" si="8"/>
        <v>688.50427879999995</v>
      </c>
      <c r="N30" s="19">
        <f t="shared" si="9"/>
        <v>689.51155340000003</v>
      </c>
      <c r="O30" s="19">
        <f t="shared" si="10"/>
        <v>671.50043340000002</v>
      </c>
      <c r="P30" s="19">
        <f t="shared" si="11"/>
        <v>706.53809879999994</v>
      </c>
      <c r="Q30" s="19">
        <f t="shared" si="12"/>
        <v>711.4934988</v>
      </c>
      <c r="R30" s="19">
        <f t="shared" si="13"/>
        <v>727.46743879999997</v>
      </c>
      <c r="S30" s="19">
        <f t="shared" si="14"/>
        <v>695.51973880000003</v>
      </c>
      <c r="T30" s="19">
        <f t="shared" si="15"/>
        <v>687.49700419999988</v>
      </c>
      <c r="U30" s="19">
        <f t="shared" si="16"/>
        <v>733.5024987999999</v>
      </c>
      <c r="V30" s="19">
        <f t="shared" si="17"/>
        <v>747.51814879999995</v>
      </c>
    </row>
    <row r="31" spans="1:22" x14ac:dyDescent="0.25">
      <c r="A31" s="17" t="s">
        <v>530</v>
      </c>
      <c r="B31" s="17" t="str">
        <f t="shared" si="1"/>
        <v>PA 35:0</v>
      </c>
      <c r="C31" s="1" t="str">
        <f t="shared" si="2"/>
        <v>35</v>
      </c>
      <c r="D31" s="1" t="str">
        <f t="shared" si="3"/>
        <v>0</v>
      </c>
      <c r="G31" s="17">
        <f t="shared" si="4"/>
        <v>38</v>
      </c>
      <c r="H31" s="17">
        <f t="shared" si="5"/>
        <v>75</v>
      </c>
      <c r="I31" s="17">
        <f t="shared" si="6"/>
        <v>8</v>
      </c>
      <c r="J31" s="17">
        <v>1</v>
      </c>
      <c r="L31" s="19" t="str">
        <f t="shared" si="7"/>
        <v>C38H75O8P1</v>
      </c>
      <c r="M31" s="19">
        <f t="shared" si="8"/>
        <v>690.51992800000005</v>
      </c>
      <c r="N31" s="19">
        <f t="shared" si="9"/>
        <v>691.52720260000012</v>
      </c>
      <c r="O31" s="19">
        <f t="shared" si="10"/>
        <v>673.51608260000012</v>
      </c>
      <c r="P31" s="19">
        <f t="shared" si="11"/>
        <v>708.55374800000004</v>
      </c>
      <c r="Q31" s="19">
        <f t="shared" si="12"/>
        <v>713.5091480000001</v>
      </c>
      <c r="R31" s="19">
        <f t="shared" si="13"/>
        <v>729.48308800000007</v>
      </c>
      <c r="S31" s="19">
        <f t="shared" si="14"/>
        <v>697.53538800000013</v>
      </c>
      <c r="T31" s="19">
        <f t="shared" si="15"/>
        <v>689.51265339999998</v>
      </c>
      <c r="U31" s="19">
        <f t="shared" si="16"/>
        <v>735.518148</v>
      </c>
      <c r="V31" s="19">
        <f t="shared" si="17"/>
        <v>749.53379800000005</v>
      </c>
    </row>
    <row r="32" spans="1:22" x14ac:dyDescent="0.25">
      <c r="A32" s="17" t="s">
        <v>545</v>
      </c>
      <c r="B32" s="17" t="str">
        <f t="shared" si="1"/>
        <v>PA 36:2</v>
      </c>
      <c r="C32" s="1" t="str">
        <f t="shared" si="2"/>
        <v>36</v>
      </c>
      <c r="D32" s="1" t="str">
        <f t="shared" si="3"/>
        <v>2</v>
      </c>
      <c r="G32" s="17">
        <f t="shared" si="4"/>
        <v>39</v>
      </c>
      <c r="H32" s="17">
        <f t="shared" si="5"/>
        <v>73</v>
      </c>
      <c r="I32" s="17">
        <f t="shared" si="6"/>
        <v>8</v>
      </c>
      <c r="J32" s="17">
        <v>1</v>
      </c>
      <c r="L32" s="19" t="str">
        <f t="shared" si="7"/>
        <v>C39H73O8P1</v>
      </c>
      <c r="M32" s="19">
        <f t="shared" si="8"/>
        <v>700.50427879999995</v>
      </c>
      <c r="N32" s="19">
        <f t="shared" si="9"/>
        <v>701.51155340000003</v>
      </c>
      <c r="O32" s="19">
        <f t="shared" si="10"/>
        <v>683.50043340000002</v>
      </c>
      <c r="P32" s="19">
        <f t="shared" si="11"/>
        <v>718.53809879999994</v>
      </c>
      <c r="Q32" s="19">
        <f t="shared" si="12"/>
        <v>723.4934988</v>
      </c>
      <c r="R32" s="19">
        <f t="shared" si="13"/>
        <v>739.46743879999997</v>
      </c>
      <c r="S32" s="19">
        <f t="shared" si="14"/>
        <v>707.51973880000003</v>
      </c>
      <c r="T32" s="19">
        <f t="shared" si="15"/>
        <v>699.49700419999988</v>
      </c>
      <c r="U32" s="19">
        <f t="shared" si="16"/>
        <v>745.5024987999999</v>
      </c>
      <c r="V32" s="19">
        <f t="shared" si="17"/>
        <v>759.51814879999995</v>
      </c>
    </row>
    <row r="33" spans="1:22" x14ac:dyDescent="0.25">
      <c r="A33" s="17" t="s">
        <v>538</v>
      </c>
      <c r="B33" s="17" t="str">
        <f t="shared" si="1"/>
        <v>PA 36:1</v>
      </c>
      <c r="C33" s="1" t="str">
        <f t="shared" si="2"/>
        <v>36</v>
      </c>
      <c r="D33" s="1" t="str">
        <f t="shared" si="3"/>
        <v>1</v>
      </c>
      <c r="G33" s="17">
        <f t="shared" si="4"/>
        <v>39</v>
      </c>
      <c r="H33" s="17">
        <f t="shared" si="5"/>
        <v>75</v>
      </c>
      <c r="I33" s="17">
        <f t="shared" si="6"/>
        <v>8</v>
      </c>
      <c r="J33" s="17">
        <v>1</v>
      </c>
      <c r="L33" s="19" t="str">
        <f t="shared" si="7"/>
        <v>C39H75O8P1</v>
      </c>
      <c r="M33" s="19">
        <f t="shared" si="8"/>
        <v>702.51992800000005</v>
      </c>
      <c r="N33" s="19">
        <f t="shared" si="9"/>
        <v>703.52720260000012</v>
      </c>
      <c r="O33" s="19">
        <f t="shared" si="10"/>
        <v>685.51608260000012</v>
      </c>
      <c r="P33" s="19">
        <f t="shared" si="11"/>
        <v>720.55374800000004</v>
      </c>
      <c r="Q33" s="19">
        <f t="shared" si="12"/>
        <v>725.5091480000001</v>
      </c>
      <c r="R33" s="19">
        <f t="shared" si="13"/>
        <v>741.48308800000007</v>
      </c>
      <c r="S33" s="19">
        <f t="shared" si="14"/>
        <v>709.53538800000013</v>
      </c>
      <c r="T33" s="19">
        <f t="shared" si="15"/>
        <v>701.51265339999998</v>
      </c>
      <c r="U33" s="19">
        <f t="shared" si="16"/>
        <v>747.518148</v>
      </c>
      <c r="V33" s="19">
        <f t="shared" si="17"/>
        <v>761.53379800000005</v>
      </c>
    </row>
    <row r="34" spans="1:22" x14ac:dyDescent="0.25">
      <c r="A34" s="17" t="s">
        <v>531</v>
      </c>
      <c r="B34" s="17" t="str">
        <f t="shared" si="1"/>
        <v>PA 36:0</v>
      </c>
      <c r="C34" s="1" t="str">
        <f t="shared" si="2"/>
        <v>36</v>
      </c>
      <c r="D34" s="1" t="str">
        <f t="shared" si="3"/>
        <v>0</v>
      </c>
      <c r="G34" s="17">
        <f t="shared" si="4"/>
        <v>39</v>
      </c>
      <c r="H34" s="17">
        <f t="shared" si="5"/>
        <v>77</v>
      </c>
      <c r="I34" s="17">
        <f t="shared" si="6"/>
        <v>8</v>
      </c>
      <c r="J34" s="17">
        <v>1</v>
      </c>
      <c r="L34" s="19" t="str">
        <f t="shared" si="7"/>
        <v>C39H77O8P1</v>
      </c>
      <c r="M34" s="19">
        <f t="shared" si="8"/>
        <v>704.53557720000003</v>
      </c>
      <c r="N34" s="19">
        <f t="shared" si="9"/>
        <v>705.54285180000011</v>
      </c>
      <c r="O34" s="19">
        <f t="shared" si="10"/>
        <v>687.5317318000001</v>
      </c>
      <c r="P34" s="19">
        <f t="shared" si="11"/>
        <v>722.56939720000003</v>
      </c>
      <c r="Q34" s="19">
        <f t="shared" si="12"/>
        <v>727.52479720000008</v>
      </c>
      <c r="R34" s="19">
        <f t="shared" si="13"/>
        <v>743.49873720000005</v>
      </c>
      <c r="S34" s="19">
        <f t="shared" si="14"/>
        <v>711.55103720000011</v>
      </c>
      <c r="T34" s="19">
        <f t="shared" si="15"/>
        <v>703.52830259999996</v>
      </c>
      <c r="U34" s="19">
        <f t="shared" si="16"/>
        <v>749.53379719999998</v>
      </c>
      <c r="V34" s="19">
        <f t="shared" si="17"/>
        <v>763.54944720000003</v>
      </c>
    </row>
    <row r="35" spans="1:22" x14ac:dyDescent="0.25">
      <c r="A35" s="17" t="s">
        <v>665</v>
      </c>
      <c r="B35" s="17" t="str">
        <f>IF(ISNUMBER(SEARCH("(",A35)),IF(ISNUMBER(SEARCH("/",A35)),CONCATENATE(MID(A35,1,2)," ",(SUM(MID(A35,FIND("(",A35)+1,FIND(":",A35)-FIND("(",A35)-1),MID(A35,FIND("/",A35)+1,FIND(":",A35,FIND("/",A35))-FIND("/",A35)-1))),":",SUM(MID(A35,FIND(":",A35)+1,FIND("/",A35)-FIND(":",A35)-1),MID(A35,FIND(":",A35,FIND("/",A35))+1,FIND(")",A35)-FIND(":",A35,FIND("/",A35))-1)),MID(A35,(FIND(")",A35)+1),100)),CONCATENATE(MID(A35,1,2)," ",(SUM(MID(A35,FIND("(",A35)+1,FIND(":",A35)-FIND("(",A35)-1),MID(A35,FIND("_",A35)+1,FIND(":",A35,FIND("_",A35))-FIND("_",A35)-1))),":",SUM(MID(A35,FIND(":",A35)+1,FIND("_",A35)-FIND(":",A35)-1),MID(A35,FIND(":",A35,FIND("_",A35))+1,FIND(")",A35)-FIND(":",A35,FIND("_",A35))-1)),MID(A35,(FIND(")",A35)+1),100))),A35)</f>
        <v>PA 37:0</v>
      </c>
      <c r="C35" s="1" t="str">
        <f>MID(B35,4,FIND(":",B35)-FIND(" ",B35)-1)</f>
        <v>37</v>
      </c>
      <c r="D35" s="1" t="str">
        <f>IF(ISNUMBER(SEARCH("__",B35)),MID(B35,FIND(":",B35)+1,FIND("__",B35)-FIND(":",B35)-1),MID(B35,FIND(":",B35)+1,7))</f>
        <v>0</v>
      </c>
      <c r="G35" s="17">
        <f>C35+3</f>
        <v>40</v>
      </c>
      <c r="H35" s="17">
        <f>2*G35-(2*D35)-1-((LEN(A35)-LEN(SUBSTITUTE(A35,"_O_","")))/LEN("_O_"))*2-((LEN(A35)-LEN(SUBSTITUTE(A35,"_CHO_","")))/LEN("_CHO_"))*2-((LEN(A35)-LEN(SUBSTITUTE(A35,"_COOH_","")))/LEN("_COOH_"))*2</f>
        <v>79</v>
      </c>
      <c r="I35" s="17">
        <f>8+((LEN(A35)-LEN(SUBSTITUTE(A35,"_OH_","")))/LEN("_OH_"))*1+((LEN(A35)-LEN(SUBSTITUTE(A35,"_OOH_","")))/LEN("_OOH_"))*2+((LEN(A35)-LEN(SUBSTITUTE(A35,"_O_","")))/LEN("_O_"))*1+((LEN(A35)-LEN(SUBSTITUTE(A35,"_CHO_","")))/LEN("_CHO_"))*1+((LEN(A35)-LEN(SUBSTITUTE(A35,"_COOH_","")))/LEN("_COOH_"))*2</f>
        <v>8</v>
      </c>
      <c r="J35" s="17">
        <v>1</v>
      </c>
      <c r="L35" s="19" t="str">
        <f>CONCATENATE("C",G35,"H",H35,"O",I35,"P",J35)</f>
        <v>C40H79O8P1</v>
      </c>
      <c r="M35" s="19">
        <f t="shared" si="8"/>
        <v>718.55122640000002</v>
      </c>
      <c r="N35" s="19">
        <f>M35+1.0078246-0.00055</f>
        <v>719.55850100000009</v>
      </c>
      <c r="O35" s="19">
        <f>N35-18.01057-0.00055</f>
        <v>701.54738100000009</v>
      </c>
      <c r="P35" s="19">
        <f>M35+18.03437-0.00055</f>
        <v>736.58504640000001</v>
      </c>
      <c r="Q35" s="19">
        <f>M35+22.98977-0.00055</f>
        <v>741.54044640000006</v>
      </c>
      <c r="R35" s="19">
        <f>M35+38.96371-0.00055</f>
        <v>757.51438640000003</v>
      </c>
      <c r="S35" s="19">
        <f>M35+7.01601-0.00055</f>
        <v>725.56668640000009</v>
      </c>
      <c r="T35" s="19">
        <f>M35-1.0078246+0.00055</f>
        <v>717.54395179999995</v>
      </c>
      <c r="U35" s="19">
        <f>M35+44.99767+0.00055</f>
        <v>763.54944639999997</v>
      </c>
      <c r="V35" s="19">
        <f>M35+59.01332+0.00055</f>
        <v>777.56509640000002</v>
      </c>
    </row>
    <row r="37" spans="1:22" x14ac:dyDescent="0.25">
      <c r="C37" s="1"/>
      <c r="D37" s="1"/>
    </row>
    <row r="38" spans="1:22" x14ac:dyDescent="0.25">
      <c r="C38" s="1"/>
      <c r="D38" s="1"/>
    </row>
    <row r="39" spans="1:22" x14ac:dyDescent="0.25">
      <c r="C39" s="1"/>
      <c r="D39" s="1"/>
    </row>
    <row r="40" spans="1:22" x14ac:dyDescent="0.25">
      <c r="C40" s="1"/>
      <c r="D40" s="1"/>
    </row>
    <row r="41" spans="1:22" x14ac:dyDescent="0.25">
      <c r="C41" s="1"/>
      <c r="D41" s="1"/>
    </row>
    <row r="42" spans="1:22" x14ac:dyDescent="0.25">
      <c r="C42" s="1"/>
      <c r="D42" s="1"/>
    </row>
    <row r="43" spans="1:22" x14ac:dyDescent="0.25">
      <c r="C43" s="1"/>
      <c r="D43" s="1"/>
    </row>
  </sheetData>
  <sortState xmlns:xlrd2="http://schemas.microsoft.com/office/spreadsheetml/2017/richdata2" ref="A2:Q25">
    <sortCondition ref="A2:A2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/>
  <dimension ref="A1:AC135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P14" sqref="P14"/>
    </sheetView>
  </sheetViews>
  <sheetFormatPr defaultColWidth="9.140625" defaultRowHeight="15.75" x14ac:dyDescent="0.25"/>
  <cols>
    <col min="1" max="1" width="17.140625" style="19" customWidth="1"/>
    <col min="2" max="2" width="0.42578125" style="17" customWidth="1"/>
    <col min="3" max="3" width="3.85546875" style="17" hidden="1" customWidth="1"/>
    <col min="4" max="4" width="2.5703125" style="17" hidden="1" customWidth="1"/>
    <col min="5" max="5" width="10.85546875" style="17" hidden="1" customWidth="1"/>
    <col min="6" max="6" width="12.140625" style="17" hidden="1" customWidth="1"/>
    <col min="7" max="7" width="9.5703125" style="17" hidden="1" customWidth="1"/>
    <col min="8" max="8" width="10.85546875" style="17" hidden="1" customWidth="1"/>
    <col min="9" max="9" width="9.5703125" style="17" hidden="1" customWidth="1"/>
    <col min="10" max="11" width="9.140625" style="17" hidden="1" customWidth="1"/>
    <col min="12" max="12" width="21.140625" style="19" customWidth="1"/>
    <col min="13" max="13" width="13.5703125" style="19" customWidth="1"/>
    <col min="14" max="14" width="15.5703125" style="19" customWidth="1"/>
    <col min="15" max="15" width="15.85546875" style="46" customWidth="1"/>
    <col min="16" max="16" width="15.42578125" style="46" customWidth="1"/>
    <col min="17" max="17" width="16.140625" style="46" customWidth="1"/>
    <col min="18" max="19" width="15.28515625" style="46" customWidth="1"/>
    <col min="20" max="20" width="16" style="19" customWidth="1"/>
    <col min="21" max="21" width="0.28515625" style="19" customWidth="1"/>
    <col min="22" max="22" width="5.85546875" style="19" hidden="1" customWidth="1"/>
    <col min="23" max="23" width="14.28515625" style="45" customWidth="1"/>
    <col min="24" max="24" width="15.42578125" style="17" hidden="1" customWidth="1"/>
    <col min="25" max="25" width="14.85546875" style="46" customWidth="1"/>
    <col min="26" max="26" width="16.140625" style="46" customWidth="1"/>
    <col min="27" max="27" width="15.28515625" style="46" customWidth="1"/>
    <col min="28" max="28" width="11.28515625" customWidth="1"/>
    <col min="29" max="29" width="10.85546875" customWidth="1"/>
  </cols>
  <sheetData>
    <row r="1" spans="1:29" s="28" customFormat="1" x14ac:dyDescent="0.25">
      <c r="A1" s="29" t="s">
        <v>74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29" t="s">
        <v>3</v>
      </c>
      <c r="N1" s="29" t="s">
        <v>7</v>
      </c>
      <c r="O1" s="44" t="s">
        <v>13</v>
      </c>
      <c r="P1" s="44" t="s">
        <v>4</v>
      </c>
      <c r="Q1" s="44" t="s">
        <v>6</v>
      </c>
      <c r="R1" s="44" t="s">
        <v>29</v>
      </c>
      <c r="S1" s="44" t="s">
        <v>30</v>
      </c>
      <c r="T1" s="29" t="s">
        <v>12</v>
      </c>
      <c r="U1" s="29" t="s">
        <v>10</v>
      </c>
      <c r="V1" s="29" t="s">
        <v>11</v>
      </c>
      <c r="W1" s="44" t="s">
        <v>182</v>
      </c>
      <c r="X1" s="27"/>
      <c r="Y1" s="44" t="s">
        <v>637</v>
      </c>
      <c r="Z1" s="44" t="s">
        <v>638</v>
      </c>
      <c r="AA1" s="44" t="s">
        <v>639</v>
      </c>
      <c r="AB1" s="28" t="s">
        <v>640</v>
      </c>
      <c r="AC1" s="28" t="s">
        <v>641</v>
      </c>
    </row>
    <row r="2" spans="1:29" hidden="1" x14ac:dyDescent="0.25">
      <c r="A2" s="19" t="s">
        <v>89</v>
      </c>
      <c r="B2" s="17" t="str">
        <f t="shared" ref="B2:B10" si="0">IF(ISNUMBER(SEARCH("[",A2)),IF(ISNUMBER(SEARCH("/",A2)),CONCATENATE(MID(A2,1,2)," ",(SUM(MID(A2,FIND("[",A2)+1,FIND(":",A2)-FIND("[",A2)-1),MID(A2,FIND("/",A2)+1,FIND(":",A2,FIND("/",A2))-FIND("/",A2)-1),MID(A2,FIND("[",A2,FIND("[",A2)+1)+1,(FIND(":",A2,FIND("[",A2))-FIND("[",A2)-1)),MID(A2,FIND("/",A2,FIND("/",A2)+1)+1,FIND(":",A2,FIND("/",A2,FIND("[",A2,FIND("[",A2)+1)+1))-FIND("/",A2,FIND("[",A2,FIND("[",A2)+1)+1)-1))),":",SUM(MID(A2,FIND(":",A2)+1,FIND("/",A2)-FIND(":",A2)-1),MID(A2,FIND(":",A2,FIND("/",A2))+1,FIND("]",A2)-FIND(":",A2,FIND("/",A2))-1),MID(A2,FIND(":",A2,FIND("[",A2,FIND("[",A2)+1))+1,(FIND("/",A2,FIND("[",A2,FIND("[",A2)+1)+1)-FIND(":",A2,FIND("[",A2,FIND("[",A2)+1))-1)),MID(A2,FIND(":",A2,FIND("/",A2,FIND("]",A2)+1))+1,(FIND("]",A2,FIND("[",A2,FIND("[",A2)+1)+1)-FIND(":",A2,FIND("/",A2,FIND("]",A2)+1))-1))),MID(A2,(FIND(")",A2)+1),100)),CONCATENATE(MID(A2,1,2)," ",(SUM(MID(A2,FIND("[",A2)+1,FIND(":",A2)-FIND("[",A2)-1),MID(A2,FIND("_",A2)+1,FIND(":",A2,FIND("_",A2))-FIND("_",A2)-1),MID(A2,FIND("[",A2,FIND("[",A2)+1)+1,(FIND(":",A2,FIND("[",A2))-FIND("[",A2)-1)),MID(A2,FIND("_",A2,FIND("_",A2)+1)+1,FIND(":",A2,FIND("_",A2,FIND("[",A2,FIND("[",A2)+1)+1))-FIND("_",A2,FIND("[",A2,FIND("[",A2)+1)+1)-1))),":",SUM(MID(A2,FIND(":",A2)+1,FIND("_",A2)-FIND(":",A2)-1),MID(A2,FIND(":",A2,FIND("_",A2))+1,FIND("]",A2)-FIND(":",A2,FIND("_",A2))-1),MID(A2,FIND(":",A2,FIND("[",A2,FIND("[",A2)+1))+1,(FIND("_",A2,FIND("[",A2,FIND("[",A2)+1)+1)-FIND(":",A2,FIND("[",A2,FIND("[",A2)+1))-1)),MID(A2,FIND(":",A2,FIND("_",A2,FIND("]",A2)+1))+1,(FIND("]",A2,FIND("[",A2,FIND("[",A2)+1)+1)-FIND(":",A2,FIND("_",A2,FIND("]",A2)+1))-1))),MID(A2,(FIND(")",A2)+1),100))),A2)</f>
        <v>CL 70:8__O__</v>
      </c>
      <c r="C2" s="1" t="str">
        <f t="shared" ref="C2:C10" si="1">MID(B2,4,FIND(":",B2)-FIND(" ",B2)-1)</f>
        <v>70</v>
      </c>
      <c r="D2" s="1" t="str">
        <f t="shared" ref="D2:D10" si="2">IF(ISNUMBER(SEARCH("__",B2)),MID(B2,FIND(":",B2)+1,FIND("__",B2)-FIND(":",B2)-1),MID(B2,FIND(":",B2)+1,7))</f>
        <v>8</v>
      </c>
      <c r="E2" s="17">
        <f t="shared" ref="E2" si="3">C2+9</f>
        <v>79</v>
      </c>
      <c r="F2" s="17">
        <f t="shared" ref="F2" si="4">2*E2-(2*D2)-4-((LEN(A2)-LEN(SUBSTITUTE(A2,"_O_","")))/LEN("_O_"))*2-((LEN(A2)-LEN(SUBSTITUTE(A2,"_CHO_","")))/LEN("_CHO_"))*2-((LEN(A2)-LEN(SUBSTITUTE(A2,"_COOH_","")))/LEN("_COOH_"))*2</f>
        <v>136</v>
      </c>
      <c r="G2" s="17">
        <v>0</v>
      </c>
      <c r="H2" s="17">
        <f t="shared" ref="H2" si="5">17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18</v>
      </c>
      <c r="I2" s="17">
        <v>2</v>
      </c>
      <c r="L2" s="19" t="str">
        <f t="shared" ref="L2" si="6">CONCATENATE("C",E2,"H",F2,"O",H2,"P",I2)</f>
        <v>C79H136O18P2</v>
      </c>
      <c r="M2" s="19">
        <f t="shared" ref="M2" si="7">(E2*12)+(F2*1.0078246)+(G2*14.003074)+(H2*15.994915)+(I2*30.973763)</f>
        <v>1434.9201416000001</v>
      </c>
      <c r="N2" s="19">
        <f t="shared" ref="N2:N15" si="8">M2+1.0078246-0.00055</f>
        <v>1435.9274162000002</v>
      </c>
      <c r="O2" s="46">
        <f t="shared" ref="O2:O15" si="9">N2-18.01057-0.00055</f>
        <v>1417.9162962000003</v>
      </c>
      <c r="P2" s="46">
        <f t="shared" ref="P2" si="10">M2+18.03437-0.00055</f>
        <v>1452.9539616000002</v>
      </c>
      <c r="Q2" s="46">
        <f t="shared" ref="Q2" si="11">M2+22.98977-0.00055</f>
        <v>1457.9093616</v>
      </c>
      <c r="R2" s="46">
        <f t="shared" ref="R2" si="12">M2+38.96371-0.00055</f>
        <v>1473.8833016000001</v>
      </c>
      <c r="S2" s="46">
        <f t="shared" ref="S2" si="13">M2+7.01601-0.00055</f>
        <v>1441.9356016000002</v>
      </c>
      <c r="T2" s="19">
        <f t="shared" ref="T2" si="14">M2-1.0078246+0.00055</f>
        <v>1433.912867</v>
      </c>
      <c r="U2" s="19">
        <f t="shared" ref="U2" si="15">M2+44.99767+0.00055</f>
        <v>1479.9183616</v>
      </c>
      <c r="V2" s="19">
        <f t="shared" ref="V2" si="16">M2+59.01332+0.00055</f>
        <v>1493.9340116000001</v>
      </c>
      <c r="Y2" s="46">
        <f t="shared" ref="Y2" si="17">V2+18.03437-0.00055</f>
        <v>1511.9678316000002</v>
      </c>
      <c r="Z2" s="46">
        <f t="shared" ref="Z2" si="18">V2+22.98977-0.00055</f>
        <v>1516.9232316</v>
      </c>
      <c r="AA2" s="46">
        <f t="shared" ref="AA2" si="19">V2+38.96371-0.00055</f>
        <v>1532.8971716000001</v>
      </c>
    </row>
    <row r="3" spans="1:29" x14ac:dyDescent="0.25">
      <c r="A3" s="19" t="s">
        <v>234</v>
      </c>
      <c r="B3" s="17" t="str">
        <f t="shared" si="0"/>
        <v>CL 46:2</v>
      </c>
      <c r="C3" s="1" t="str">
        <f t="shared" si="1"/>
        <v>46</v>
      </c>
      <c r="D3" s="1" t="str">
        <f t="shared" si="2"/>
        <v>2</v>
      </c>
      <c r="E3" s="17">
        <f t="shared" ref="E3:E5" si="20">C3+9</f>
        <v>55</v>
      </c>
      <c r="F3" s="17">
        <f t="shared" ref="F3:F5" si="21">2*E3-(2*D3)-4-((LEN(A3)-LEN(SUBSTITUTE(A3,"_O_","")))/LEN("_O_"))*2-((LEN(A3)-LEN(SUBSTITUTE(A3,"_CHO_","")))/LEN("_CHO_"))*2-((LEN(A3)-LEN(SUBSTITUTE(A3,"_COOH_","")))/LEN("_COOH_"))*2</f>
        <v>102</v>
      </c>
      <c r="G3" s="17">
        <v>0</v>
      </c>
      <c r="H3" s="17">
        <f t="shared" ref="H3:H5" si="22">17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17</v>
      </c>
      <c r="I3" s="17">
        <v>2</v>
      </c>
      <c r="L3" s="19" t="str">
        <f t="shared" ref="L3:L5" si="23">CONCATENATE("C",E3,"H",F3,"O",H3,"P",I3)</f>
        <v>C55H102O17P2</v>
      </c>
      <c r="M3" s="19">
        <f t="shared" ref="M3:M5" si="24">(E3*12)+(F3*1.0078246)+(G3*14.003074)+(H3*15.994915)+(I3*30.973763)</f>
        <v>1096.6591902</v>
      </c>
      <c r="N3" s="19">
        <f t="shared" si="8"/>
        <v>1097.6664648000001</v>
      </c>
      <c r="O3" s="46">
        <f t="shared" si="9"/>
        <v>1079.6553448000002</v>
      </c>
      <c r="P3" s="46">
        <f t="shared" ref="P3:P5" si="25">M3+18.03437-0.00055</f>
        <v>1114.6930102000001</v>
      </c>
      <c r="Q3" s="46">
        <f t="shared" ref="Q3:Q5" si="26">M3+22.98977-0.00055</f>
        <v>1119.6484101999999</v>
      </c>
      <c r="R3" s="46">
        <f t="shared" ref="R3:R5" si="27">M3+38.96371-0.00055</f>
        <v>1135.6223502</v>
      </c>
      <c r="S3" s="46">
        <f t="shared" ref="S3:S5" si="28">M3+7.01601-0.00055</f>
        <v>1103.6746502000001</v>
      </c>
      <c r="T3" s="19">
        <f t="shared" ref="T3:T5" si="29">M3-1.0078246+0.00055</f>
        <v>1095.6519155999999</v>
      </c>
      <c r="U3" s="19">
        <f t="shared" ref="U3:U5" si="30">M3+44.99767+0.00055</f>
        <v>1141.6574102</v>
      </c>
      <c r="V3" s="19">
        <f t="shared" ref="V3:V5" si="31">M3+59.01332+0.00055</f>
        <v>1155.6730602</v>
      </c>
      <c r="W3" s="46">
        <f t="shared" ref="W3:W5" si="32">(T3-1.0078246+0.00055)/2</f>
        <v>547.32232049999993</v>
      </c>
      <c r="Y3" s="46">
        <f>($M3+2*(18.03437-0.00055))/2</f>
        <v>566.3634151</v>
      </c>
      <c r="Z3" s="46">
        <f>($M3+2*(22.98977-0.00055))/2</f>
        <v>571.31881510000005</v>
      </c>
      <c r="AA3" s="46">
        <f>($M3+2*(38.96371-0.00055))/2</f>
        <v>587.29275510000002</v>
      </c>
      <c r="AB3" s="46">
        <f>($M3+1.0078246+22.98977-(2*0.00055))/2</f>
        <v>560.32784240000001</v>
      </c>
      <c r="AC3" s="46">
        <f t="shared" ref="AC3:AC66" si="33">($M3+1.0078246+38.96371-(2*0.00055))/2</f>
        <v>568.31481240000005</v>
      </c>
    </row>
    <row r="4" spans="1:29" x14ac:dyDescent="0.25">
      <c r="A4" s="19" t="s">
        <v>235</v>
      </c>
      <c r="B4" s="17" t="str">
        <f t="shared" si="0"/>
        <v>CL 46:1</v>
      </c>
      <c r="C4" s="1" t="str">
        <f t="shared" si="1"/>
        <v>46</v>
      </c>
      <c r="D4" s="1" t="str">
        <f t="shared" si="2"/>
        <v>1</v>
      </c>
      <c r="E4" s="17">
        <f t="shared" si="20"/>
        <v>55</v>
      </c>
      <c r="F4" s="17">
        <f t="shared" si="21"/>
        <v>104</v>
      </c>
      <c r="G4" s="17">
        <v>0</v>
      </c>
      <c r="H4" s="17">
        <f t="shared" si="22"/>
        <v>17</v>
      </c>
      <c r="I4" s="17">
        <v>2</v>
      </c>
      <c r="L4" s="19" t="str">
        <f t="shared" si="23"/>
        <v>C55H104O17P2</v>
      </c>
      <c r="M4" s="19">
        <f t="shared" si="24"/>
        <v>1098.6748393999999</v>
      </c>
      <c r="N4" s="19">
        <f t="shared" si="8"/>
        <v>1099.682114</v>
      </c>
      <c r="O4" s="46">
        <f t="shared" si="9"/>
        <v>1081.6709940000001</v>
      </c>
      <c r="P4" s="46">
        <f t="shared" si="25"/>
        <v>1116.7086594</v>
      </c>
      <c r="Q4" s="46">
        <f t="shared" si="26"/>
        <v>1121.6640593999998</v>
      </c>
      <c r="R4" s="46">
        <f t="shared" si="27"/>
        <v>1137.6379993999999</v>
      </c>
      <c r="S4" s="46">
        <f t="shared" si="28"/>
        <v>1105.6902994</v>
      </c>
      <c r="T4" s="19">
        <f t="shared" si="29"/>
        <v>1097.6675647999998</v>
      </c>
      <c r="U4" s="19">
        <f t="shared" si="30"/>
        <v>1143.6730593999998</v>
      </c>
      <c r="V4" s="19">
        <f t="shared" si="31"/>
        <v>1157.6887093999999</v>
      </c>
      <c r="W4" s="46">
        <f t="shared" si="32"/>
        <v>548.33014509999987</v>
      </c>
      <c r="Y4" s="46">
        <f t="shared" ref="Y4:Y67" si="34">($M4+2*(18.03437-0.00055))/2</f>
        <v>567.37123969999993</v>
      </c>
      <c r="Z4" s="46">
        <f t="shared" ref="Z4:Z67" si="35">($M4+2*(22.98977-0.00055))/2</f>
        <v>572.32663969999999</v>
      </c>
      <c r="AA4" s="46">
        <f t="shared" ref="AA4:AA67" si="36">($M4+2*(38.96371-0.00055))/2</f>
        <v>588.30057969999996</v>
      </c>
      <c r="AB4" s="46">
        <f t="shared" ref="AB4:AB67" si="37">($M4+1.0078246+22.98977-(2*0.00055))/2</f>
        <v>561.33566699999994</v>
      </c>
      <c r="AC4" s="46">
        <f t="shared" si="33"/>
        <v>569.32263699999999</v>
      </c>
    </row>
    <row r="5" spans="1:29" x14ac:dyDescent="0.25">
      <c r="A5" s="19" t="s">
        <v>236</v>
      </c>
      <c r="B5" s="17" t="str">
        <f t="shared" si="0"/>
        <v>CL 46:0</v>
      </c>
      <c r="C5" s="1" t="str">
        <f t="shared" si="1"/>
        <v>46</v>
      </c>
      <c r="D5" s="1" t="str">
        <f t="shared" si="2"/>
        <v>0</v>
      </c>
      <c r="E5" s="17">
        <f t="shared" si="20"/>
        <v>55</v>
      </c>
      <c r="F5" s="17">
        <f t="shared" si="21"/>
        <v>106</v>
      </c>
      <c r="G5" s="17">
        <v>0</v>
      </c>
      <c r="H5" s="17">
        <f t="shared" si="22"/>
        <v>17</v>
      </c>
      <c r="I5" s="17">
        <v>2</v>
      </c>
      <c r="L5" s="19" t="str">
        <f t="shared" si="23"/>
        <v>C55H106O17P2</v>
      </c>
      <c r="M5" s="19">
        <f t="shared" si="24"/>
        <v>1100.6904886</v>
      </c>
      <c r="N5" s="19">
        <f t="shared" si="8"/>
        <v>1101.6977632000001</v>
      </c>
      <c r="O5" s="46">
        <f t="shared" si="9"/>
        <v>1083.6866432000002</v>
      </c>
      <c r="P5" s="46">
        <f t="shared" si="25"/>
        <v>1118.7243086000001</v>
      </c>
      <c r="Q5" s="46">
        <f t="shared" si="26"/>
        <v>1123.6797085999999</v>
      </c>
      <c r="R5" s="46">
        <f t="shared" si="27"/>
        <v>1139.6536486</v>
      </c>
      <c r="S5" s="46">
        <f t="shared" si="28"/>
        <v>1107.7059486000001</v>
      </c>
      <c r="T5" s="19">
        <f t="shared" si="29"/>
        <v>1099.6832139999999</v>
      </c>
      <c r="U5" s="19">
        <f t="shared" si="30"/>
        <v>1145.6887085999999</v>
      </c>
      <c r="V5" s="19">
        <f t="shared" si="31"/>
        <v>1159.7043586</v>
      </c>
      <c r="W5" s="46">
        <f t="shared" si="32"/>
        <v>549.33796969999992</v>
      </c>
      <c r="Y5" s="46">
        <f t="shared" si="34"/>
        <v>568.37906429999998</v>
      </c>
      <c r="Z5" s="46">
        <f t="shared" si="35"/>
        <v>573.33446430000004</v>
      </c>
      <c r="AA5" s="46">
        <f t="shared" si="36"/>
        <v>589.30840430000001</v>
      </c>
      <c r="AB5" s="46">
        <f t="shared" si="37"/>
        <v>562.34349159999999</v>
      </c>
      <c r="AC5" s="46">
        <f t="shared" si="33"/>
        <v>570.33046160000004</v>
      </c>
    </row>
    <row r="6" spans="1:29" x14ac:dyDescent="0.25">
      <c r="A6" s="19" t="s">
        <v>233</v>
      </c>
      <c r="B6" s="17" t="str">
        <f t="shared" si="0"/>
        <v>CL 47:2</v>
      </c>
      <c r="C6" s="1" t="str">
        <f t="shared" si="1"/>
        <v>47</v>
      </c>
      <c r="D6" s="1" t="str">
        <f t="shared" si="2"/>
        <v>2</v>
      </c>
      <c r="E6" s="17">
        <f t="shared" ref="E6" si="38">C6+9</f>
        <v>56</v>
      </c>
      <c r="F6" s="17">
        <f t="shared" ref="F6" si="39">2*E6-(2*D6)-4-((LEN(A6)-LEN(SUBSTITUTE(A6,"_O_","")))/LEN("_O_"))*2-((LEN(A6)-LEN(SUBSTITUTE(A6,"_CHO_","")))/LEN("_CHO_"))*2-((LEN(A6)-LEN(SUBSTITUTE(A6,"_COOH_","")))/LEN("_COOH_"))*2</f>
        <v>104</v>
      </c>
      <c r="G6" s="17">
        <v>0</v>
      </c>
      <c r="H6" s="17">
        <f t="shared" ref="H6" si="40">17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17</v>
      </c>
      <c r="I6" s="17">
        <v>2</v>
      </c>
      <c r="L6" s="19" t="str">
        <f t="shared" ref="L6" si="41">CONCATENATE("C",E6,"H",F6,"O",H6,"P",I6)</f>
        <v>C56H104O17P2</v>
      </c>
      <c r="M6" s="19">
        <f t="shared" ref="M6" si="42">(E6*12)+(F6*1.0078246)+(G6*14.003074)+(H6*15.994915)+(I6*30.973763)</f>
        <v>1110.6748393999999</v>
      </c>
      <c r="N6" s="19">
        <f t="shared" si="8"/>
        <v>1111.682114</v>
      </c>
      <c r="O6" s="46">
        <f t="shared" si="9"/>
        <v>1093.6709940000001</v>
      </c>
      <c r="P6" s="46">
        <f t="shared" ref="P6" si="43">M6+18.03437-0.00055</f>
        <v>1128.7086594</v>
      </c>
      <c r="Q6" s="46">
        <f t="shared" ref="Q6" si="44">M6+22.98977-0.00055</f>
        <v>1133.6640593999998</v>
      </c>
      <c r="R6" s="46">
        <f t="shared" ref="R6" si="45">M6+38.96371-0.00055</f>
        <v>1149.6379993999999</v>
      </c>
      <c r="S6" s="46">
        <f t="shared" ref="S6" si="46">M6+7.01601-0.00055</f>
        <v>1117.6902994</v>
      </c>
      <c r="T6" s="19">
        <f t="shared" ref="T6" si="47">M6-1.0078246+0.00055</f>
        <v>1109.6675647999998</v>
      </c>
      <c r="U6" s="19">
        <f t="shared" ref="U6" si="48">M6+44.99767+0.00055</f>
        <v>1155.6730593999998</v>
      </c>
      <c r="V6" s="19">
        <f t="shared" ref="V6" si="49">M6+59.01332+0.00055</f>
        <v>1169.6887093999999</v>
      </c>
      <c r="W6" s="46">
        <f t="shared" ref="W6:W8" si="50">(T6-1.0078246+0.00055)/2</f>
        <v>554.33014509999987</v>
      </c>
      <c r="Y6" s="46">
        <f t="shared" si="34"/>
        <v>573.37123969999993</v>
      </c>
      <c r="Z6" s="46">
        <f t="shared" si="35"/>
        <v>578.32663969999999</v>
      </c>
      <c r="AA6" s="46">
        <f t="shared" si="36"/>
        <v>594.30057969999996</v>
      </c>
      <c r="AB6" s="46">
        <f t="shared" si="37"/>
        <v>567.33566699999994</v>
      </c>
      <c r="AC6" s="46">
        <f t="shared" si="33"/>
        <v>575.32263699999999</v>
      </c>
    </row>
    <row r="7" spans="1:29" x14ac:dyDescent="0.25">
      <c r="A7" s="19" t="s">
        <v>232</v>
      </c>
      <c r="B7" s="17" t="str">
        <f t="shared" si="0"/>
        <v>CL 47:1</v>
      </c>
      <c r="C7" s="1" t="str">
        <f t="shared" si="1"/>
        <v>47</v>
      </c>
      <c r="D7" s="1" t="str">
        <f t="shared" si="2"/>
        <v>1</v>
      </c>
      <c r="E7" s="17">
        <f t="shared" ref="E7" si="51">C7+9</f>
        <v>56</v>
      </c>
      <c r="F7" s="17">
        <f t="shared" ref="F7" si="52">2*E7-(2*D7)-4-((LEN(A7)-LEN(SUBSTITUTE(A7,"_O_","")))/LEN("_O_"))*2-((LEN(A7)-LEN(SUBSTITUTE(A7,"_CHO_","")))/LEN("_CHO_"))*2-((LEN(A7)-LEN(SUBSTITUTE(A7,"_COOH_","")))/LEN("_COOH_"))*2</f>
        <v>106</v>
      </c>
      <c r="G7" s="17">
        <v>0</v>
      </c>
      <c r="H7" s="17">
        <f t="shared" ref="H7" si="53">17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17</v>
      </c>
      <c r="I7" s="17">
        <v>2</v>
      </c>
      <c r="L7" s="19" t="str">
        <f t="shared" ref="L7" si="54">CONCATENATE("C",E7,"H",F7,"O",H7,"P",I7)</f>
        <v>C56H106O17P2</v>
      </c>
      <c r="M7" s="19">
        <f t="shared" ref="M7" si="55">(E7*12)+(F7*1.0078246)+(G7*14.003074)+(H7*15.994915)+(I7*30.973763)</f>
        <v>1112.6904886</v>
      </c>
      <c r="N7" s="19">
        <f t="shared" si="8"/>
        <v>1113.6977632000001</v>
      </c>
      <c r="O7" s="46">
        <f t="shared" si="9"/>
        <v>1095.6866432000002</v>
      </c>
      <c r="P7" s="46">
        <f t="shared" ref="P7" si="56">M7+18.03437-0.00055</f>
        <v>1130.7243086000001</v>
      </c>
      <c r="Q7" s="46">
        <f t="shared" ref="Q7" si="57">M7+22.98977-0.00055</f>
        <v>1135.6797085999999</v>
      </c>
      <c r="R7" s="46">
        <f t="shared" ref="R7" si="58">M7+38.96371-0.00055</f>
        <v>1151.6536486</v>
      </c>
      <c r="S7" s="46">
        <f t="shared" ref="S7" si="59">M7+7.01601-0.00055</f>
        <v>1119.7059486000001</v>
      </c>
      <c r="T7" s="19">
        <f t="shared" ref="T7" si="60">M7-1.0078246+0.00055</f>
        <v>1111.6832139999999</v>
      </c>
      <c r="U7" s="19">
        <f t="shared" ref="U7" si="61">M7+44.99767+0.00055</f>
        <v>1157.6887085999999</v>
      </c>
      <c r="V7" s="19">
        <f t="shared" ref="V7" si="62">M7+59.01332+0.00055</f>
        <v>1171.7043586</v>
      </c>
      <c r="W7" s="46">
        <f t="shared" si="50"/>
        <v>555.33796969999992</v>
      </c>
      <c r="Y7" s="46">
        <f t="shared" si="34"/>
        <v>574.37906429999998</v>
      </c>
      <c r="Z7" s="46">
        <f t="shared" si="35"/>
        <v>579.33446430000004</v>
      </c>
      <c r="AA7" s="46">
        <f t="shared" si="36"/>
        <v>595.30840430000001</v>
      </c>
      <c r="AB7" s="46">
        <f t="shared" si="37"/>
        <v>568.34349159999999</v>
      </c>
      <c r="AC7" s="46">
        <f t="shared" si="33"/>
        <v>576.33046160000004</v>
      </c>
    </row>
    <row r="8" spans="1:29" x14ac:dyDescent="0.25">
      <c r="A8" s="19" t="s">
        <v>231</v>
      </c>
      <c r="B8" s="17" t="str">
        <f t="shared" si="0"/>
        <v>CL 47:0</v>
      </c>
      <c r="C8" s="1" t="str">
        <f t="shared" si="1"/>
        <v>47</v>
      </c>
      <c r="D8" s="1" t="str">
        <f t="shared" si="2"/>
        <v>0</v>
      </c>
      <c r="E8" s="17">
        <f t="shared" ref="E8" si="63">C8+9</f>
        <v>56</v>
      </c>
      <c r="F8" s="17">
        <f t="shared" ref="F8" si="64">2*E8-(2*D8)-4-((LEN(A8)-LEN(SUBSTITUTE(A8,"_O_","")))/LEN("_O_"))*2-((LEN(A8)-LEN(SUBSTITUTE(A8,"_CHO_","")))/LEN("_CHO_"))*2-((LEN(A8)-LEN(SUBSTITUTE(A8,"_COOH_","")))/LEN("_COOH_"))*2</f>
        <v>108</v>
      </c>
      <c r="G8" s="17">
        <v>0</v>
      </c>
      <c r="H8" s="17">
        <f t="shared" ref="H8" si="65">17+((LEN(A8)-LEN(SUBSTITUTE(A8,"_OH_","")))/LEN("_OH_"))*1+((LEN(A8)-LEN(SUBSTITUTE(A8,"_OOH_","")))/LEN("_OOH_"))*2+((LEN(A8)-LEN(SUBSTITUTE(A8,"_O_","")))/LEN("_O_"))*1+((LEN(A8)-LEN(SUBSTITUTE(A8,"_CHO_","")))/LEN("_CHO_"))*1+((LEN(A8)-LEN(SUBSTITUTE(A8,"_COOH_","")))/LEN("_COOH_"))*2</f>
        <v>17</v>
      </c>
      <c r="I8" s="17">
        <v>2</v>
      </c>
      <c r="L8" s="19" t="str">
        <f t="shared" ref="L8" si="66">CONCATENATE("C",E8,"H",F8,"O",H8,"P",I8)</f>
        <v>C56H108O17P2</v>
      </c>
      <c r="M8" s="19">
        <f t="shared" ref="M8" si="67">(E8*12)+(F8*1.0078246)+(G8*14.003074)+(H8*15.994915)+(I8*30.973763)</f>
        <v>1114.7061377999999</v>
      </c>
      <c r="N8" s="19">
        <f t="shared" si="8"/>
        <v>1115.7134123999999</v>
      </c>
      <c r="O8" s="46">
        <f t="shared" si="9"/>
        <v>1097.7022924</v>
      </c>
      <c r="P8" s="46">
        <f t="shared" ref="P8" si="68">M8+18.03437-0.00055</f>
        <v>1132.7399578</v>
      </c>
      <c r="Q8" s="46">
        <f t="shared" ref="Q8" si="69">M8+22.98977-0.00055</f>
        <v>1137.6953577999998</v>
      </c>
      <c r="R8" s="46">
        <f t="shared" ref="R8" si="70">M8+38.96371-0.00055</f>
        <v>1153.6692977999999</v>
      </c>
      <c r="S8" s="46">
        <f t="shared" ref="S8" si="71">M8+7.01601-0.00055</f>
        <v>1121.7215977999999</v>
      </c>
      <c r="T8" s="19">
        <f t="shared" ref="T8" si="72">M8-1.0078246+0.00055</f>
        <v>1113.6988631999998</v>
      </c>
      <c r="U8" s="19">
        <f t="shared" ref="U8" si="73">M8+44.99767+0.00055</f>
        <v>1159.7043577999998</v>
      </c>
      <c r="V8" s="19">
        <f t="shared" ref="V8" si="74">M8+59.01332+0.00055</f>
        <v>1173.7200077999998</v>
      </c>
      <c r="W8" s="46">
        <f t="shared" si="50"/>
        <v>556.34579429999985</v>
      </c>
      <c r="Y8" s="46">
        <f t="shared" si="34"/>
        <v>575.38688889999992</v>
      </c>
      <c r="Z8" s="46">
        <f t="shared" si="35"/>
        <v>580.34228889999997</v>
      </c>
      <c r="AA8" s="46">
        <f t="shared" si="36"/>
        <v>596.31622889999994</v>
      </c>
      <c r="AB8" s="46">
        <f t="shared" si="37"/>
        <v>569.35131619999993</v>
      </c>
      <c r="AC8" s="46">
        <f t="shared" si="33"/>
        <v>577.33828619999997</v>
      </c>
    </row>
    <row r="9" spans="1:29" x14ac:dyDescent="0.25">
      <c r="A9" s="19" t="s">
        <v>222</v>
      </c>
      <c r="B9" s="17" t="str">
        <f t="shared" si="0"/>
        <v>CL 48:2</v>
      </c>
      <c r="C9" s="1" t="str">
        <f t="shared" si="1"/>
        <v>48</v>
      </c>
      <c r="D9" s="1" t="str">
        <f t="shared" si="2"/>
        <v>2</v>
      </c>
      <c r="E9" s="17">
        <f t="shared" ref="E9" si="75">C9+9</f>
        <v>57</v>
      </c>
      <c r="F9" s="17">
        <f t="shared" ref="F9" si="76">2*E9-(2*D9)-4-((LEN(A9)-LEN(SUBSTITUTE(A9,"_O_","")))/LEN("_O_"))*2-((LEN(A9)-LEN(SUBSTITUTE(A9,"_CHO_","")))/LEN("_CHO_"))*2-((LEN(A9)-LEN(SUBSTITUTE(A9,"_COOH_","")))/LEN("_COOH_"))*2</f>
        <v>106</v>
      </c>
      <c r="G9" s="17">
        <v>0</v>
      </c>
      <c r="H9" s="17">
        <f t="shared" ref="H9" si="77">17+((LEN(A9)-LEN(SUBSTITUTE(A9,"_OH_","")))/LEN("_OH_"))*1+((LEN(A9)-LEN(SUBSTITUTE(A9,"_OOH_","")))/LEN("_OOH_"))*2+((LEN(A9)-LEN(SUBSTITUTE(A9,"_O_","")))/LEN("_O_"))*1+((LEN(A9)-LEN(SUBSTITUTE(A9,"_CHO_","")))/LEN("_CHO_"))*1+((LEN(A9)-LEN(SUBSTITUTE(A9,"_COOH_","")))/LEN("_COOH_"))*2</f>
        <v>17</v>
      </c>
      <c r="I9" s="17">
        <v>2</v>
      </c>
      <c r="L9" s="19" t="str">
        <f t="shared" ref="L9" si="78">CONCATENATE("C",E9,"H",F9,"O",H9,"P",I9)</f>
        <v>C57H106O17P2</v>
      </c>
      <c r="M9" s="19">
        <f t="shared" ref="M9" si="79">(E9*12)+(F9*1.0078246)+(G9*14.003074)+(H9*15.994915)+(I9*30.973763)</f>
        <v>1124.6904886</v>
      </c>
      <c r="N9" s="19">
        <f t="shared" si="8"/>
        <v>1125.6977632000001</v>
      </c>
      <c r="O9" s="46">
        <f t="shared" si="9"/>
        <v>1107.6866432000002</v>
      </c>
      <c r="P9" s="46">
        <f t="shared" ref="P9" si="80">M9+18.03437-0.00055</f>
        <v>1142.7243086000001</v>
      </c>
      <c r="Q9" s="46">
        <f t="shared" ref="Q9" si="81">M9+22.98977-0.00055</f>
        <v>1147.6797085999999</v>
      </c>
      <c r="R9" s="46">
        <f t="shared" ref="R9" si="82">M9+38.96371-0.00055</f>
        <v>1163.6536486</v>
      </c>
      <c r="S9" s="46">
        <f t="shared" ref="S9" si="83">M9+7.01601-0.00055</f>
        <v>1131.7059486000001</v>
      </c>
      <c r="T9" s="19">
        <f t="shared" ref="T9" si="84">M9-1.0078246+0.00055</f>
        <v>1123.6832139999999</v>
      </c>
      <c r="U9" s="19">
        <f t="shared" ref="U9" si="85">M9+44.99767+0.00055</f>
        <v>1169.6887085999999</v>
      </c>
      <c r="V9" s="19">
        <f t="shared" ref="V9" si="86">M9+59.01332+0.00055</f>
        <v>1183.7043586</v>
      </c>
      <c r="W9" s="46">
        <f t="shared" ref="W9:W118" si="87">(T9-1.0078246+0.00055)/2</f>
        <v>561.33796969999992</v>
      </c>
      <c r="Y9" s="46">
        <f t="shared" si="34"/>
        <v>580.37906429999998</v>
      </c>
      <c r="Z9" s="46">
        <f t="shared" si="35"/>
        <v>585.33446430000004</v>
      </c>
      <c r="AA9" s="46">
        <f t="shared" si="36"/>
        <v>601.30840430000001</v>
      </c>
      <c r="AB9" s="46">
        <f t="shared" si="37"/>
        <v>574.34349159999999</v>
      </c>
      <c r="AC9" s="46">
        <f t="shared" si="33"/>
        <v>582.33046160000004</v>
      </c>
    </row>
    <row r="10" spans="1:29" x14ac:dyDescent="0.25">
      <c r="A10" s="19" t="s">
        <v>202</v>
      </c>
      <c r="B10" s="17" t="str">
        <f t="shared" si="0"/>
        <v>CL 48:1</v>
      </c>
      <c r="C10" s="1" t="str">
        <f t="shared" si="1"/>
        <v>48</v>
      </c>
      <c r="D10" s="1" t="str">
        <f t="shared" si="2"/>
        <v>1</v>
      </c>
      <c r="E10" s="17">
        <f t="shared" ref="E10" si="88">C10+9</f>
        <v>57</v>
      </c>
      <c r="F10" s="17">
        <f t="shared" ref="F10" si="89">2*E10-(2*D10)-4-((LEN(A10)-LEN(SUBSTITUTE(A10,"_O_","")))/LEN("_O_"))*2-((LEN(A10)-LEN(SUBSTITUTE(A10,"_CHO_","")))/LEN("_CHO_"))*2-((LEN(A10)-LEN(SUBSTITUTE(A10,"_COOH_","")))/LEN("_COOH_"))*2</f>
        <v>108</v>
      </c>
      <c r="G10" s="17">
        <v>0</v>
      </c>
      <c r="H10" s="17">
        <f t="shared" ref="H10" si="90">17+((LEN(A10)-LEN(SUBSTITUTE(A10,"_OH_","")))/LEN("_OH_"))*1+((LEN(A10)-LEN(SUBSTITUTE(A10,"_OOH_","")))/LEN("_OOH_"))*2+((LEN(A10)-LEN(SUBSTITUTE(A10,"_O_","")))/LEN("_O_"))*1+((LEN(A10)-LEN(SUBSTITUTE(A10,"_CHO_","")))/LEN("_CHO_"))*1+((LEN(A10)-LEN(SUBSTITUTE(A10,"_COOH_","")))/LEN("_COOH_"))*2</f>
        <v>17</v>
      </c>
      <c r="I10" s="17">
        <v>2</v>
      </c>
      <c r="L10" s="19" t="str">
        <f t="shared" ref="L10" si="91">CONCATENATE("C",E10,"H",F10,"O",H10,"P",I10)</f>
        <v>C57H108O17P2</v>
      </c>
      <c r="M10" s="19">
        <f t="shared" ref="M10" si="92">(E10*12)+(F10*1.0078246)+(G10*14.003074)+(H10*15.994915)+(I10*30.973763)</f>
        <v>1126.7061377999999</v>
      </c>
      <c r="N10" s="19">
        <f t="shared" si="8"/>
        <v>1127.7134123999999</v>
      </c>
      <c r="O10" s="46">
        <f t="shared" si="9"/>
        <v>1109.7022924</v>
      </c>
      <c r="P10" s="46">
        <f t="shared" ref="P10" si="93">M10+18.03437-0.00055</f>
        <v>1144.7399578</v>
      </c>
      <c r="Q10" s="46">
        <f t="shared" ref="Q10" si="94">M10+22.98977-0.00055</f>
        <v>1149.6953577999998</v>
      </c>
      <c r="R10" s="46">
        <f t="shared" ref="R10" si="95">M10+38.96371-0.00055</f>
        <v>1165.6692977999999</v>
      </c>
      <c r="S10" s="46">
        <f t="shared" ref="S10" si="96">M10+7.01601-0.00055</f>
        <v>1133.7215977999999</v>
      </c>
      <c r="T10" s="19">
        <f t="shared" ref="T10" si="97">M10-1.0078246+0.00055</f>
        <v>1125.6988631999998</v>
      </c>
      <c r="U10" s="19">
        <f t="shared" ref="U10" si="98">M10+44.99767+0.00055</f>
        <v>1171.7043577999998</v>
      </c>
      <c r="V10" s="19">
        <f t="shared" ref="V10" si="99">M10+59.01332+0.00055</f>
        <v>1185.7200077999998</v>
      </c>
      <c r="W10" s="46">
        <f t="shared" si="87"/>
        <v>562.34579429999985</v>
      </c>
      <c r="Y10" s="46">
        <f t="shared" si="34"/>
        <v>581.38688889999992</v>
      </c>
      <c r="Z10" s="46">
        <f t="shared" si="35"/>
        <v>586.34228889999997</v>
      </c>
      <c r="AA10" s="46">
        <f t="shared" si="36"/>
        <v>602.31622889999994</v>
      </c>
      <c r="AB10" s="46">
        <f t="shared" si="37"/>
        <v>575.35131619999993</v>
      </c>
      <c r="AC10" s="46">
        <f t="shared" si="33"/>
        <v>583.33828619999997</v>
      </c>
    </row>
    <row r="11" spans="1:29" x14ac:dyDescent="0.25">
      <c r="A11" s="20" t="s">
        <v>156</v>
      </c>
      <c r="B11" s="17" t="str">
        <f t="shared" ref="B11:B131" si="100">IF(ISNUMBER(SEARCH("[",A11)),IF(ISNUMBER(SEARCH("/",A11)),CONCATENATE(MID(A11,1,2)," ",(SUM(MID(A11,FIND("[",A11)+1,FIND(":",A11)-FIND("[",A11)-1),MID(A11,FIND("/",A11)+1,FIND(":",A11,FIND("/",A11))-FIND("/",A11)-1),MID(A11,FIND("[",A11,FIND("[",A11)+1)+1,(FIND(":",A11,FIND("[",A11))-FIND("[",A11)-1)),MID(A11,FIND("/",A11,FIND("/",A11)+1)+1,FIND(":",A11,FIND("/",A11,FIND("[",A11,FIND("[",A11)+1)+1))-FIND("/",A11,FIND("[",A11,FIND("[",A11)+1)+1)-1))),":",SUM(MID(A11,FIND(":",A11)+1,FIND("/",A11)-FIND(":",A11)-1),MID(A11,FIND(":",A11,FIND("/",A11))+1,FIND("]",A11)-FIND(":",A11,FIND("/",A11))-1),MID(A11,FIND(":",A11,FIND("[",A11,FIND("[",A11)+1))+1,(FIND("/",A11,FIND("[",A11,FIND("[",A11)+1)+1)-FIND(":",A11,FIND("[",A11,FIND("[",A11)+1))-1)),MID(A11,FIND(":",A11,FIND("/",A11,FIND("]",A11)+1))+1,(FIND("]",A11,FIND("[",A11,FIND("[",A11)+1)+1)-FIND(":",A11,FIND("/",A11,FIND("]",A11)+1))-1))),MID(A11,(FIND(")",A11)+1),100)),CONCATENATE(MID(A11,1,2)," ",(SUM(MID(A11,FIND("[",A11)+1,FIND(":",A11)-FIND("[",A11)-1),MID(A11,FIND("_",A11)+1,FIND(":",A11,FIND("_",A11))-FIND("_",A11)-1),MID(A11,FIND("[",A11,FIND("[",A11)+1)+1,(FIND(":",A11,FIND("[",A11))-FIND("[",A11)-1)),MID(A11,FIND("_",A11,FIND("_",A11)+1)+1,FIND(":",A11,FIND("_",A11,FIND("[",A11,FIND("[",A11)+1)+1))-FIND("_",A11,FIND("[",A11,FIND("[",A11)+1)+1)-1))),":",SUM(MID(A11,FIND(":",A11)+1,FIND("_",A11)-FIND(":",A11)-1),MID(A11,FIND(":",A11,FIND("_",A11))+1,FIND("]",A11)-FIND(":",A11,FIND("_",A11))-1),MID(A11,FIND(":",A11,FIND("[",A11,FIND("[",A11)+1))+1,(FIND("_",A11,FIND("[",A11,FIND("[",A11)+1)+1)-FIND(":",A11,FIND("[",A11,FIND("[",A11)+1))-1)),MID(A11,FIND(":",A11,FIND("_",A11,FIND("]",A11)+1))+1,(FIND("]",A11,FIND("[",A11,FIND("[",A11)+1)+1)-FIND(":",A11,FIND("_",A11,FIND("]",A11)+1))-1))),MID(A11,(FIND(")",A11)+1),100))),A11)</f>
        <v>CL 48:0</v>
      </c>
      <c r="C11" s="1" t="str">
        <f t="shared" ref="C11:C131" si="101">MID(B11,4,FIND(":",B11)-FIND(" ",B11)-1)</f>
        <v>48</v>
      </c>
      <c r="D11" s="1" t="str">
        <f t="shared" ref="D11:D131" si="102">IF(ISNUMBER(SEARCH("__",B11)),MID(B11,FIND(":",B11)+1,FIND("__",B11)-FIND(":",B11)-1),MID(B11,FIND(":",B11)+1,7))</f>
        <v>0</v>
      </c>
      <c r="E11" s="17">
        <f t="shared" ref="E11:E131" si="103">C11+9</f>
        <v>57</v>
      </c>
      <c r="F11" s="17">
        <f t="shared" ref="F11:F131" si="104">2*E11-(2*D11)-4-((LEN(A11)-LEN(SUBSTITUTE(A11,"_O_","")))/LEN("_O_"))*2-((LEN(A11)-LEN(SUBSTITUTE(A11,"_CHO_","")))/LEN("_CHO_"))*2-((LEN(A11)-LEN(SUBSTITUTE(A11,"_COOH_","")))/LEN("_COOH_"))*2</f>
        <v>110</v>
      </c>
      <c r="G11" s="17">
        <v>0</v>
      </c>
      <c r="H11" s="17">
        <f t="shared" ref="H11:H131" si="105">17+((LEN(A11)-LEN(SUBSTITUTE(A11,"_OH_","")))/LEN("_OH_"))*1+((LEN(A11)-LEN(SUBSTITUTE(A11,"_OOH_","")))/LEN("_OOH_"))*2+((LEN(A11)-LEN(SUBSTITUTE(A11,"_O_","")))/LEN("_O_"))*1+((LEN(A11)-LEN(SUBSTITUTE(A11,"_CHO_","")))/LEN("_CHO_"))*1+((LEN(A11)-LEN(SUBSTITUTE(A11,"_COOH_","")))/LEN("_COOH_"))*2</f>
        <v>17</v>
      </c>
      <c r="I11" s="17">
        <v>2</v>
      </c>
      <c r="L11" s="19" t="str">
        <f t="shared" ref="L11:L117" si="106">CONCATENATE("C",E11,"H",F11,"O",H11,"P",I11)</f>
        <v>C57H110O17P2</v>
      </c>
      <c r="M11" s="19">
        <f t="shared" ref="M11:M117" si="107">(E11*12)+(F11*1.0078246)+(G11*14.003074)+(H11*15.994915)+(I11*30.973763)</f>
        <v>1128.7217869999999</v>
      </c>
      <c r="N11" s="19">
        <f t="shared" ref="N11:N117" si="108">M11+1.0078246-0.00055</f>
        <v>1129.7290616</v>
      </c>
      <c r="O11" s="46">
        <f t="shared" ref="O11:O117" si="109">N11-18.01057-0.00055</f>
        <v>1111.7179416000001</v>
      </c>
      <c r="P11" s="46">
        <f t="shared" ref="P11:P117" si="110">M11+18.03437-0.00055</f>
        <v>1146.7556070000001</v>
      </c>
      <c r="Q11" s="46">
        <f t="shared" ref="Q11:Q117" si="111">M11+22.98977-0.00055</f>
        <v>1151.7110069999999</v>
      </c>
      <c r="R11" s="46">
        <f t="shared" ref="R11:R117" si="112">M11+38.96371-0.00055</f>
        <v>1167.684947</v>
      </c>
      <c r="S11" s="46">
        <f t="shared" ref="S11:S117" si="113">M11+7.01601-0.00055</f>
        <v>1135.737247</v>
      </c>
      <c r="T11" s="19">
        <f t="shared" ref="T11:T117" si="114">M11-1.0078246+0.00055</f>
        <v>1127.7145123999999</v>
      </c>
      <c r="U11" s="19">
        <f t="shared" ref="U11:U117" si="115">M11+44.99767+0.00055</f>
        <v>1173.7200069999999</v>
      </c>
      <c r="V11" s="19">
        <f t="shared" ref="V11:V117" si="116">M11+59.01332+0.00055</f>
        <v>1187.7356569999999</v>
      </c>
      <c r="W11" s="46">
        <f t="shared" si="87"/>
        <v>563.3536188999999</v>
      </c>
      <c r="Y11" s="46">
        <f t="shared" si="34"/>
        <v>582.39471349999997</v>
      </c>
      <c r="Z11" s="46">
        <f t="shared" si="35"/>
        <v>587.35011350000002</v>
      </c>
      <c r="AA11" s="46">
        <f t="shared" si="36"/>
        <v>603.32405349999999</v>
      </c>
      <c r="AB11" s="46">
        <f t="shared" si="37"/>
        <v>576.35914079999998</v>
      </c>
      <c r="AC11" s="46">
        <f t="shared" si="33"/>
        <v>584.34611080000002</v>
      </c>
    </row>
    <row r="12" spans="1:29" x14ac:dyDescent="0.25">
      <c r="A12" s="20" t="s">
        <v>223</v>
      </c>
      <c r="B12" s="17" t="str">
        <f>IF(ISNUMBER(SEARCH("[",A12)),IF(ISNUMBER(SEARCH("/",A12)),CONCATENATE(MID(A12,1,2)," ",(SUM(MID(A12,FIND("[",A12)+1,FIND(":",A12)-FIND("[",A12)-1),MID(A12,FIND("/",A12)+1,FIND(":",A12,FIND("/",A12))-FIND("/",A12)-1),MID(A12,FIND("[",A12,FIND("[",A12)+1)+1,(FIND(":",A12,FIND("[",A12))-FIND("[",A12)-1)),MID(A12,FIND("/",A12,FIND("/",A12)+1)+1,FIND(":",A12,FIND("/",A12,FIND("[",A12,FIND("[",A12)+1)+1))-FIND("/",A12,FIND("[",A12,FIND("[",A12)+1)+1)-1))),":",SUM(MID(A12,FIND(":",A12)+1,FIND("/",A12)-FIND(":",A12)-1),MID(A12,FIND(":",A12,FIND("/",A12))+1,FIND("]",A12)-FIND(":",A12,FIND("/",A12))-1),MID(A12,FIND(":",A12,FIND("[",A12,FIND("[",A12)+1))+1,(FIND("/",A12,FIND("[",A12,FIND("[",A12)+1)+1)-FIND(":",A12,FIND("[",A12,FIND("[",A12)+1))-1)),MID(A12,FIND(":",A12,FIND("/",A12,FIND("]",A12)+1))+1,(FIND("]",A12,FIND("[",A12,FIND("[",A12)+1)+1)-FIND(":",A12,FIND("/",A12,FIND("]",A12)+1))-1))),MID(A12,(FIND(")",A12)+1),100)),CONCATENATE(MID(A12,1,2)," ",(SUM(MID(A12,FIND("[",A12)+1,FIND(":",A12)-FIND("[",A12)-1),MID(A12,FIND("_",A12)+1,FIND(":",A12,FIND("_",A12))-FIND("_",A12)-1),MID(A12,FIND("[",A12,FIND("[",A12)+1)+1,(FIND(":",A12,FIND("[",A12))-FIND("[",A12)-1)),MID(A12,FIND("_",A12,FIND("_",A12)+1)+1,FIND(":",A12,FIND("_",A12,FIND("[",A12,FIND("[",A12)+1)+1))-FIND("_",A12,FIND("[",A12,FIND("[",A12)+1)+1)-1))),":",SUM(MID(A12,FIND(":",A12)+1,FIND("_",A12)-FIND(":",A12)-1),MID(A12,FIND(":",A12,FIND("_",A12))+1,FIND("]",A12)-FIND(":",A12,FIND("_",A12))-1),MID(A12,FIND(":",A12,FIND("[",A12,FIND("[",A12)+1))+1,(FIND("_",A12,FIND("[",A12,FIND("[",A12)+1)+1)-FIND(":",A12,FIND("[",A12,FIND("[",A12)+1))-1)),MID(A12,FIND(":",A12,FIND("_",A12,FIND("]",A12)+1))+1,(FIND("]",A12,FIND("[",A12,FIND("[",A12)+1)+1)-FIND(":",A12,FIND("_",A12,FIND("]",A12)+1))-1))),MID(A12,(FIND(")",A12)+1),100))),A12)</f>
        <v>CL 49:2</v>
      </c>
      <c r="C12" s="1" t="str">
        <f>MID(B12,4,FIND(":",B12)-FIND(" ",B12)-1)</f>
        <v>49</v>
      </c>
      <c r="D12" s="1" t="str">
        <f>IF(ISNUMBER(SEARCH("__",B12)),MID(B12,FIND(":",B12)+1,FIND("__",B12)-FIND(":",B12)-1),MID(B12,FIND(":",B12)+1,7))</f>
        <v>2</v>
      </c>
      <c r="E12" s="17">
        <f t="shared" si="103"/>
        <v>58</v>
      </c>
      <c r="F12" s="17">
        <f t="shared" si="104"/>
        <v>108</v>
      </c>
      <c r="G12" s="17">
        <v>0</v>
      </c>
      <c r="H12" s="17">
        <f t="shared" si="105"/>
        <v>17</v>
      </c>
      <c r="I12" s="17">
        <v>2</v>
      </c>
      <c r="L12" s="19" t="str">
        <f t="shared" si="106"/>
        <v>C58H108O17P2</v>
      </c>
      <c r="M12" s="19">
        <f t="shared" si="107"/>
        <v>1138.7061377999999</v>
      </c>
      <c r="N12" s="19">
        <f t="shared" si="8"/>
        <v>1139.7134123999999</v>
      </c>
      <c r="O12" s="46">
        <f t="shared" si="9"/>
        <v>1121.7022924</v>
      </c>
      <c r="P12" s="46">
        <f t="shared" si="110"/>
        <v>1156.7399578</v>
      </c>
      <c r="Q12" s="46">
        <f t="shared" si="111"/>
        <v>1161.6953577999998</v>
      </c>
      <c r="R12" s="46">
        <f t="shared" si="112"/>
        <v>1177.6692977999999</v>
      </c>
      <c r="S12" s="46">
        <f t="shared" si="113"/>
        <v>1145.7215977999999</v>
      </c>
      <c r="T12" s="19">
        <f t="shared" si="114"/>
        <v>1137.6988631999998</v>
      </c>
      <c r="U12" s="19">
        <f t="shared" si="115"/>
        <v>1183.7043577999998</v>
      </c>
      <c r="V12" s="19">
        <f t="shared" si="116"/>
        <v>1197.7200077999998</v>
      </c>
      <c r="W12" s="46">
        <f t="shared" si="87"/>
        <v>568.34579429999985</v>
      </c>
      <c r="Y12" s="46">
        <f t="shared" si="34"/>
        <v>587.38688889999992</v>
      </c>
      <c r="Z12" s="46">
        <f t="shared" si="35"/>
        <v>592.34228889999997</v>
      </c>
      <c r="AA12" s="46">
        <f t="shared" si="36"/>
        <v>608.31622889999994</v>
      </c>
      <c r="AB12" s="46">
        <f t="shared" si="37"/>
        <v>581.35131619999993</v>
      </c>
      <c r="AC12" s="46">
        <f t="shared" si="33"/>
        <v>589.33828619999997</v>
      </c>
    </row>
    <row r="13" spans="1:29" x14ac:dyDescent="0.25">
      <c r="A13" s="20" t="s">
        <v>201</v>
      </c>
      <c r="B13" s="17" t="str">
        <f>IF(ISNUMBER(SEARCH("[",A13)),IF(ISNUMBER(SEARCH("/",A13)),CONCATENATE(MID(A13,1,2)," ",(SUM(MID(A13,FIND("[",A13)+1,FIND(":",A13)-FIND("[",A13)-1),MID(A13,FIND("/",A13)+1,FIND(":",A13,FIND("/",A13))-FIND("/",A13)-1),MID(A13,FIND("[",A13,FIND("[",A13)+1)+1,(FIND(":",A13,FIND("[",A13))-FIND("[",A13)-1)),MID(A13,FIND("/",A13,FIND("/",A13)+1)+1,FIND(":",A13,FIND("/",A13,FIND("[",A13,FIND("[",A13)+1)+1))-FIND("/",A13,FIND("[",A13,FIND("[",A13)+1)+1)-1))),":",SUM(MID(A13,FIND(":",A13)+1,FIND("/",A13)-FIND(":",A13)-1),MID(A13,FIND(":",A13,FIND("/",A13))+1,FIND("]",A13)-FIND(":",A13,FIND("/",A13))-1),MID(A13,FIND(":",A13,FIND("[",A13,FIND("[",A13)+1))+1,(FIND("/",A13,FIND("[",A13,FIND("[",A13)+1)+1)-FIND(":",A13,FIND("[",A13,FIND("[",A13)+1))-1)),MID(A13,FIND(":",A13,FIND("/",A13,FIND("]",A13)+1))+1,(FIND("]",A13,FIND("[",A13,FIND("[",A13)+1)+1)-FIND(":",A13,FIND("/",A13,FIND("]",A13)+1))-1))),MID(A13,(FIND(")",A13)+1),100)),CONCATENATE(MID(A13,1,2)," ",(SUM(MID(A13,FIND("[",A13)+1,FIND(":",A13)-FIND("[",A13)-1),MID(A13,FIND("_",A13)+1,FIND(":",A13,FIND("_",A13))-FIND("_",A13)-1),MID(A13,FIND("[",A13,FIND("[",A13)+1)+1,(FIND(":",A13,FIND("[",A13))-FIND("[",A13)-1)),MID(A13,FIND("_",A13,FIND("_",A13)+1)+1,FIND(":",A13,FIND("_",A13,FIND("[",A13,FIND("[",A13)+1)+1))-FIND("_",A13,FIND("[",A13,FIND("[",A13)+1)+1)-1))),":",SUM(MID(A13,FIND(":",A13)+1,FIND("_",A13)-FIND(":",A13)-1),MID(A13,FIND(":",A13,FIND("_",A13))+1,FIND("]",A13)-FIND(":",A13,FIND("_",A13))-1),MID(A13,FIND(":",A13,FIND("[",A13,FIND("[",A13)+1))+1,(FIND("_",A13,FIND("[",A13,FIND("[",A13)+1)+1)-FIND(":",A13,FIND("[",A13,FIND("[",A13)+1))-1)),MID(A13,FIND(":",A13,FIND("_",A13,FIND("]",A13)+1))+1,(FIND("]",A13,FIND("[",A13,FIND("[",A13)+1)+1)-FIND(":",A13,FIND("_",A13,FIND("]",A13)+1))-1))),MID(A13,(FIND(")",A13)+1),100))),A13)</f>
        <v>CL 49:1</v>
      </c>
      <c r="C13" s="1" t="str">
        <f>MID(B13,4,FIND(":",B13)-FIND(" ",B13)-1)</f>
        <v>49</v>
      </c>
      <c r="D13" s="1" t="str">
        <f>IF(ISNUMBER(SEARCH("__",B13)),MID(B13,FIND(":",B13)+1,FIND("__",B13)-FIND(":",B13)-1),MID(B13,FIND(":",B13)+1,7))</f>
        <v>1</v>
      </c>
      <c r="E13" s="17">
        <f t="shared" si="103"/>
        <v>58</v>
      </c>
      <c r="F13" s="17">
        <f t="shared" si="104"/>
        <v>110</v>
      </c>
      <c r="G13" s="17">
        <v>0</v>
      </c>
      <c r="H13" s="17">
        <f t="shared" si="105"/>
        <v>17</v>
      </c>
      <c r="I13" s="17">
        <v>2</v>
      </c>
      <c r="L13" s="19" t="str">
        <f t="shared" si="106"/>
        <v>C58H110O17P2</v>
      </c>
      <c r="M13" s="19">
        <f t="shared" si="107"/>
        <v>1140.7217869999999</v>
      </c>
      <c r="N13" s="19">
        <f t="shared" si="8"/>
        <v>1141.7290616</v>
      </c>
      <c r="O13" s="46">
        <f t="shared" si="9"/>
        <v>1123.7179416000001</v>
      </c>
      <c r="P13" s="46">
        <f t="shared" si="110"/>
        <v>1158.7556070000001</v>
      </c>
      <c r="Q13" s="46">
        <f t="shared" si="111"/>
        <v>1163.7110069999999</v>
      </c>
      <c r="R13" s="46">
        <f t="shared" si="112"/>
        <v>1179.684947</v>
      </c>
      <c r="S13" s="46">
        <f t="shared" si="113"/>
        <v>1147.737247</v>
      </c>
      <c r="T13" s="19">
        <f t="shared" si="114"/>
        <v>1139.7145123999999</v>
      </c>
      <c r="U13" s="19">
        <f t="shared" si="115"/>
        <v>1185.7200069999999</v>
      </c>
      <c r="V13" s="19">
        <f t="shared" si="116"/>
        <v>1199.7356569999999</v>
      </c>
      <c r="W13" s="46">
        <f t="shared" si="87"/>
        <v>569.3536188999999</v>
      </c>
      <c r="Y13" s="46">
        <f t="shared" si="34"/>
        <v>588.39471349999997</v>
      </c>
      <c r="Z13" s="46">
        <f t="shared" si="35"/>
        <v>593.35011350000002</v>
      </c>
      <c r="AA13" s="46">
        <f t="shared" si="36"/>
        <v>609.32405349999999</v>
      </c>
      <c r="AB13" s="46">
        <f t="shared" si="37"/>
        <v>582.35914079999998</v>
      </c>
      <c r="AC13" s="46">
        <f t="shared" si="33"/>
        <v>590.34611080000002</v>
      </c>
    </row>
    <row r="14" spans="1:29" x14ac:dyDescent="0.25">
      <c r="A14" s="20" t="s">
        <v>159</v>
      </c>
      <c r="B14" s="17" t="str">
        <f t="shared" si="100"/>
        <v>CL 49:0</v>
      </c>
      <c r="C14" s="1" t="str">
        <f t="shared" si="101"/>
        <v>49</v>
      </c>
      <c r="D14" s="1" t="str">
        <f t="shared" si="102"/>
        <v>0</v>
      </c>
      <c r="E14" s="17">
        <f t="shared" si="103"/>
        <v>58</v>
      </c>
      <c r="F14" s="17">
        <f t="shared" si="104"/>
        <v>112</v>
      </c>
      <c r="G14" s="17">
        <v>0</v>
      </c>
      <c r="H14" s="17">
        <f t="shared" si="105"/>
        <v>17</v>
      </c>
      <c r="I14" s="17">
        <v>2</v>
      </c>
      <c r="L14" s="19" t="str">
        <f t="shared" si="106"/>
        <v>C58H112O17P2</v>
      </c>
      <c r="M14" s="19">
        <f t="shared" si="107"/>
        <v>1142.7374362</v>
      </c>
      <c r="N14" s="19">
        <f t="shared" si="108"/>
        <v>1143.7447108000001</v>
      </c>
      <c r="O14" s="46">
        <f t="shared" si="109"/>
        <v>1125.7335908000002</v>
      </c>
      <c r="P14" s="46">
        <f t="shared" si="110"/>
        <v>1160.7712562000002</v>
      </c>
      <c r="Q14" s="46">
        <f t="shared" si="111"/>
        <v>1165.7266562</v>
      </c>
      <c r="R14" s="46">
        <f t="shared" si="112"/>
        <v>1181.7005962000001</v>
      </c>
      <c r="S14" s="46">
        <f t="shared" si="113"/>
        <v>1149.7528962000001</v>
      </c>
      <c r="T14" s="19">
        <f t="shared" si="114"/>
        <v>1141.7301616</v>
      </c>
      <c r="U14" s="19">
        <f t="shared" si="115"/>
        <v>1187.7356562</v>
      </c>
      <c r="V14" s="19">
        <f t="shared" si="116"/>
        <v>1201.7513062</v>
      </c>
      <c r="W14" s="46">
        <f t="shared" si="87"/>
        <v>570.36144349999995</v>
      </c>
      <c r="Y14" s="46">
        <f t="shared" si="34"/>
        <v>589.40253810000002</v>
      </c>
      <c r="Z14" s="46">
        <f t="shared" si="35"/>
        <v>594.35793810000007</v>
      </c>
      <c r="AA14" s="46">
        <f t="shared" si="36"/>
        <v>610.33187810000004</v>
      </c>
      <c r="AB14" s="46">
        <f t="shared" si="37"/>
        <v>583.36696540000003</v>
      </c>
      <c r="AC14" s="46">
        <f t="shared" si="33"/>
        <v>591.35393540000007</v>
      </c>
    </row>
    <row r="15" spans="1:29" x14ac:dyDescent="0.25">
      <c r="A15" s="20" t="s">
        <v>224</v>
      </c>
      <c r="B15" s="17" t="str">
        <f>IF(ISNUMBER(SEARCH("[",A15)),IF(ISNUMBER(SEARCH("/",A15)),CONCATENATE(MID(A15,1,2)," ",(SUM(MID(A15,FIND("[",A15)+1,FIND(":",A15)-FIND("[",A15)-1),MID(A15,FIND("/",A15)+1,FIND(":",A15,FIND("/",A15))-FIND("/",A15)-1),MID(A15,FIND("[",A15,FIND("[",A15)+1)+1,(FIND(":",A15,FIND("[",A15))-FIND("[",A15)-1)),MID(A15,FIND("/",A15,FIND("/",A15)+1)+1,FIND(":",A15,FIND("/",A15,FIND("[",A15,FIND("[",A15)+1)+1))-FIND("/",A15,FIND("[",A15,FIND("[",A15)+1)+1)-1))),":",SUM(MID(A15,FIND(":",A15)+1,FIND("/",A15)-FIND(":",A15)-1),MID(A15,FIND(":",A15,FIND("/",A15))+1,FIND("]",A15)-FIND(":",A15,FIND("/",A15))-1),MID(A15,FIND(":",A15,FIND("[",A15,FIND("[",A15)+1))+1,(FIND("/",A15,FIND("[",A15,FIND("[",A15)+1)+1)-FIND(":",A15,FIND("[",A15,FIND("[",A15)+1))-1)),MID(A15,FIND(":",A15,FIND("/",A15,FIND("]",A15)+1))+1,(FIND("]",A15,FIND("[",A15,FIND("[",A15)+1)+1)-FIND(":",A15,FIND("/",A15,FIND("]",A15)+1))-1))),MID(A15,(FIND(")",A15)+1),100)),CONCATENATE(MID(A15,1,2)," ",(SUM(MID(A15,FIND("[",A15)+1,FIND(":",A15)-FIND("[",A15)-1),MID(A15,FIND("_",A15)+1,FIND(":",A15,FIND("_",A15))-FIND("_",A15)-1),MID(A15,FIND("[",A15,FIND("[",A15)+1)+1,(FIND(":",A15,FIND("[",A15))-FIND("[",A15)-1)),MID(A15,FIND("_",A15,FIND("_",A15)+1)+1,FIND(":",A15,FIND("_",A15,FIND("[",A15,FIND("[",A15)+1)+1))-FIND("_",A15,FIND("[",A15,FIND("[",A15)+1)+1)-1))),":",SUM(MID(A15,FIND(":",A15)+1,FIND("_",A15)-FIND(":",A15)-1),MID(A15,FIND(":",A15,FIND("_",A15))+1,FIND("]",A15)-FIND(":",A15,FIND("_",A15))-1),MID(A15,FIND(":",A15,FIND("[",A15,FIND("[",A15)+1))+1,(FIND("_",A15,FIND("[",A15,FIND("[",A15)+1)+1)-FIND(":",A15,FIND("[",A15,FIND("[",A15)+1))-1)),MID(A15,FIND(":",A15,FIND("_",A15,FIND("]",A15)+1))+1,(FIND("]",A15,FIND("[",A15,FIND("[",A15)+1)+1)-FIND(":",A15,FIND("_",A15,FIND("]",A15)+1))-1))),MID(A15,(FIND(")",A15)+1),100))),A15)</f>
        <v>CL 50:2</v>
      </c>
      <c r="C15" s="1" t="str">
        <f>MID(B15,4,FIND(":",B15)-FIND(" ",B15)-1)</f>
        <v>50</v>
      </c>
      <c r="D15" s="1" t="str">
        <f>IF(ISNUMBER(SEARCH("__",B15)),MID(B15,FIND(":",B15)+1,FIND("__",B15)-FIND(":",B15)-1),MID(B15,FIND(":",B15)+1,7))</f>
        <v>2</v>
      </c>
      <c r="E15" s="17">
        <f t="shared" si="103"/>
        <v>59</v>
      </c>
      <c r="F15" s="17">
        <f t="shared" si="104"/>
        <v>110</v>
      </c>
      <c r="G15" s="17">
        <v>0</v>
      </c>
      <c r="H15" s="17">
        <f t="shared" si="105"/>
        <v>17</v>
      </c>
      <c r="I15" s="17">
        <v>2</v>
      </c>
      <c r="L15" s="19" t="str">
        <f t="shared" si="106"/>
        <v>C59H110O17P2</v>
      </c>
      <c r="M15" s="19">
        <f t="shared" si="107"/>
        <v>1152.7217869999999</v>
      </c>
      <c r="N15" s="19">
        <f t="shared" si="8"/>
        <v>1153.7290616</v>
      </c>
      <c r="O15" s="46">
        <f t="shared" si="9"/>
        <v>1135.7179416000001</v>
      </c>
      <c r="P15" s="46">
        <f t="shared" si="110"/>
        <v>1170.7556070000001</v>
      </c>
      <c r="Q15" s="46">
        <f t="shared" si="111"/>
        <v>1175.7110069999999</v>
      </c>
      <c r="R15" s="46">
        <f t="shared" si="112"/>
        <v>1191.684947</v>
      </c>
      <c r="S15" s="46">
        <f t="shared" si="113"/>
        <v>1159.737247</v>
      </c>
      <c r="T15" s="19">
        <f t="shared" si="114"/>
        <v>1151.7145123999999</v>
      </c>
      <c r="U15" s="19">
        <f t="shared" si="115"/>
        <v>1197.7200069999999</v>
      </c>
      <c r="V15" s="19">
        <f t="shared" si="116"/>
        <v>1211.7356569999999</v>
      </c>
      <c r="W15" s="46">
        <f t="shared" si="87"/>
        <v>575.3536188999999</v>
      </c>
      <c r="Y15" s="46">
        <f t="shared" si="34"/>
        <v>594.39471349999997</v>
      </c>
      <c r="Z15" s="46">
        <f t="shared" si="35"/>
        <v>599.35011350000002</v>
      </c>
      <c r="AA15" s="46">
        <f t="shared" si="36"/>
        <v>615.32405349999999</v>
      </c>
      <c r="AB15" s="46">
        <f t="shared" si="37"/>
        <v>588.35914079999998</v>
      </c>
      <c r="AC15" s="46">
        <f t="shared" si="33"/>
        <v>596.34611080000002</v>
      </c>
    </row>
    <row r="16" spans="1:29" x14ac:dyDescent="0.25">
      <c r="A16" s="20" t="s">
        <v>200</v>
      </c>
      <c r="B16" s="17" t="str">
        <f t="shared" ref="B16" si="117">IF(ISNUMBER(SEARCH("[",A16)),IF(ISNUMBER(SEARCH("/",A16)),CONCATENATE(MID(A16,1,2)," ",(SUM(MID(A16,FIND("[",A16)+1,FIND(":",A16)-FIND("[",A16)-1),MID(A16,FIND("/",A16)+1,FIND(":",A16,FIND("/",A16))-FIND("/",A16)-1),MID(A16,FIND("[",A16,FIND("[",A16)+1)+1,(FIND(":",A16,FIND("[",A16))-FIND("[",A16)-1)),MID(A16,FIND("/",A16,FIND("/",A16)+1)+1,FIND(":",A16,FIND("/",A16,FIND("[",A16,FIND("[",A16)+1)+1))-FIND("/",A16,FIND("[",A16,FIND("[",A16)+1)+1)-1))),":",SUM(MID(A16,FIND(":",A16)+1,FIND("/",A16)-FIND(":",A16)-1),MID(A16,FIND(":",A16,FIND("/",A16))+1,FIND("]",A16)-FIND(":",A16,FIND("/",A16))-1),MID(A16,FIND(":",A16,FIND("[",A16,FIND("[",A16)+1))+1,(FIND("/",A16,FIND("[",A16,FIND("[",A16)+1)+1)-FIND(":",A16,FIND("[",A16,FIND("[",A16)+1))-1)),MID(A16,FIND(":",A16,FIND("/",A16,FIND("]",A16)+1))+1,(FIND("]",A16,FIND("[",A16,FIND("[",A16)+1)+1)-FIND(":",A16,FIND("/",A16,FIND("]",A16)+1))-1))),MID(A16,(FIND(")",A16)+1),100)),CONCATENATE(MID(A16,1,2)," ",(SUM(MID(A16,FIND("[",A16)+1,FIND(":",A16)-FIND("[",A16)-1),MID(A16,FIND("_",A16)+1,FIND(":",A16,FIND("_",A16))-FIND("_",A16)-1),MID(A16,FIND("[",A16,FIND("[",A16)+1)+1,(FIND(":",A16,FIND("[",A16))-FIND("[",A16)-1)),MID(A16,FIND("_",A16,FIND("_",A16)+1)+1,FIND(":",A16,FIND("_",A16,FIND("[",A16,FIND("[",A16)+1)+1))-FIND("_",A16,FIND("[",A16,FIND("[",A16)+1)+1)-1))),":",SUM(MID(A16,FIND(":",A16)+1,FIND("_",A16)-FIND(":",A16)-1),MID(A16,FIND(":",A16,FIND("_",A16))+1,FIND("]",A16)-FIND(":",A16,FIND("_",A16))-1),MID(A16,FIND(":",A16,FIND("[",A16,FIND("[",A16)+1))+1,(FIND("_",A16,FIND("[",A16,FIND("[",A16)+1)+1)-FIND(":",A16,FIND("[",A16,FIND("[",A16)+1))-1)),MID(A16,FIND(":",A16,FIND("_",A16,FIND("]",A16)+1))+1,(FIND("]",A16,FIND("[",A16,FIND("[",A16)+1)+1)-FIND(":",A16,FIND("_",A16,FIND("]",A16)+1))-1))),MID(A16,(FIND(")",A16)+1),100))),A16)</f>
        <v>CL 50:1</v>
      </c>
      <c r="C16" s="1" t="str">
        <f t="shared" ref="C16" si="118">MID(B16,4,FIND(":",B16)-FIND(" ",B16)-1)</f>
        <v>50</v>
      </c>
      <c r="D16" s="1" t="str">
        <f t="shared" ref="D16" si="119">IF(ISNUMBER(SEARCH("__",B16)),MID(B16,FIND(":",B16)+1,FIND("__",B16)-FIND(":",B16)-1),MID(B16,FIND(":",B16)+1,7))</f>
        <v>1</v>
      </c>
      <c r="E16" s="17">
        <f t="shared" ref="E16" si="120">C16+9</f>
        <v>59</v>
      </c>
      <c r="F16" s="17">
        <f t="shared" ref="F16" si="121">2*E16-(2*D16)-4-((LEN(A16)-LEN(SUBSTITUTE(A16,"_O_","")))/LEN("_O_"))*2-((LEN(A16)-LEN(SUBSTITUTE(A16,"_CHO_","")))/LEN("_CHO_"))*2-((LEN(A16)-LEN(SUBSTITUTE(A16,"_COOH_","")))/LEN("_COOH_"))*2</f>
        <v>112</v>
      </c>
      <c r="G16" s="17">
        <v>0</v>
      </c>
      <c r="H16" s="17">
        <f t="shared" ref="H16" si="122">17+((LEN(A16)-LEN(SUBSTITUTE(A16,"_OH_","")))/LEN("_OH_"))*1+((LEN(A16)-LEN(SUBSTITUTE(A16,"_OOH_","")))/LEN("_OOH_"))*2+((LEN(A16)-LEN(SUBSTITUTE(A16,"_O_","")))/LEN("_O_"))*1+((LEN(A16)-LEN(SUBSTITUTE(A16,"_CHO_","")))/LEN("_CHO_"))*1+((LEN(A16)-LEN(SUBSTITUTE(A16,"_COOH_","")))/LEN("_COOH_"))*2</f>
        <v>17</v>
      </c>
      <c r="I16" s="17">
        <v>2</v>
      </c>
      <c r="L16" s="19" t="str">
        <f t="shared" ref="L16" si="123">CONCATENATE("C",E16,"H",F16,"O",H16,"P",I16)</f>
        <v>C59H112O17P2</v>
      </c>
      <c r="M16" s="19">
        <f t="shared" ref="M16" si="124">(E16*12)+(F16*1.0078246)+(G16*14.003074)+(H16*15.994915)+(I16*30.973763)</f>
        <v>1154.7374362</v>
      </c>
      <c r="N16" s="19">
        <f t="shared" ref="N16" si="125">M16+1.0078246-0.00055</f>
        <v>1155.7447108000001</v>
      </c>
      <c r="O16" s="46">
        <f t="shared" ref="O16" si="126">N16-18.01057-0.00055</f>
        <v>1137.7335908000002</v>
      </c>
      <c r="P16" s="46">
        <f t="shared" ref="P16" si="127">M16+18.03437-0.00055</f>
        <v>1172.7712562000002</v>
      </c>
      <c r="Q16" s="46">
        <f t="shared" ref="Q16" si="128">M16+22.98977-0.00055</f>
        <v>1177.7266562</v>
      </c>
      <c r="R16" s="46">
        <f t="shared" ref="R16" si="129">M16+38.96371-0.00055</f>
        <v>1193.7005962000001</v>
      </c>
      <c r="S16" s="46">
        <f t="shared" ref="S16" si="130">M16+7.01601-0.00055</f>
        <v>1161.7528962000001</v>
      </c>
      <c r="T16" s="19">
        <f t="shared" ref="T16" si="131">M16-1.0078246+0.00055</f>
        <v>1153.7301616</v>
      </c>
      <c r="U16" s="19">
        <f t="shared" ref="U16" si="132">M16+44.99767+0.00055</f>
        <v>1199.7356562</v>
      </c>
      <c r="V16" s="19">
        <f t="shared" ref="V16" si="133">M16+59.01332+0.00055</f>
        <v>1213.7513062</v>
      </c>
      <c r="W16" s="46">
        <f t="shared" si="87"/>
        <v>576.36144349999995</v>
      </c>
      <c r="Y16" s="46">
        <f t="shared" si="34"/>
        <v>595.40253810000002</v>
      </c>
      <c r="Z16" s="46">
        <f t="shared" si="35"/>
        <v>600.35793810000007</v>
      </c>
      <c r="AA16" s="46">
        <f t="shared" si="36"/>
        <v>616.33187810000004</v>
      </c>
      <c r="AB16" s="46">
        <f t="shared" si="37"/>
        <v>589.36696540000003</v>
      </c>
      <c r="AC16" s="46">
        <f t="shared" si="33"/>
        <v>597.35393540000007</v>
      </c>
    </row>
    <row r="17" spans="1:29" x14ac:dyDescent="0.25">
      <c r="A17" s="20" t="s">
        <v>160</v>
      </c>
      <c r="B17" s="17" t="str">
        <f t="shared" si="100"/>
        <v>CL 50:0</v>
      </c>
      <c r="C17" s="1" t="str">
        <f t="shared" si="101"/>
        <v>50</v>
      </c>
      <c r="D17" s="1" t="str">
        <f t="shared" si="102"/>
        <v>0</v>
      </c>
      <c r="E17" s="17">
        <f t="shared" si="103"/>
        <v>59</v>
      </c>
      <c r="F17" s="17">
        <f t="shared" si="104"/>
        <v>114</v>
      </c>
      <c r="G17" s="17">
        <v>0</v>
      </c>
      <c r="H17" s="17">
        <f t="shared" si="105"/>
        <v>17</v>
      </c>
      <c r="I17" s="17">
        <v>2</v>
      </c>
      <c r="L17" s="19" t="str">
        <f t="shared" si="106"/>
        <v>C59H114O17P2</v>
      </c>
      <c r="M17" s="19">
        <f t="shared" si="107"/>
        <v>1156.7530853999999</v>
      </c>
      <c r="N17" s="19">
        <f t="shared" si="108"/>
        <v>1157.76036</v>
      </c>
      <c r="O17" s="46">
        <f t="shared" si="109"/>
        <v>1139.7492400000001</v>
      </c>
      <c r="P17" s="46">
        <f t="shared" si="110"/>
        <v>1174.7869054</v>
      </c>
      <c r="Q17" s="46">
        <f t="shared" si="111"/>
        <v>1179.7423053999999</v>
      </c>
      <c r="R17" s="46">
        <f t="shared" si="112"/>
        <v>1195.7162453999999</v>
      </c>
      <c r="S17" s="46">
        <f t="shared" si="113"/>
        <v>1163.7685454</v>
      </c>
      <c r="T17" s="19">
        <f t="shared" si="114"/>
        <v>1155.7458107999998</v>
      </c>
      <c r="U17" s="19">
        <f t="shared" si="115"/>
        <v>1201.7513053999999</v>
      </c>
      <c r="V17" s="19">
        <f t="shared" si="116"/>
        <v>1215.7669553999999</v>
      </c>
      <c r="W17" s="46">
        <f t="shared" si="87"/>
        <v>577.36926809999989</v>
      </c>
      <c r="Y17" s="46">
        <f t="shared" si="34"/>
        <v>596.41036269999995</v>
      </c>
      <c r="Z17" s="46">
        <f t="shared" si="35"/>
        <v>601.3657627</v>
      </c>
      <c r="AA17" s="46">
        <f t="shared" si="36"/>
        <v>617.33970269999998</v>
      </c>
      <c r="AB17" s="46">
        <f t="shared" si="37"/>
        <v>590.37478999999996</v>
      </c>
      <c r="AC17" s="46">
        <f t="shared" si="33"/>
        <v>598.36176</v>
      </c>
    </row>
    <row r="18" spans="1:29" x14ac:dyDescent="0.25">
      <c r="A18" s="20" t="s">
        <v>269</v>
      </c>
      <c r="B18" s="17" t="str">
        <f t="shared" si="100"/>
        <v>CL 51:3</v>
      </c>
      <c r="C18" s="1" t="str">
        <f t="shared" si="101"/>
        <v>51</v>
      </c>
      <c r="D18" s="1" t="str">
        <f t="shared" si="102"/>
        <v>3</v>
      </c>
      <c r="E18" s="17">
        <f t="shared" si="103"/>
        <v>60</v>
      </c>
      <c r="F18" s="17">
        <f t="shared" si="104"/>
        <v>110</v>
      </c>
      <c r="G18" s="17">
        <v>0</v>
      </c>
      <c r="H18" s="17">
        <f t="shared" si="105"/>
        <v>17</v>
      </c>
      <c r="I18" s="17">
        <v>2</v>
      </c>
      <c r="L18" s="19" t="str">
        <f t="shared" si="106"/>
        <v>C60H110O17P2</v>
      </c>
      <c r="M18" s="19">
        <f t="shared" si="107"/>
        <v>1164.7217869999999</v>
      </c>
      <c r="N18" s="19">
        <f t="shared" si="108"/>
        <v>1165.7290616</v>
      </c>
      <c r="O18" s="46">
        <f t="shared" si="109"/>
        <v>1147.7179416000001</v>
      </c>
      <c r="P18" s="46">
        <f t="shared" si="110"/>
        <v>1182.7556070000001</v>
      </c>
      <c r="Q18" s="46">
        <f t="shared" si="111"/>
        <v>1187.7110069999999</v>
      </c>
      <c r="R18" s="46">
        <f t="shared" si="112"/>
        <v>1203.684947</v>
      </c>
      <c r="S18" s="46">
        <f t="shared" si="113"/>
        <v>1171.737247</v>
      </c>
      <c r="T18" s="19">
        <f t="shared" si="114"/>
        <v>1163.7145123999999</v>
      </c>
      <c r="U18" s="19">
        <f t="shared" si="115"/>
        <v>1209.7200069999999</v>
      </c>
      <c r="V18" s="19">
        <f t="shared" si="116"/>
        <v>1223.7356569999999</v>
      </c>
      <c r="W18" s="46">
        <f t="shared" si="87"/>
        <v>581.3536188999999</v>
      </c>
      <c r="Y18" s="46">
        <f t="shared" si="34"/>
        <v>600.39471349999997</v>
      </c>
      <c r="Z18" s="46">
        <f t="shared" si="35"/>
        <v>605.35011350000002</v>
      </c>
      <c r="AA18" s="46">
        <f t="shared" si="36"/>
        <v>621.32405349999999</v>
      </c>
      <c r="AB18" s="46">
        <f t="shared" si="37"/>
        <v>594.35914079999998</v>
      </c>
      <c r="AC18" s="46">
        <f t="shared" si="33"/>
        <v>602.34611080000002</v>
      </c>
    </row>
    <row r="19" spans="1:29" x14ac:dyDescent="0.25">
      <c r="A19" s="20" t="s">
        <v>225</v>
      </c>
      <c r="B19" s="17" t="str">
        <f>IF(ISNUMBER(SEARCH("[",A19)),IF(ISNUMBER(SEARCH("/",A19)),CONCATENATE(MID(A19,1,2)," ",(SUM(MID(A19,FIND("[",A19)+1,FIND(":",A19)-FIND("[",A19)-1),MID(A19,FIND("/",A19)+1,FIND(":",A19,FIND("/",A19))-FIND("/",A19)-1),MID(A19,FIND("[",A19,FIND("[",A19)+1)+1,(FIND(":",A19,FIND("[",A19))-FIND("[",A19)-1)),MID(A19,FIND("/",A19,FIND("/",A19)+1)+1,FIND(":",A19,FIND("/",A19,FIND("[",A19,FIND("[",A19)+1)+1))-FIND("/",A19,FIND("[",A19,FIND("[",A19)+1)+1)-1))),":",SUM(MID(A19,FIND(":",A19)+1,FIND("/",A19)-FIND(":",A19)-1),MID(A19,FIND(":",A19,FIND("/",A19))+1,FIND("]",A19)-FIND(":",A19,FIND("/",A19))-1),MID(A19,FIND(":",A19,FIND("[",A19,FIND("[",A19)+1))+1,(FIND("/",A19,FIND("[",A19,FIND("[",A19)+1)+1)-FIND(":",A19,FIND("[",A19,FIND("[",A19)+1))-1)),MID(A19,FIND(":",A19,FIND("/",A19,FIND("]",A19)+1))+1,(FIND("]",A19,FIND("[",A19,FIND("[",A19)+1)+1)-FIND(":",A19,FIND("/",A19,FIND("]",A19)+1))-1))),MID(A19,(FIND(")",A19)+1),100)),CONCATENATE(MID(A19,1,2)," ",(SUM(MID(A19,FIND("[",A19)+1,FIND(":",A19)-FIND("[",A19)-1),MID(A19,FIND("_",A19)+1,FIND(":",A19,FIND("_",A19))-FIND("_",A19)-1),MID(A19,FIND("[",A19,FIND("[",A19)+1)+1,(FIND(":",A19,FIND("[",A19))-FIND("[",A19)-1)),MID(A19,FIND("_",A19,FIND("_",A19)+1)+1,FIND(":",A19,FIND("_",A19,FIND("[",A19,FIND("[",A19)+1)+1))-FIND("_",A19,FIND("[",A19,FIND("[",A19)+1)+1)-1))),":",SUM(MID(A19,FIND(":",A19)+1,FIND("_",A19)-FIND(":",A19)-1),MID(A19,FIND(":",A19,FIND("_",A19))+1,FIND("]",A19)-FIND(":",A19,FIND("_",A19))-1),MID(A19,FIND(":",A19,FIND("[",A19,FIND("[",A19)+1))+1,(FIND("_",A19,FIND("[",A19,FIND("[",A19)+1)+1)-FIND(":",A19,FIND("[",A19,FIND("[",A19)+1))-1)),MID(A19,FIND(":",A19,FIND("_",A19,FIND("]",A19)+1))+1,(FIND("]",A19,FIND("[",A19,FIND("[",A19)+1)+1)-FIND(":",A19,FIND("_",A19,FIND("]",A19)+1))-1))),MID(A19,(FIND(")",A19)+1),100))),A19)</f>
        <v>CL 51:2</v>
      </c>
      <c r="C19" s="1" t="str">
        <f>MID(B19,4,FIND(":",B19)-FIND(" ",B19)-1)</f>
        <v>51</v>
      </c>
      <c r="D19" s="1" t="str">
        <f>IF(ISNUMBER(SEARCH("__",B19)),MID(B19,FIND(":",B19)+1,FIND("__",B19)-FIND(":",B19)-1),MID(B19,FIND(":",B19)+1,7))</f>
        <v>2</v>
      </c>
      <c r="E19" s="17">
        <f t="shared" si="103"/>
        <v>60</v>
      </c>
      <c r="F19" s="17">
        <f t="shared" si="104"/>
        <v>112</v>
      </c>
      <c r="G19" s="17">
        <v>0</v>
      </c>
      <c r="H19" s="17">
        <f t="shared" si="105"/>
        <v>17</v>
      </c>
      <c r="I19" s="17">
        <v>2</v>
      </c>
      <c r="L19" s="19" t="str">
        <f t="shared" si="106"/>
        <v>C60H112O17P2</v>
      </c>
      <c r="M19" s="19">
        <f t="shared" si="107"/>
        <v>1166.7374362</v>
      </c>
      <c r="N19" s="19">
        <f t="shared" si="108"/>
        <v>1167.7447108000001</v>
      </c>
      <c r="O19" s="46">
        <f t="shared" si="109"/>
        <v>1149.7335908000002</v>
      </c>
      <c r="P19" s="46">
        <f t="shared" si="110"/>
        <v>1184.7712562000002</v>
      </c>
      <c r="Q19" s="46">
        <f t="shared" si="111"/>
        <v>1189.7266562</v>
      </c>
      <c r="R19" s="46">
        <f t="shared" si="112"/>
        <v>1205.7005962000001</v>
      </c>
      <c r="S19" s="46">
        <f t="shared" si="113"/>
        <v>1173.7528962000001</v>
      </c>
      <c r="T19" s="19">
        <f t="shared" si="114"/>
        <v>1165.7301616</v>
      </c>
      <c r="U19" s="19">
        <f t="shared" si="115"/>
        <v>1211.7356562</v>
      </c>
      <c r="V19" s="19">
        <f t="shared" si="116"/>
        <v>1225.7513062</v>
      </c>
      <c r="W19" s="46">
        <f t="shared" si="87"/>
        <v>582.36144349999995</v>
      </c>
      <c r="Y19" s="46">
        <f t="shared" si="34"/>
        <v>601.40253810000002</v>
      </c>
      <c r="Z19" s="46">
        <f t="shared" si="35"/>
        <v>606.35793810000007</v>
      </c>
      <c r="AA19" s="46">
        <f t="shared" si="36"/>
        <v>622.33187810000004</v>
      </c>
      <c r="AB19" s="46">
        <f t="shared" si="37"/>
        <v>595.36696540000003</v>
      </c>
      <c r="AC19" s="46">
        <f t="shared" si="33"/>
        <v>603.35393540000007</v>
      </c>
    </row>
    <row r="20" spans="1:29" x14ac:dyDescent="0.25">
      <c r="A20" s="20" t="s">
        <v>199</v>
      </c>
      <c r="B20" s="17" t="str">
        <f>IF(ISNUMBER(SEARCH("[",A20)),IF(ISNUMBER(SEARCH("/",A20)),CONCATENATE(MID(A20,1,2)," ",(SUM(MID(A20,FIND("[",A20)+1,FIND(":",A20)-FIND("[",A20)-1),MID(A20,FIND("/",A20)+1,FIND(":",A20,FIND("/",A20))-FIND("/",A20)-1),MID(A20,FIND("[",A20,FIND("[",A20)+1)+1,(FIND(":",A20,FIND("[",A20))-FIND("[",A20)-1)),MID(A20,FIND("/",A20,FIND("/",A20)+1)+1,FIND(":",A20,FIND("/",A20,FIND("[",A20,FIND("[",A20)+1)+1))-FIND("/",A20,FIND("[",A20,FIND("[",A20)+1)+1)-1))),":",SUM(MID(A20,FIND(":",A20)+1,FIND("/",A20)-FIND(":",A20)-1),MID(A20,FIND(":",A20,FIND("/",A20))+1,FIND("]",A20)-FIND(":",A20,FIND("/",A20))-1),MID(A20,FIND(":",A20,FIND("[",A20,FIND("[",A20)+1))+1,(FIND("/",A20,FIND("[",A20,FIND("[",A20)+1)+1)-FIND(":",A20,FIND("[",A20,FIND("[",A20)+1))-1)),MID(A20,FIND(":",A20,FIND("/",A20,FIND("]",A20)+1))+1,(FIND("]",A20,FIND("[",A20,FIND("[",A20)+1)+1)-FIND(":",A20,FIND("/",A20,FIND("]",A20)+1))-1))),MID(A20,(FIND(")",A20)+1),100)),CONCATENATE(MID(A20,1,2)," ",(SUM(MID(A20,FIND("[",A20)+1,FIND(":",A20)-FIND("[",A20)-1),MID(A20,FIND("_",A20)+1,FIND(":",A20,FIND("_",A20))-FIND("_",A20)-1),MID(A20,FIND("[",A20,FIND("[",A20)+1)+1,(FIND(":",A20,FIND("[",A20))-FIND("[",A20)-1)),MID(A20,FIND("_",A20,FIND("_",A20)+1)+1,FIND(":",A20,FIND("_",A20,FIND("[",A20,FIND("[",A20)+1)+1))-FIND("_",A20,FIND("[",A20,FIND("[",A20)+1)+1)-1))),":",SUM(MID(A20,FIND(":",A20)+1,FIND("_",A20)-FIND(":",A20)-1),MID(A20,FIND(":",A20,FIND("_",A20))+1,FIND("]",A20)-FIND(":",A20,FIND("_",A20))-1),MID(A20,FIND(":",A20,FIND("[",A20,FIND("[",A20)+1))+1,(FIND("_",A20,FIND("[",A20,FIND("[",A20)+1)+1)-FIND(":",A20,FIND("[",A20,FIND("[",A20)+1))-1)),MID(A20,FIND(":",A20,FIND("_",A20,FIND("]",A20)+1))+1,(FIND("]",A20,FIND("[",A20,FIND("[",A20)+1)+1)-FIND(":",A20,FIND("_",A20,FIND("]",A20)+1))-1))),MID(A20,(FIND(")",A20)+1),100))),A20)</f>
        <v>CL 51:1</v>
      </c>
      <c r="C20" s="1" t="str">
        <f>MID(B20,4,FIND(":",B20)-FIND(" ",B20)-1)</f>
        <v>51</v>
      </c>
      <c r="D20" s="1" t="str">
        <f>IF(ISNUMBER(SEARCH("__",B20)),MID(B20,FIND(":",B20)+1,FIND("__",B20)-FIND(":",B20)-1),MID(B20,FIND(":",B20)+1,7))</f>
        <v>1</v>
      </c>
      <c r="E20" s="17">
        <f t="shared" si="103"/>
        <v>60</v>
      </c>
      <c r="F20" s="17">
        <f t="shared" si="104"/>
        <v>114</v>
      </c>
      <c r="G20" s="17">
        <v>0</v>
      </c>
      <c r="H20" s="17">
        <f t="shared" si="105"/>
        <v>17</v>
      </c>
      <c r="I20" s="17">
        <v>2</v>
      </c>
      <c r="L20" s="19" t="str">
        <f t="shared" si="106"/>
        <v>C60H114O17P2</v>
      </c>
      <c r="M20" s="19">
        <f t="shared" si="107"/>
        <v>1168.7530853999999</v>
      </c>
      <c r="N20" s="19">
        <f t="shared" si="108"/>
        <v>1169.76036</v>
      </c>
      <c r="O20" s="46">
        <f t="shared" si="109"/>
        <v>1151.7492400000001</v>
      </c>
      <c r="P20" s="46">
        <f t="shared" si="110"/>
        <v>1186.7869054</v>
      </c>
      <c r="Q20" s="46">
        <f t="shared" si="111"/>
        <v>1191.7423053999999</v>
      </c>
      <c r="R20" s="46">
        <f>M20+38.96371-0.00055</f>
        <v>1207.7162453999999</v>
      </c>
      <c r="S20" s="46">
        <f t="shared" si="113"/>
        <v>1175.7685454</v>
      </c>
      <c r="T20" s="19">
        <f t="shared" si="114"/>
        <v>1167.7458107999998</v>
      </c>
      <c r="U20" s="19">
        <f t="shared" si="115"/>
        <v>1213.7513053999999</v>
      </c>
      <c r="V20" s="19">
        <f t="shared" si="116"/>
        <v>1227.7669553999999</v>
      </c>
      <c r="W20" s="46">
        <f t="shared" si="87"/>
        <v>583.36926809999989</v>
      </c>
      <c r="Y20" s="46">
        <f t="shared" si="34"/>
        <v>602.41036269999995</v>
      </c>
      <c r="Z20" s="46">
        <f t="shared" si="35"/>
        <v>607.3657627</v>
      </c>
      <c r="AA20" s="46">
        <f t="shared" si="36"/>
        <v>623.33970269999998</v>
      </c>
      <c r="AB20" s="46">
        <f t="shared" si="37"/>
        <v>596.37478999999996</v>
      </c>
      <c r="AC20" s="46">
        <f t="shared" si="33"/>
        <v>604.36176</v>
      </c>
    </row>
    <row r="21" spans="1:29" x14ac:dyDescent="0.25">
      <c r="A21" s="20" t="s">
        <v>161</v>
      </c>
      <c r="B21" s="17" t="str">
        <f t="shared" si="100"/>
        <v>CL 51:0</v>
      </c>
      <c r="C21" s="1" t="str">
        <f t="shared" si="101"/>
        <v>51</v>
      </c>
      <c r="D21" s="1" t="str">
        <f t="shared" si="102"/>
        <v>0</v>
      </c>
      <c r="E21" s="17">
        <f t="shared" si="103"/>
        <v>60</v>
      </c>
      <c r="F21" s="17">
        <f t="shared" si="104"/>
        <v>116</v>
      </c>
      <c r="G21" s="17">
        <v>0</v>
      </c>
      <c r="H21" s="17">
        <f t="shared" si="105"/>
        <v>17</v>
      </c>
      <c r="I21" s="17">
        <v>2</v>
      </c>
      <c r="L21" s="19" t="str">
        <f t="shared" si="106"/>
        <v>C60H116O17P2</v>
      </c>
      <c r="M21" s="19">
        <f t="shared" si="107"/>
        <v>1170.7687346</v>
      </c>
      <c r="N21" s="19">
        <f t="shared" si="108"/>
        <v>1171.7760092000001</v>
      </c>
      <c r="O21" s="46">
        <f t="shared" si="109"/>
        <v>1153.7648892000002</v>
      </c>
      <c r="P21" s="46">
        <f t="shared" ref="P21" si="134">M21+18.03437-0.00055</f>
        <v>1188.8025546000001</v>
      </c>
      <c r="Q21" s="46">
        <f t="shared" ref="Q21" si="135">M21+22.98977-0.00055</f>
        <v>1193.7579545999999</v>
      </c>
      <c r="R21" s="46">
        <f t="shared" ref="R21" si="136">M21+38.96371-0.00055</f>
        <v>1209.7318946</v>
      </c>
      <c r="S21" s="46">
        <f t="shared" si="113"/>
        <v>1177.7841946000001</v>
      </c>
      <c r="T21" s="19">
        <f t="shared" si="114"/>
        <v>1169.7614599999999</v>
      </c>
      <c r="U21" s="19">
        <f t="shared" si="115"/>
        <v>1215.7669546</v>
      </c>
      <c r="V21" s="19">
        <f t="shared" si="116"/>
        <v>1229.7826046</v>
      </c>
      <c r="W21" s="46">
        <f t="shared" si="87"/>
        <v>584.37709269999993</v>
      </c>
      <c r="Y21" s="46">
        <f t="shared" si="34"/>
        <v>603.4181873</v>
      </c>
      <c r="Z21" s="46">
        <f t="shared" si="35"/>
        <v>608.37358730000005</v>
      </c>
      <c r="AA21" s="46">
        <f t="shared" si="36"/>
        <v>624.34752730000002</v>
      </c>
      <c r="AB21" s="46">
        <f t="shared" si="37"/>
        <v>597.38261460000001</v>
      </c>
      <c r="AC21" s="46">
        <f t="shared" si="33"/>
        <v>605.36958460000005</v>
      </c>
    </row>
    <row r="22" spans="1:29" x14ac:dyDescent="0.25">
      <c r="A22" s="20" t="s">
        <v>226</v>
      </c>
      <c r="B22" s="17" t="str">
        <f>IF(ISNUMBER(SEARCH("[",A22)),IF(ISNUMBER(SEARCH("/",A22)),CONCATENATE(MID(A22,1,2)," ",(SUM(MID(A22,FIND("[",A22)+1,FIND(":",A22)-FIND("[",A22)-1),MID(A22,FIND("/",A22)+1,FIND(":",A22,FIND("/",A22))-FIND("/",A22)-1),MID(A22,FIND("[",A22,FIND("[",A22)+1)+1,(FIND(":",A22,FIND("[",A22))-FIND("[",A22)-1)),MID(A22,FIND("/",A22,FIND("/",A22)+1)+1,FIND(":",A22,FIND("/",A22,FIND("[",A22,FIND("[",A22)+1)+1))-FIND("/",A22,FIND("[",A22,FIND("[",A22)+1)+1)-1))),":",SUM(MID(A22,FIND(":",A22)+1,FIND("/",A22)-FIND(":",A22)-1),MID(A22,FIND(":",A22,FIND("/",A22))+1,FIND("]",A22)-FIND(":",A22,FIND("/",A22))-1),MID(A22,FIND(":",A22,FIND("[",A22,FIND("[",A22)+1))+1,(FIND("/",A22,FIND("[",A22,FIND("[",A22)+1)+1)-FIND(":",A22,FIND("[",A22,FIND("[",A22)+1))-1)),MID(A22,FIND(":",A22,FIND("/",A22,FIND("]",A22)+1))+1,(FIND("]",A22,FIND("[",A22,FIND("[",A22)+1)+1)-FIND(":",A22,FIND("/",A22,FIND("]",A22)+1))-1))),MID(A22,(FIND(")",A22)+1),100)),CONCATENATE(MID(A22,1,2)," ",(SUM(MID(A22,FIND("[",A22)+1,FIND(":",A22)-FIND("[",A22)-1),MID(A22,FIND("_",A22)+1,FIND(":",A22,FIND("_",A22))-FIND("_",A22)-1),MID(A22,FIND("[",A22,FIND("[",A22)+1)+1,(FIND(":",A22,FIND("[",A22))-FIND("[",A22)-1)),MID(A22,FIND("_",A22,FIND("_",A22)+1)+1,FIND(":",A22,FIND("_",A22,FIND("[",A22,FIND("[",A22)+1)+1))-FIND("_",A22,FIND("[",A22,FIND("[",A22)+1)+1)-1))),":",SUM(MID(A22,FIND(":",A22)+1,FIND("_",A22)-FIND(":",A22)-1),MID(A22,FIND(":",A22,FIND("_",A22))+1,FIND("]",A22)-FIND(":",A22,FIND("_",A22))-1),MID(A22,FIND(":",A22,FIND("[",A22,FIND("[",A22)+1))+1,(FIND("_",A22,FIND("[",A22,FIND("[",A22)+1)+1)-FIND(":",A22,FIND("[",A22,FIND("[",A22)+1))-1)),MID(A22,FIND(":",A22,FIND("_",A22,FIND("]",A22)+1))+1,(FIND("]",A22,FIND("[",A22,FIND("[",A22)+1)+1)-FIND(":",A22,FIND("_",A22,FIND("]",A22)+1))-1))),MID(A22,(FIND(")",A22)+1),100))),A22)</f>
        <v>CL 52:2</v>
      </c>
      <c r="C22" s="1" t="str">
        <f>MID(B22,4,FIND(":",B22)-FIND(" ",B22)-1)</f>
        <v>52</v>
      </c>
      <c r="D22" s="1" t="str">
        <f>IF(ISNUMBER(SEARCH("__",B22)),MID(B22,FIND(":",B22)+1,FIND("__",B22)-FIND(":",B22)-1),MID(B22,FIND(":",B22)+1,7))</f>
        <v>2</v>
      </c>
      <c r="E22" s="17">
        <f t="shared" si="103"/>
        <v>61</v>
      </c>
      <c r="F22" s="17">
        <f t="shared" si="104"/>
        <v>114</v>
      </c>
      <c r="G22" s="17">
        <v>0</v>
      </c>
      <c r="H22" s="17">
        <f t="shared" si="105"/>
        <v>17</v>
      </c>
      <c r="I22" s="17">
        <v>2</v>
      </c>
      <c r="L22" s="19" t="str">
        <f t="shared" si="106"/>
        <v>C61H114O17P2</v>
      </c>
      <c r="M22" s="19">
        <f t="shared" si="107"/>
        <v>1180.7530853999999</v>
      </c>
      <c r="N22" s="19">
        <f t="shared" si="108"/>
        <v>1181.76036</v>
      </c>
      <c r="O22" s="46">
        <f t="shared" si="109"/>
        <v>1163.7492400000001</v>
      </c>
      <c r="P22" s="46">
        <f t="shared" si="110"/>
        <v>1198.7869054</v>
      </c>
      <c r="Q22" s="46">
        <f t="shared" si="111"/>
        <v>1203.7423053999999</v>
      </c>
      <c r="R22" s="46">
        <f t="shared" si="112"/>
        <v>1219.7162453999999</v>
      </c>
      <c r="S22" s="46">
        <f t="shared" si="113"/>
        <v>1187.7685454</v>
      </c>
      <c r="T22" s="19">
        <f t="shared" si="114"/>
        <v>1179.7458107999998</v>
      </c>
      <c r="U22" s="19">
        <f t="shared" si="115"/>
        <v>1225.7513053999999</v>
      </c>
      <c r="V22" s="19">
        <f t="shared" si="116"/>
        <v>1239.7669553999999</v>
      </c>
      <c r="W22" s="46">
        <f t="shared" si="87"/>
        <v>589.36926809999989</v>
      </c>
      <c r="Y22" s="46">
        <f t="shared" si="34"/>
        <v>608.41036269999995</v>
      </c>
      <c r="Z22" s="46">
        <f t="shared" si="35"/>
        <v>613.3657627</v>
      </c>
      <c r="AA22" s="46">
        <f t="shared" si="36"/>
        <v>629.33970269999998</v>
      </c>
      <c r="AB22" s="46">
        <f t="shared" si="37"/>
        <v>602.37478999999996</v>
      </c>
      <c r="AC22" s="46">
        <f t="shared" si="33"/>
        <v>610.36176</v>
      </c>
    </row>
    <row r="23" spans="1:29" x14ac:dyDescent="0.25">
      <c r="A23" s="20" t="s">
        <v>198</v>
      </c>
      <c r="B23" s="17" t="str">
        <f>IF(ISNUMBER(SEARCH("[",A23)),IF(ISNUMBER(SEARCH("/",A23)),CONCATENATE(MID(A23,1,2)," ",(SUM(MID(A23,FIND("[",A23)+1,FIND(":",A23)-FIND("[",A23)-1),MID(A23,FIND("/",A23)+1,FIND(":",A23,FIND("/",A23))-FIND("/",A23)-1),MID(A23,FIND("[",A23,FIND("[",A23)+1)+1,(FIND(":",A23,FIND("[",A23))-FIND("[",A23)-1)),MID(A23,FIND("/",A23,FIND("/",A23)+1)+1,FIND(":",A23,FIND("/",A23,FIND("[",A23,FIND("[",A23)+1)+1))-FIND("/",A23,FIND("[",A23,FIND("[",A23)+1)+1)-1))),":",SUM(MID(A23,FIND(":",A23)+1,FIND("/",A23)-FIND(":",A23)-1),MID(A23,FIND(":",A23,FIND("/",A23))+1,FIND("]",A23)-FIND(":",A23,FIND("/",A23))-1),MID(A23,FIND(":",A23,FIND("[",A23,FIND("[",A23)+1))+1,(FIND("/",A23,FIND("[",A23,FIND("[",A23)+1)+1)-FIND(":",A23,FIND("[",A23,FIND("[",A23)+1))-1)),MID(A23,FIND(":",A23,FIND("/",A23,FIND("]",A23)+1))+1,(FIND("]",A23,FIND("[",A23,FIND("[",A23)+1)+1)-FIND(":",A23,FIND("/",A23,FIND("]",A23)+1))-1))),MID(A23,(FIND(")",A23)+1),100)),CONCATENATE(MID(A23,1,2)," ",(SUM(MID(A23,FIND("[",A23)+1,FIND(":",A23)-FIND("[",A23)-1),MID(A23,FIND("_",A23)+1,FIND(":",A23,FIND("_",A23))-FIND("_",A23)-1),MID(A23,FIND("[",A23,FIND("[",A23)+1)+1,(FIND(":",A23,FIND("[",A23))-FIND("[",A23)-1)),MID(A23,FIND("_",A23,FIND("_",A23)+1)+1,FIND(":",A23,FIND("_",A23,FIND("[",A23,FIND("[",A23)+1)+1))-FIND("_",A23,FIND("[",A23,FIND("[",A23)+1)+1)-1))),":",SUM(MID(A23,FIND(":",A23)+1,FIND("_",A23)-FIND(":",A23)-1),MID(A23,FIND(":",A23,FIND("_",A23))+1,FIND("]",A23)-FIND(":",A23,FIND("_",A23))-1),MID(A23,FIND(":",A23,FIND("[",A23,FIND("[",A23)+1))+1,(FIND("_",A23,FIND("[",A23,FIND("[",A23)+1)+1)-FIND(":",A23,FIND("[",A23,FIND("[",A23)+1))-1)),MID(A23,FIND(":",A23,FIND("_",A23,FIND("]",A23)+1))+1,(FIND("]",A23,FIND("[",A23,FIND("[",A23)+1)+1)-FIND(":",A23,FIND("_",A23,FIND("]",A23)+1))-1))),MID(A23,(FIND(")",A23)+1),100))),A23)</f>
        <v>CL 52:1</v>
      </c>
      <c r="C23" s="1" t="str">
        <f>MID(B23,4,FIND(":",B23)-FIND(" ",B23)-1)</f>
        <v>52</v>
      </c>
      <c r="D23" s="1" t="str">
        <f>IF(ISNUMBER(SEARCH("__",B23)),MID(B23,FIND(":",B23)+1,FIND("__",B23)-FIND(":",B23)-1),MID(B23,FIND(":",B23)+1,7))</f>
        <v>1</v>
      </c>
      <c r="E23" s="17">
        <f t="shared" si="103"/>
        <v>61</v>
      </c>
      <c r="F23" s="17">
        <f t="shared" si="104"/>
        <v>116</v>
      </c>
      <c r="G23" s="17">
        <v>0</v>
      </c>
      <c r="H23" s="17">
        <f t="shared" si="105"/>
        <v>17</v>
      </c>
      <c r="I23" s="17">
        <v>2</v>
      </c>
      <c r="L23" s="19" t="str">
        <f t="shared" si="106"/>
        <v>C61H116O17P2</v>
      </c>
      <c r="M23" s="19">
        <f t="shared" si="107"/>
        <v>1182.7687346</v>
      </c>
      <c r="N23" s="19">
        <f t="shared" si="108"/>
        <v>1183.7760092000001</v>
      </c>
      <c r="O23" s="46">
        <f t="shared" si="109"/>
        <v>1165.7648892000002</v>
      </c>
      <c r="P23" s="46">
        <f t="shared" si="110"/>
        <v>1200.8025546000001</v>
      </c>
      <c r="Q23" s="46">
        <f t="shared" si="111"/>
        <v>1205.7579545999999</v>
      </c>
      <c r="R23" s="46">
        <f t="shared" si="112"/>
        <v>1221.7318946</v>
      </c>
      <c r="S23" s="46">
        <f t="shared" si="113"/>
        <v>1189.7841946000001</v>
      </c>
      <c r="T23" s="19">
        <f t="shared" si="114"/>
        <v>1181.7614599999999</v>
      </c>
      <c r="U23" s="19">
        <f t="shared" si="115"/>
        <v>1227.7669546</v>
      </c>
      <c r="V23" s="19">
        <f t="shared" si="116"/>
        <v>1241.7826046</v>
      </c>
      <c r="W23" s="46">
        <f t="shared" si="87"/>
        <v>590.37709269999993</v>
      </c>
      <c r="Y23" s="46">
        <f t="shared" si="34"/>
        <v>609.4181873</v>
      </c>
      <c r="Z23" s="46">
        <f t="shared" si="35"/>
        <v>614.37358730000005</v>
      </c>
      <c r="AA23" s="46">
        <f t="shared" si="36"/>
        <v>630.34752730000002</v>
      </c>
      <c r="AB23" s="46">
        <f t="shared" si="37"/>
        <v>603.38261460000001</v>
      </c>
      <c r="AC23" s="46">
        <f t="shared" si="33"/>
        <v>611.36958460000005</v>
      </c>
    </row>
    <row r="24" spans="1:29" x14ac:dyDescent="0.25">
      <c r="A24" s="20" t="s">
        <v>162</v>
      </c>
      <c r="B24" s="17" t="str">
        <f t="shared" si="100"/>
        <v>CL 52:0</v>
      </c>
      <c r="C24" s="1" t="str">
        <f t="shared" si="101"/>
        <v>52</v>
      </c>
      <c r="D24" s="1" t="str">
        <f t="shared" si="102"/>
        <v>0</v>
      </c>
      <c r="E24" s="17">
        <f t="shared" si="103"/>
        <v>61</v>
      </c>
      <c r="F24" s="17">
        <f t="shared" si="104"/>
        <v>118</v>
      </c>
      <c r="G24" s="17">
        <v>0</v>
      </c>
      <c r="H24" s="17">
        <f t="shared" si="105"/>
        <v>17</v>
      </c>
      <c r="I24" s="17">
        <v>2</v>
      </c>
      <c r="L24" s="19" t="str">
        <f t="shared" si="106"/>
        <v>C61H118O17P2</v>
      </c>
      <c r="M24" s="19">
        <f t="shared" si="107"/>
        <v>1184.7843837999999</v>
      </c>
      <c r="N24" s="19">
        <f t="shared" si="108"/>
        <v>1185.7916584</v>
      </c>
      <c r="O24" s="46">
        <f t="shared" si="109"/>
        <v>1167.7805384000001</v>
      </c>
      <c r="P24" s="46">
        <f t="shared" si="110"/>
        <v>1202.8182038</v>
      </c>
      <c r="Q24" s="46">
        <f t="shared" si="111"/>
        <v>1207.7736037999998</v>
      </c>
      <c r="R24" s="46">
        <f t="shared" si="112"/>
        <v>1223.7475437999999</v>
      </c>
      <c r="S24" s="46">
        <f t="shared" si="113"/>
        <v>1191.7998438</v>
      </c>
      <c r="T24" s="19">
        <f t="shared" si="114"/>
        <v>1183.7771091999998</v>
      </c>
      <c r="U24" s="19">
        <f t="shared" si="115"/>
        <v>1229.7826037999998</v>
      </c>
      <c r="V24" s="19">
        <f t="shared" si="116"/>
        <v>1243.7982537999999</v>
      </c>
      <c r="W24" s="46">
        <f t="shared" si="87"/>
        <v>591.38491729999987</v>
      </c>
      <c r="Y24" s="46">
        <f t="shared" si="34"/>
        <v>610.42601189999993</v>
      </c>
      <c r="Z24" s="46">
        <f t="shared" si="35"/>
        <v>615.38141189999999</v>
      </c>
      <c r="AA24" s="46">
        <f t="shared" si="36"/>
        <v>631.35535189999996</v>
      </c>
      <c r="AB24" s="46">
        <f t="shared" si="37"/>
        <v>604.39043919999995</v>
      </c>
      <c r="AC24" s="46">
        <f t="shared" si="33"/>
        <v>612.37740919999999</v>
      </c>
    </row>
    <row r="25" spans="1:29" x14ac:dyDescent="0.25">
      <c r="A25" s="20" t="s">
        <v>227</v>
      </c>
      <c r="B25" s="17" t="str">
        <f>IF(ISNUMBER(SEARCH("[",A25)),IF(ISNUMBER(SEARCH("/",A25)),CONCATENATE(MID(A25,1,2)," ",(SUM(MID(A25,FIND("[",A25)+1,FIND(":",A25)-FIND("[",A25)-1),MID(A25,FIND("/",A25)+1,FIND(":",A25,FIND("/",A25))-FIND("/",A25)-1),MID(A25,FIND("[",A25,FIND("[",A25)+1)+1,(FIND(":",A25,FIND("[",A25))-FIND("[",A25)-1)),MID(A25,FIND("/",A25,FIND("/",A25)+1)+1,FIND(":",A25,FIND("/",A25,FIND("[",A25,FIND("[",A25)+1)+1))-FIND("/",A25,FIND("[",A25,FIND("[",A25)+1)+1)-1))),":",SUM(MID(A25,FIND(":",A25)+1,FIND("/",A25)-FIND(":",A25)-1),MID(A25,FIND(":",A25,FIND("/",A25))+1,FIND("]",A25)-FIND(":",A25,FIND("/",A25))-1),MID(A25,FIND(":",A25,FIND("[",A25,FIND("[",A25)+1))+1,(FIND("/",A25,FIND("[",A25,FIND("[",A25)+1)+1)-FIND(":",A25,FIND("[",A25,FIND("[",A25)+1))-1)),MID(A25,FIND(":",A25,FIND("/",A25,FIND("]",A25)+1))+1,(FIND("]",A25,FIND("[",A25,FIND("[",A25)+1)+1)-FIND(":",A25,FIND("/",A25,FIND("]",A25)+1))-1))),MID(A25,(FIND(")",A25)+1),100)),CONCATENATE(MID(A25,1,2)," ",(SUM(MID(A25,FIND("[",A25)+1,FIND(":",A25)-FIND("[",A25)-1),MID(A25,FIND("_",A25)+1,FIND(":",A25,FIND("_",A25))-FIND("_",A25)-1),MID(A25,FIND("[",A25,FIND("[",A25)+1)+1,(FIND(":",A25,FIND("[",A25))-FIND("[",A25)-1)),MID(A25,FIND("_",A25,FIND("_",A25)+1)+1,FIND(":",A25,FIND("_",A25,FIND("[",A25,FIND("[",A25)+1)+1))-FIND("_",A25,FIND("[",A25,FIND("[",A25)+1)+1)-1))),":",SUM(MID(A25,FIND(":",A25)+1,FIND("_",A25)-FIND(":",A25)-1),MID(A25,FIND(":",A25,FIND("_",A25))+1,FIND("]",A25)-FIND(":",A25,FIND("_",A25))-1),MID(A25,FIND(":",A25,FIND("[",A25,FIND("[",A25)+1))+1,(FIND("_",A25,FIND("[",A25,FIND("[",A25)+1)+1)-FIND(":",A25,FIND("[",A25,FIND("[",A25)+1))-1)),MID(A25,FIND(":",A25,FIND("_",A25,FIND("]",A25)+1))+1,(FIND("]",A25,FIND("[",A25,FIND("[",A25)+1)+1)-FIND(":",A25,FIND("_",A25,FIND("]",A25)+1))-1))),MID(A25,(FIND(")",A25)+1),100))),A25)</f>
        <v>CL 53:2</v>
      </c>
      <c r="C25" s="1" t="str">
        <f>MID(B25,4,FIND(":",B25)-FIND(" ",B25)-1)</f>
        <v>53</v>
      </c>
      <c r="D25" s="1" t="str">
        <f>IF(ISNUMBER(SEARCH("__",B25)),MID(B25,FIND(":",B25)+1,FIND("__",B25)-FIND(":",B25)-1),MID(B25,FIND(":",B25)+1,7))</f>
        <v>2</v>
      </c>
      <c r="E25" s="17">
        <f t="shared" si="103"/>
        <v>62</v>
      </c>
      <c r="F25" s="17">
        <f t="shared" si="104"/>
        <v>116</v>
      </c>
      <c r="G25" s="17">
        <v>0</v>
      </c>
      <c r="H25" s="17">
        <f t="shared" si="105"/>
        <v>17</v>
      </c>
      <c r="I25" s="17">
        <v>2</v>
      </c>
      <c r="L25" s="19" t="str">
        <f t="shared" si="106"/>
        <v>C62H116O17P2</v>
      </c>
      <c r="M25" s="19">
        <f t="shared" si="107"/>
        <v>1194.7687346</v>
      </c>
      <c r="N25" s="19">
        <f t="shared" si="108"/>
        <v>1195.7760092000001</v>
      </c>
      <c r="O25" s="46">
        <f t="shared" si="109"/>
        <v>1177.7648892000002</v>
      </c>
      <c r="P25" s="46">
        <f t="shared" si="110"/>
        <v>1212.8025546000001</v>
      </c>
      <c r="Q25" s="46">
        <f t="shared" si="111"/>
        <v>1217.7579545999999</v>
      </c>
      <c r="R25" s="46">
        <f t="shared" si="112"/>
        <v>1233.7318946</v>
      </c>
      <c r="S25" s="46">
        <f t="shared" si="113"/>
        <v>1201.7841946000001</v>
      </c>
      <c r="T25" s="19">
        <f t="shared" si="114"/>
        <v>1193.7614599999999</v>
      </c>
      <c r="U25" s="19">
        <f t="shared" si="115"/>
        <v>1239.7669546</v>
      </c>
      <c r="V25" s="19">
        <f t="shared" si="116"/>
        <v>1253.7826046</v>
      </c>
      <c r="W25" s="46">
        <f t="shared" si="87"/>
        <v>596.37709269999993</v>
      </c>
      <c r="Y25" s="46">
        <f t="shared" si="34"/>
        <v>615.4181873</v>
      </c>
      <c r="Z25" s="46">
        <f t="shared" si="35"/>
        <v>620.37358730000005</v>
      </c>
      <c r="AA25" s="46">
        <f t="shared" si="36"/>
        <v>636.34752730000002</v>
      </c>
      <c r="AB25" s="46">
        <f t="shared" si="37"/>
        <v>609.38261460000001</v>
      </c>
      <c r="AC25" s="46">
        <f t="shared" si="33"/>
        <v>617.36958460000005</v>
      </c>
    </row>
    <row r="26" spans="1:29" x14ac:dyDescent="0.25">
      <c r="A26" s="20" t="s">
        <v>197</v>
      </c>
      <c r="B26" s="17" t="str">
        <f>IF(ISNUMBER(SEARCH("[",A26)),IF(ISNUMBER(SEARCH("/",A26)),CONCATENATE(MID(A26,1,2)," ",(SUM(MID(A26,FIND("[",A26)+1,FIND(":",A26)-FIND("[",A26)-1),MID(A26,FIND("/",A26)+1,FIND(":",A26,FIND("/",A26))-FIND("/",A26)-1),MID(A26,FIND("[",A26,FIND("[",A26)+1)+1,(FIND(":",A26,FIND("[",A26))-FIND("[",A26)-1)),MID(A26,FIND("/",A26,FIND("/",A26)+1)+1,FIND(":",A26,FIND("/",A26,FIND("[",A26,FIND("[",A26)+1)+1))-FIND("/",A26,FIND("[",A26,FIND("[",A26)+1)+1)-1))),":",SUM(MID(A26,FIND(":",A26)+1,FIND("/",A26)-FIND(":",A26)-1),MID(A26,FIND(":",A26,FIND("/",A26))+1,FIND("]",A26)-FIND(":",A26,FIND("/",A26))-1),MID(A26,FIND(":",A26,FIND("[",A26,FIND("[",A26)+1))+1,(FIND("/",A26,FIND("[",A26,FIND("[",A26)+1)+1)-FIND(":",A26,FIND("[",A26,FIND("[",A26)+1))-1)),MID(A26,FIND(":",A26,FIND("/",A26,FIND("]",A26)+1))+1,(FIND("]",A26,FIND("[",A26,FIND("[",A26)+1)+1)-FIND(":",A26,FIND("/",A26,FIND("]",A26)+1))-1))),MID(A26,(FIND(")",A26)+1),100)),CONCATENATE(MID(A26,1,2)," ",(SUM(MID(A26,FIND("[",A26)+1,FIND(":",A26)-FIND("[",A26)-1),MID(A26,FIND("_",A26)+1,FIND(":",A26,FIND("_",A26))-FIND("_",A26)-1),MID(A26,FIND("[",A26,FIND("[",A26)+1)+1,(FIND(":",A26,FIND("[",A26))-FIND("[",A26)-1)),MID(A26,FIND("_",A26,FIND("_",A26)+1)+1,FIND(":",A26,FIND("_",A26,FIND("[",A26,FIND("[",A26)+1)+1))-FIND("_",A26,FIND("[",A26,FIND("[",A26)+1)+1)-1))),":",SUM(MID(A26,FIND(":",A26)+1,FIND("_",A26)-FIND(":",A26)-1),MID(A26,FIND(":",A26,FIND("_",A26))+1,FIND("]",A26)-FIND(":",A26,FIND("_",A26))-1),MID(A26,FIND(":",A26,FIND("[",A26,FIND("[",A26)+1))+1,(FIND("_",A26,FIND("[",A26,FIND("[",A26)+1)+1)-FIND(":",A26,FIND("[",A26,FIND("[",A26)+1))-1)),MID(A26,FIND(":",A26,FIND("_",A26,FIND("]",A26)+1))+1,(FIND("]",A26,FIND("[",A26,FIND("[",A26)+1)+1)-FIND(":",A26,FIND("_",A26,FIND("]",A26)+1))-1))),MID(A26,(FIND(")",A26)+1),100))),A26)</f>
        <v>CL 53:1</v>
      </c>
      <c r="C26" s="1" t="str">
        <f>MID(B26,4,FIND(":",B26)-FIND(" ",B26)-1)</f>
        <v>53</v>
      </c>
      <c r="D26" s="1" t="str">
        <f>IF(ISNUMBER(SEARCH("__",B26)),MID(B26,FIND(":",B26)+1,FIND("__",B26)-FIND(":",B26)-1),MID(B26,FIND(":",B26)+1,7))</f>
        <v>1</v>
      </c>
      <c r="E26" s="17">
        <f t="shared" si="103"/>
        <v>62</v>
      </c>
      <c r="F26" s="17">
        <f t="shared" si="104"/>
        <v>118</v>
      </c>
      <c r="G26" s="17">
        <v>0</v>
      </c>
      <c r="H26" s="17">
        <f t="shared" si="105"/>
        <v>17</v>
      </c>
      <c r="I26" s="17">
        <v>2</v>
      </c>
      <c r="L26" s="19" t="str">
        <f t="shared" si="106"/>
        <v>C62H118O17P2</v>
      </c>
      <c r="M26" s="19">
        <f t="shared" si="107"/>
        <v>1196.7843837999999</v>
      </c>
      <c r="N26" s="19">
        <f t="shared" si="108"/>
        <v>1197.7916584</v>
      </c>
      <c r="O26" s="46">
        <f t="shared" si="109"/>
        <v>1179.7805384000001</v>
      </c>
      <c r="P26" s="46">
        <f t="shared" si="110"/>
        <v>1214.8182038</v>
      </c>
      <c r="Q26" s="46">
        <f t="shared" si="111"/>
        <v>1219.7736037999998</v>
      </c>
      <c r="R26" s="46">
        <f t="shared" si="112"/>
        <v>1235.7475437999999</v>
      </c>
      <c r="S26" s="46">
        <f t="shared" si="113"/>
        <v>1203.7998438</v>
      </c>
      <c r="T26" s="19">
        <f t="shared" si="114"/>
        <v>1195.7771091999998</v>
      </c>
      <c r="U26" s="19">
        <f t="shared" si="115"/>
        <v>1241.7826037999998</v>
      </c>
      <c r="V26" s="19">
        <f t="shared" si="116"/>
        <v>1255.7982537999999</v>
      </c>
      <c r="W26" s="46">
        <f t="shared" si="87"/>
        <v>597.38491729999987</v>
      </c>
      <c r="Y26" s="46">
        <f t="shared" si="34"/>
        <v>616.42601189999993</v>
      </c>
      <c r="Z26" s="46">
        <f t="shared" si="35"/>
        <v>621.38141189999999</v>
      </c>
      <c r="AA26" s="46">
        <f t="shared" si="36"/>
        <v>637.35535189999996</v>
      </c>
      <c r="AB26" s="46">
        <f t="shared" si="37"/>
        <v>610.39043919999995</v>
      </c>
      <c r="AC26" s="46">
        <f t="shared" si="33"/>
        <v>618.37740919999999</v>
      </c>
    </row>
    <row r="27" spans="1:29" x14ac:dyDescent="0.25">
      <c r="A27" s="20" t="s">
        <v>163</v>
      </c>
      <c r="B27" s="17" t="str">
        <f t="shared" si="100"/>
        <v>CL 53:0</v>
      </c>
      <c r="C27" s="1" t="str">
        <f t="shared" si="101"/>
        <v>53</v>
      </c>
      <c r="D27" s="1" t="str">
        <f t="shared" si="102"/>
        <v>0</v>
      </c>
      <c r="E27" s="17">
        <f t="shared" si="103"/>
        <v>62</v>
      </c>
      <c r="F27" s="17">
        <f t="shared" si="104"/>
        <v>120</v>
      </c>
      <c r="G27" s="17">
        <v>0</v>
      </c>
      <c r="H27" s="17">
        <f t="shared" si="105"/>
        <v>17</v>
      </c>
      <c r="I27" s="17">
        <v>2</v>
      </c>
      <c r="L27" s="19" t="str">
        <f t="shared" si="106"/>
        <v>C62H120O17P2</v>
      </c>
      <c r="M27" s="19">
        <f t="shared" si="107"/>
        <v>1198.800033</v>
      </c>
      <c r="N27" s="19">
        <f t="shared" si="108"/>
        <v>1199.8073076000001</v>
      </c>
      <c r="O27" s="46">
        <f t="shared" si="109"/>
        <v>1181.7961876000002</v>
      </c>
      <c r="P27" s="46">
        <f t="shared" si="110"/>
        <v>1216.8338530000001</v>
      </c>
      <c r="Q27" s="46">
        <f t="shared" si="111"/>
        <v>1221.7892529999999</v>
      </c>
      <c r="R27" s="46">
        <f t="shared" si="112"/>
        <v>1237.763193</v>
      </c>
      <c r="S27" s="46">
        <f t="shared" si="113"/>
        <v>1205.8154930000001</v>
      </c>
      <c r="T27" s="19">
        <f t="shared" si="114"/>
        <v>1197.7927583999999</v>
      </c>
      <c r="U27" s="19">
        <f t="shared" si="115"/>
        <v>1243.7982529999999</v>
      </c>
      <c r="V27" s="19">
        <f t="shared" si="116"/>
        <v>1257.813903</v>
      </c>
      <c r="W27" s="46">
        <f t="shared" si="87"/>
        <v>598.39274189999992</v>
      </c>
      <c r="Y27" s="46">
        <f t="shared" si="34"/>
        <v>617.43383649999998</v>
      </c>
      <c r="Z27" s="46">
        <f t="shared" si="35"/>
        <v>622.38923650000004</v>
      </c>
      <c r="AA27" s="46">
        <f t="shared" si="36"/>
        <v>638.36317650000001</v>
      </c>
      <c r="AB27" s="46">
        <f t="shared" si="37"/>
        <v>611.3982638</v>
      </c>
      <c r="AC27" s="46">
        <f t="shared" si="33"/>
        <v>619.38523380000004</v>
      </c>
    </row>
    <row r="28" spans="1:29" x14ac:dyDescent="0.25">
      <c r="A28" s="20" t="s">
        <v>228</v>
      </c>
      <c r="B28" s="17" t="str">
        <f>IF(ISNUMBER(SEARCH("[",A28)),IF(ISNUMBER(SEARCH("/",A28)),CONCATENATE(MID(A28,1,2)," ",(SUM(MID(A28,FIND("[",A28)+1,FIND(":",A28)-FIND("[",A28)-1),MID(A28,FIND("/",A28)+1,FIND(":",A28,FIND("/",A28))-FIND("/",A28)-1),MID(A28,FIND("[",A28,FIND("[",A28)+1)+1,(FIND(":",A28,FIND("[",A28))-FIND("[",A28)-1)),MID(A28,FIND("/",A28,FIND("/",A28)+1)+1,FIND(":",A28,FIND("/",A28,FIND("[",A28,FIND("[",A28)+1)+1))-FIND("/",A28,FIND("[",A28,FIND("[",A28)+1)+1)-1))),":",SUM(MID(A28,FIND(":",A28)+1,FIND("/",A28)-FIND(":",A28)-1),MID(A28,FIND(":",A28,FIND("/",A28))+1,FIND("]",A28)-FIND(":",A28,FIND("/",A28))-1),MID(A28,FIND(":",A28,FIND("[",A28,FIND("[",A28)+1))+1,(FIND("/",A28,FIND("[",A28,FIND("[",A28)+1)+1)-FIND(":",A28,FIND("[",A28,FIND("[",A28)+1))-1)),MID(A28,FIND(":",A28,FIND("/",A28,FIND("]",A28)+1))+1,(FIND("]",A28,FIND("[",A28,FIND("[",A28)+1)+1)-FIND(":",A28,FIND("/",A28,FIND("]",A28)+1))-1))),MID(A28,(FIND(")",A28)+1),100)),CONCATENATE(MID(A28,1,2)," ",(SUM(MID(A28,FIND("[",A28)+1,FIND(":",A28)-FIND("[",A28)-1),MID(A28,FIND("_",A28)+1,FIND(":",A28,FIND("_",A28))-FIND("_",A28)-1),MID(A28,FIND("[",A28,FIND("[",A28)+1)+1,(FIND(":",A28,FIND("[",A28))-FIND("[",A28)-1)),MID(A28,FIND("_",A28,FIND("_",A28)+1)+1,FIND(":",A28,FIND("_",A28,FIND("[",A28,FIND("[",A28)+1)+1))-FIND("_",A28,FIND("[",A28,FIND("[",A28)+1)+1)-1))),":",SUM(MID(A28,FIND(":",A28)+1,FIND("_",A28)-FIND(":",A28)-1),MID(A28,FIND(":",A28,FIND("_",A28))+1,FIND("]",A28)-FIND(":",A28,FIND("_",A28))-1),MID(A28,FIND(":",A28,FIND("[",A28,FIND("[",A28)+1))+1,(FIND("_",A28,FIND("[",A28,FIND("[",A28)+1)+1)-FIND(":",A28,FIND("[",A28,FIND("[",A28)+1))-1)),MID(A28,FIND(":",A28,FIND("_",A28,FIND("]",A28)+1))+1,(FIND("]",A28,FIND("[",A28,FIND("[",A28)+1)+1)-FIND(":",A28,FIND("_",A28,FIND("]",A28)+1))-1))),MID(A28,(FIND(")",A28)+1),100))),A28)</f>
        <v>CL 54:2</v>
      </c>
      <c r="C28" s="1" t="str">
        <f>MID(B28,4,FIND(":",B28)-FIND(" ",B28)-1)</f>
        <v>54</v>
      </c>
      <c r="D28" s="1" t="str">
        <f>IF(ISNUMBER(SEARCH("__",B28)),MID(B28,FIND(":",B28)+1,FIND("__",B28)-FIND(":",B28)-1),MID(B28,FIND(":",B28)+1,7))</f>
        <v>2</v>
      </c>
      <c r="E28" s="17">
        <f t="shared" si="103"/>
        <v>63</v>
      </c>
      <c r="F28" s="17">
        <f t="shared" si="104"/>
        <v>118</v>
      </c>
      <c r="G28" s="17">
        <v>0</v>
      </c>
      <c r="H28" s="17">
        <f t="shared" si="105"/>
        <v>17</v>
      </c>
      <c r="I28" s="17">
        <v>2</v>
      </c>
      <c r="L28" s="19" t="str">
        <f t="shared" si="106"/>
        <v>C63H118O17P2</v>
      </c>
      <c r="M28" s="19">
        <f t="shared" si="107"/>
        <v>1208.7843837999999</v>
      </c>
      <c r="N28" s="19">
        <f t="shared" si="108"/>
        <v>1209.7916584</v>
      </c>
      <c r="O28" s="46">
        <f t="shared" si="109"/>
        <v>1191.7805384000001</v>
      </c>
      <c r="P28" s="46">
        <f t="shared" si="110"/>
        <v>1226.8182038</v>
      </c>
      <c r="Q28" s="46">
        <f t="shared" si="111"/>
        <v>1231.7736037999998</v>
      </c>
      <c r="R28" s="46">
        <f t="shared" si="112"/>
        <v>1247.7475437999999</v>
      </c>
      <c r="S28" s="46">
        <f t="shared" si="113"/>
        <v>1215.7998438</v>
      </c>
      <c r="T28" s="19">
        <f t="shared" si="114"/>
        <v>1207.7771091999998</v>
      </c>
      <c r="U28" s="19">
        <f t="shared" si="115"/>
        <v>1253.7826037999998</v>
      </c>
      <c r="V28" s="19">
        <f t="shared" si="116"/>
        <v>1267.7982537999999</v>
      </c>
      <c r="W28" s="46">
        <f t="shared" si="87"/>
        <v>603.38491729999987</v>
      </c>
      <c r="Y28" s="46">
        <f t="shared" si="34"/>
        <v>622.42601189999993</v>
      </c>
      <c r="Z28" s="46">
        <f t="shared" si="35"/>
        <v>627.38141189999999</v>
      </c>
      <c r="AA28" s="46">
        <f t="shared" si="36"/>
        <v>643.35535189999996</v>
      </c>
      <c r="AB28" s="46">
        <f t="shared" si="37"/>
        <v>616.39043919999995</v>
      </c>
      <c r="AC28" s="46">
        <f t="shared" si="33"/>
        <v>624.37740919999999</v>
      </c>
    </row>
    <row r="29" spans="1:29" x14ac:dyDescent="0.25">
      <c r="A29" s="20" t="s">
        <v>196</v>
      </c>
      <c r="B29" s="17" t="str">
        <f>IF(ISNUMBER(SEARCH("[",A29)),IF(ISNUMBER(SEARCH("/",A29)),CONCATENATE(MID(A29,1,2)," ",(SUM(MID(A29,FIND("[",A29)+1,FIND(":",A29)-FIND("[",A29)-1),MID(A29,FIND("/",A29)+1,FIND(":",A29,FIND("/",A29))-FIND("/",A29)-1),MID(A29,FIND("[",A29,FIND("[",A29)+1)+1,(FIND(":",A29,FIND("[",A29))-FIND("[",A29)-1)),MID(A29,FIND("/",A29,FIND("/",A29)+1)+1,FIND(":",A29,FIND("/",A29,FIND("[",A29,FIND("[",A29)+1)+1))-FIND("/",A29,FIND("[",A29,FIND("[",A29)+1)+1)-1))),":",SUM(MID(A29,FIND(":",A29)+1,FIND("/",A29)-FIND(":",A29)-1),MID(A29,FIND(":",A29,FIND("/",A29))+1,FIND("]",A29)-FIND(":",A29,FIND("/",A29))-1),MID(A29,FIND(":",A29,FIND("[",A29,FIND("[",A29)+1))+1,(FIND("/",A29,FIND("[",A29,FIND("[",A29)+1)+1)-FIND(":",A29,FIND("[",A29,FIND("[",A29)+1))-1)),MID(A29,FIND(":",A29,FIND("/",A29,FIND("]",A29)+1))+1,(FIND("]",A29,FIND("[",A29,FIND("[",A29)+1)+1)-FIND(":",A29,FIND("/",A29,FIND("]",A29)+1))-1))),MID(A29,(FIND(")",A29)+1),100)),CONCATENATE(MID(A29,1,2)," ",(SUM(MID(A29,FIND("[",A29)+1,FIND(":",A29)-FIND("[",A29)-1),MID(A29,FIND("_",A29)+1,FIND(":",A29,FIND("_",A29))-FIND("_",A29)-1),MID(A29,FIND("[",A29,FIND("[",A29)+1)+1,(FIND(":",A29,FIND("[",A29))-FIND("[",A29)-1)),MID(A29,FIND("_",A29,FIND("_",A29)+1)+1,FIND(":",A29,FIND("_",A29,FIND("[",A29,FIND("[",A29)+1)+1))-FIND("_",A29,FIND("[",A29,FIND("[",A29)+1)+1)-1))),":",SUM(MID(A29,FIND(":",A29)+1,FIND("_",A29)-FIND(":",A29)-1),MID(A29,FIND(":",A29,FIND("_",A29))+1,FIND("]",A29)-FIND(":",A29,FIND("_",A29))-1),MID(A29,FIND(":",A29,FIND("[",A29,FIND("[",A29)+1))+1,(FIND("_",A29,FIND("[",A29,FIND("[",A29)+1)+1)-FIND(":",A29,FIND("[",A29,FIND("[",A29)+1))-1)),MID(A29,FIND(":",A29,FIND("_",A29,FIND("]",A29)+1))+1,(FIND("]",A29,FIND("[",A29,FIND("[",A29)+1)+1)-FIND(":",A29,FIND("_",A29,FIND("]",A29)+1))-1))),MID(A29,(FIND(")",A29)+1),100))),A29)</f>
        <v>CL 54:1</v>
      </c>
      <c r="C29" s="1" t="str">
        <f>MID(B29,4,FIND(":",B29)-FIND(" ",B29)-1)</f>
        <v>54</v>
      </c>
      <c r="D29" s="1" t="str">
        <f>IF(ISNUMBER(SEARCH("__",B29)),MID(B29,FIND(":",B29)+1,FIND("__",B29)-FIND(":",B29)-1),MID(B29,FIND(":",B29)+1,7))</f>
        <v>1</v>
      </c>
      <c r="E29" s="17">
        <f t="shared" si="103"/>
        <v>63</v>
      </c>
      <c r="F29" s="17">
        <f t="shared" si="104"/>
        <v>120</v>
      </c>
      <c r="G29" s="17">
        <v>0</v>
      </c>
      <c r="H29" s="17">
        <f t="shared" si="105"/>
        <v>17</v>
      </c>
      <c r="I29" s="17">
        <v>2</v>
      </c>
      <c r="L29" s="19" t="str">
        <f t="shared" si="106"/>
        <v>C63H120O17P2</v>
      </c>
      <c r="M29" s="19">
        <f t="shared" si="107"/>
        <v>1210.800033</v>
      </c>
      <c r="N29" s="19">
        <f t="shared" si="108"/>
        <v>1211.8073076000001</v>
      </c>
      <c r="O29" s="46">
        <f t="shared" si="109"/>
        <v>1193.7961876000002</v>
      </c>
      <c r="P29" s="46">
        <f t="shared" si="110"/>
        <v>1228.8338530000001</v>
      </c>
      <c r="Q29" s="46">
        <f t="shared" si="111"/>
        <v>1233.7892529999999</v>
      </c>
      <c r="R29" s="46">
        <f t="shared" si="112"/>
        <v>1249.763193</v>
      </c>
      <c r="S29" s="46">
        <f t="shared" si="113"/>
        <v>1217.8154930000001</v>
      </c>
      <c r="T29" s="19">
        <f t="shared" si="114"/>
        <v>1209.7927583999999</v>
      </c>
      <c r="U29" s="19">
        <f t="shared" si="115"/>
        <v>1255.7982529999999</v>
      </c>
      <c r="V29" s="19">
        <f t="shared" si="116"/>
        <v>1269.813903</v>
      </c>
      <c r="W29" s="46">
        <f t="shared" si="87"/>
        <v>604.39274189999992</v>
      </c>
      <c r="Y29" s="46">
        <f t="shared" si="34"/>
        <v>623.43383649999998</v>
      </c>
      <c r="Z29" s="46">
        <f t="shared" si="35"/>
        <v>628.38923650000004</v>
      </c>
      <c r="AA29" s="46">
        <f t="shared" si="36"/>
        <v>644.36317650000001</v>
      </c>
      <c r="AB29" s="46">
        <f t="shared" si="37"/>
        <v>617.3982638</v>
      </c>
      <c r="AC29" s="46">
        <f t="shared" si="33"/>
        <v>625.38523380000004</v>
      </c>
    </row>
    <row r="30" spans="1:29" x14ac:dyDescent="0.25">
      <c r="A30" s="20" t="s">
        <v>164</v>
      </c>
      <c r="B30" s="17" t="str">
        <f t="shared" si="100"/>
        <v>CL 54:0</v>
      </c>
      <c r="C30" s="1" t="str">
        <f t="shared" si="101"/>
        <v>54</v>
      </c>
      <c r="D30" s="1" t="str">
        <f t="shared" si="102"/>
        <v>0</v>
      </c>
      <c r="E30" s="17">
        <f t="shared" si="103"/>
        <v>63</v>
      </c>
      <c r="F30" s="17">
        <f t="shared" si="104"/>
        <v>122</v>
      </c>
      <c r="G30" s="17">
        <v>0</v>
      </c>
      <c r="H30" s="17">
        <f t="shared" si="105"/>
        <v>17</v>
      </c>
      <c r="I30" s="17">
        <v>2</v>
      </c>
      <c r="L30" s="19" t="str">
        <f t="shared" si="106"/>
        <v>C63H122O17P2</v>
      </c>
      <c r="M30" s="19">
        <f t="shared" si="107"/>
        <v>1212.8156821999999</v>
      </c>
      <c r="N30" s="19">
        <f t="shared" si="108"/>
        <v>1213.8229567999999</v>
      </c>
      <c r="O30" s="46">
        <f t="shared" si="109"/>
        <v>1195.8118368</v>
      </c>
      <c r="P30" s="46">
        <f t="shared" si="110"/>
        <v>1230.8495022</v>
      </c>
      <c r="Q30" s="46">
        <f t="shared" si="111"/>
        <v>1235.8049021999998</v>
      </c>
      <c r="R30" s="46">
        <f t="shared" si="112"/>
        <v>1251.7788421999999</v>
      </c>
      <c r="S30" s="46">
        <f t="shared" si="113"/>
        <v>1219.8311421999999</v>
      </c>
      <c r="T30" s="19">
        <f t="shared" si="114"/>
        <v>1211.8084075999998</v>
      </c>
      <c r="U30" s="19">
        <f t="shared" si="115"/>
        <v>1257.8139021999998</v>
      </c>
      <c r="V30" s="19">
        <f t="shared" si="116"/>
        <v>1271.8295521999999</v>
      </c>
      <c r="W30" s="46">
        <f t="shared" si="87"/>
        <v>605.40056649999985</v>
      </c>
      <c r="Y30" s="46">
        <f t="shared" si="34"/>
        <v>624.44166109999992</v>
      </c>
      <c r="Z30" s="46">
        <f t="shared" si="35"/>
        <v>629.39706109999997</v>
      </c>
      <c r="AA30" s="46">
        <f t="shared" si="36"/>
        <v>645.37100109999994</v>
      </c>
      <c r="AB30" s="46">
        <f t="shared" si="37"/>
        <v>618.40608839999993</v>
      </c>
      <c r="AC30" s="46">
        <f t="shared" si="33"/>
        <v>626.39305839999997</v>
      </c>
    </row>
    <row r="31" spans="1:29" x14ac:dyDescent="0.25">
      <c r="A31" s="20" t="s">
        <v>229</v>
      </c>
      <c r="B31" s="17" t="str">
        <f>IF(ISNUMBER(SEARCH("[",A31)),IF(ISNUMBER(SEARCH("/",A31)),CONCATENATE(MID(A31,1,2)," ",(SUM(MID(A31,FIND("[",A31)+1,FIND(":",A31)-FIND("[",A31)-1),MID(A31,FIND("/",A31)+1,FIND(":",A31,FIND("/",A31))-FIND("/",A31)-1),MID(A31,FIND("[",A31,FIND("[",A31)+1)+1,(FIND(":",A31,FIND("[",A31))-FIND("[",A31)-1)),MID(A31,FIND("/",A31,FIND("/",A31)+1)+1,FIND(":",A31,FIND("/",A31,FIND("[",A31,FIND("[",A31)+1)+1))-FIND("/",A31,FIND("[",A31,FIND("[",A31)+1)+1)-1))),":",SUM(MID(A31,FIND(":",A31)+1,FIND("/",A31)-FIND(":",A31)-1),MID(A31,FIND(":",A31,FIND("/",A31))+1,FIND("]",A31)-FIND(":",A31,FIND("/",A31))-1),MID(A31,FIND(":",A31,FIND("[",A31,FIND("[",A31)+1))+1,(FIND("/",A31,FIND("[",A31,FIND("[",A31)+1)+1)-FIND(":",A31,FIND("[",A31,FIND("[",A31)+1))-1)),MID(A31,FIND(":",A31,FIND("/",A31,FIND("]",A31)+1))+1,(FIND("]",A31,FIND("[",A31,FIND("[",A31)+1)+1)-FIND(":",A31,FIND("/",A31,FIND("]",A31)+1))-1))),MID(A31,(FIND(")",A31)+1),100)),CONCATENATE(MID(A31,1,2)," ",(SUM(MID(A31,FIND("[",A31)+1,FIND(":",A31)-FIND("[",A31)-1),MID(A31,FIND("_",A31)+1,FIND(":",A31,FIND("_",A31))-FIND("_",A31)-1),MID(A31,FIND("[",A31,FIND("[",A31)+1)+1,(FIND(":",A31,FIND("[",A31))-FIND("[",A31)-1)),MID(A31,FIND("_",A31,FIND("_",A31)+1)+1,FIND(":",A31,FIND("_",A31,FIND("[",A31,FIND("[",A31)+1)+1))-FIND("_",A31,FIND("[",A31,FIND("[",A31)+1)+1)-1))),":",SUM(MID(A31,FIND(":",A31)+1,FIND("_",A31)-FIND(":",A31)-1),MID(A31,FIND(":",A31,FIND("_",A31))+1,FIND("]",A31)-FIND(":",A31,FIND("_",A31))-1),MID(A31,FIND(":",A31,FIND("[",A31,FIND("[",A31)+1))+1,(FIND("_",A31,FIND("[",A31,FIND("[",A31)+1)+1)-FIND(":",A31,FIND("[",A31,FIND("[",A31)+1))-1)),MID(A31,FIND(":",A31,FIND("_",A31,FIND("]",A31)+1))+1,(FIND("]",A31,FIND("[",A31,FIND("[",A31)+1)+1)-FIND(":",A31,FIND("_",A31,FIND("]",A31)+1))-1))),MID(A31,(FIND(")",A31)+1),100))),A31)</f>
        <v>CL 55:2</v>
      </c>
      <c r="C31" s="1" t="str">
        <f>MID(B31,4,FIND(":",B31)-FIND(" ",B31)-1)</f>
        <v>55</v>
      </c>
      <c r="D31" s="1" t="str">
        <f>IF(ISNUMBER(SEARCH("__",B31)),MID(B31,FIND(":",B31)+1,FIND("__",B31)-FIND(":",B31)-1),MID(B31,FIND(":",B31)+1,7))</f>
        <v>2</v>
      </c>
      <c r="E31" s="17">
        <f t="shared" si="103"/>
        <v>64</v>
      </c>
      <c r="F31" s="17">
        <f t="shared" si="104"/>
        <v>120</v>
      </c>
      <c r="G31" s="17">
        <v>0</v>
      </c>
      <c r="H31" s="17">
        <f t="shared" si="105"/>
        <v>17</v>
      </c>
      <c r="I31" s="17">
        <v>2</v>
      </c>
      <c r="L31" s="19" t="str">
        <f t="shared" si="106"/>
        <v>C64H120O17P2</v>
      </c>
      <c r="M31" s="19">
        <f t="shared" si="107"/>
        <v>1222.800033</v>
      </c>
      <c r="N31" s="19">
        <f t="shared" si="108"/>
        <v>1223.8073076000001</v>
      </c>
      <c r="O31" s="46">
        <f t="shared" si="109"/>
        <v>1205.7961876000002</v>
      </c>
      <c r="P31" s="46">
        <f t="shared" si="110"/>
        <v>1240.8338530000001</v>
      </c>
      <c r="Q31" s="46">
        <f t="shared" si="111"/>
        <v>1245.7892529999999</v>
      </c>
      <c r="R31" s="46">
        <f t="shared" si="112"/>
        <v>1261.763193</v>
      </c>
      <c r="S31" s="46">
        <f t="shared" si="113"/>
        <v>1229.8154930000001</v>
      </c>
      <c r="T31" s="19">
        <f t="shared" si="114"/>
        <v>1221.7927583999999</v>
      </c>
      <c r="U31" s="19">
        <f t="shared" si="115"/>
        <v>1267.7982529999999</v>
      </c>
      <c r="V31" s="19">
        <f t="shared" si="116"/>
        <v>1281.813903</v>
      </c>
      <c r="W31" s="46">
        <f t="shared" si="87"/>
        <v>610.39274189999992</v>
      </c>
      <c r="Y31" s="46">
        <f t="shared" si="34"/>
        <v>629.43383649999998</v>
      </c>
      <c r="Z31" s="46">
        <f t="shared" si="35"/>
        <v>634.38923650000004</v>
      </c>
      <c r="AA31" s="46">
        <f t="shared" si="36"/>
        <v>650.36317650000001</v>
      </c>
      <c r="AB31" s="46">
        <f t="shared" si="37"/>
        <v>623.3982638</v>
      </c>
      <c r="AC31" s="46">
        <f t="shared" si="33"/>
        <v>631.38523380000004</v>
      </c>
    </row>
    <row r="32" spans="1:29" x14ac:dyDescent="0.25">
      <c r="A32" s="20" t="s">
        <v>195</v>
      </c>
      <c r="B32" s="17" t="str">
        <f>IF(ISNUMBER(SEARCH("[",A32)),IF(ISNUMBER(SEARCH("/",A32)),CONCATENATE(MID(A32,1,2)," ",(SUM(MID(A32,FIND("[",A32)+1,FIND(":",A32)-FIND("[",A32)-1),MID(A32,FIND("/",A32)+1,FIND(":",A32,FIND("/",A32))-FIND("/",A32)-1),MID(A32,FIND("[",A32,FIND("[",A32)+1)+1,(FIND(":",A32,FIND("[",A32))-FIND("[",A32)-1)),MID(A32,FIND("/",A32,FIND("/",A32)+1)+1,FIND(":",A32,FIND("/",A32,FIND("[",A32,FIND("[",A32)+1)+1))-FIND("/",A32,FIND("[",A32,FIND("[",A32)+1)+1)-1))),":",SUM(MID(A32,FIND(":",A32)+1,FIND("/",A32)-FIND(":",A32)-1),MID(A32,FIND(":",A32,FIND("/",A32))+1,FIND("]",A32)-FIND(":",A32,FIND("/",A32))-1),MID(A32,FIND(":",A32,FIND("[",A32,FIND("[",A32)+1))+1,(FIND("/",A32,FIND("[",A32,FIND("[",A32)+1)+1)-FIND(":",A32,FIND("[",A32,FIND("[",A32)+1))-1)),MID(A32,FIND(":",A32,FIND("/",A32,FIND("]",A32)+1))+1,(FIND("]",A32,FIND("[",A32,FIND("[",A32)+1)+1)-FIND(":",A32,FIND("/",A32,FIND("]",A32)+1))-1))),MID(A32,(FIND(")",A32)+1),100)),CONCATENATE(MID(A32,1,2)," ",(SUM(MID(A32,FIND("[",A32)+1,FIND(":",A32)-FIND("[",A32)-1),MID(A32,FIND("_",A32)+1,FIND(":",A32,FIND("_",A32))-FIND("_",A32)-1),MID(A32,FIND("[",A32,FIND("[",A32)+1)+1,(FIND(":",A32,FIND("[",A32))-FIND("[",A32)-1)),MID(A32,FIND("_",A32,FIND("_",A32)+1)+1,FIND(":",A32,FIND("_",A32,FIND("[",A32,FIND("[",A32)+1)+1))-FIND("_",A32,FIND("[",A32,FIND("[",A32)+1)+1)-1))),":",SUM(MID(A32,FIND(":",A32)+1,FIND("_",A32)-FIND(":",A32)-1),MID(A32,FIND(":",A32,FIND("_",A32))+1,FIND("]",A32)-FIND(":",A32,FIND("_",A32))-1),MID(A32,FIND(":",A32,FIND("[",A32,FIND("[",A32)+1))+1,(FIND("_",A32,FIND("[",A32,FIND("[",A32)+1)+1)-FIND(":",A32,FIND("[",A32,FIND("[",A32)+1))-1)),MID(A32,FIND(":",A32,FIND("_",A32,FIND("]",A32)+1))+1,(FIND("]",A32,FIND("[",A32,FIND("[",A32)+1)+1)-FIND(":",A32,FIND("_",A32,FIND("]",A32)+1))-1))),MID(A32,(FIND(")",A32)+1),100))),A32)</f>
        <v>CL 55:1</v>
      </c>
      <c r="C32" s="1" t="str">
        <f>MID(B32,4,FIND(":",B32)-FIND(" ",B32)-1)</f>
        <v>55</v>
      </c>
      <c r="D32" s="1" t="str">
        <f>IF(ISNUMBER(SEARCH("__",B32)),MID(B32,FIND(":",B32)+1,FIND("__",B32)-FIND(":",B32)-1),MID(B32,FIND(":",B32)+1,7))</f>
        <v>1</v>
      </c>
      <c r="E32" s="17">
        <f t="shared" si="103"/>
        <v>64</v>
      </c>
      <c r="F32" s="17">
        <f t="shared" si="104"/>
        <v>122</v>
      </c>
      <c r="G32" s="17">
        <v>0</v>
      </c>
      <c r="H32" s="17">
        <f t="shared" si="105"/>
        <v>17</v>
      </c>
      <c r="I32" s="17">
        <v>2</v>
      </c>
      <c r="L32" s="19" t="str">
        <f t="shared" si="106"/>
        <v>C64H122O17P2</v>
      </c>
      <c r="M32" s="19">
        <f t="shared" si="107"/>
        <v>1224.8156821999999</v>
      </c>
      <c r="N32" s="19">
        <f t="shared" si="108"/>
        <v>1225.8229567999999</v>
      </c>
      <c r="O32" s="46">
        <f t="shared" si="109"/>
        <v>1207.8118368</v>
      </c>
      <c r="P32" s="46">
        <f t="shared" si="110"/>
        <v>1242.8495022</v>
      </c>
      <c r="Q32" s="46">
        <f t="shared" si="111"/>
        <v>1247.8049021999998</v>
      </c>
      <c r="R32" s="46">
        <f t="shared" si="112"/>
        <v>1263.7788421999999</v>
      </c>
      <c r="S32" s="46">
        <f t="shared" si="113"/>
        <v>1231.8311421999999</v>
      </c>
      <c r="T32" s="19">
        <f t="shared" si="114"/>
        <v>1223.8084075999998</v>
      </c>
      <c r="U32" s="19">
        <f t="shared" si="115"/>
        <v>1269.8139021999998</v>
      </c>
      <c r="V32" s="19">
        <f t="shared" si="116"/>
        <v>1283.8295521999999</v>
      </c>
      <c r="W32" s="46">
        <f t="shared" si="87"/>
        <v>611.40056649999985</v>
      </c>
      <c r="Y32" s="46">
        <f t="shared" si="34"/>
        <v>630.44166109999992</v>
      </c>
      <c r="Z32" s="46">
        <f t="shared" si="35"/>
        <v>635.39706109999997</v>
      </c>
      <c r="AA32" s="46">
        <f t="shared" si="36"/>
        <v>651.37100109999994</v>
      </c>
      <c r="AB32" s="46">
        <f t="shared" si="37"/>
        <v>624.40608839999993</v>
      </c>
      <c r="AC32" s="46">
        <f t="shared" si="33"/>
        <v>632.39305839999997</v>
      </c>
    </row>
    <row r="33" spans="1:29" x14ac:dyDescent="0.25">
      <c r="A33" s="20" t="s">
        <v>165</v>
      </c>
      <c r="B33" s="17" t="str">
        <f t="shared" si="100"/>
        <v>CL 55:0</v>
      </c>
      <c r="C33" s="1" t="str">
        <f t="shared" si="101"/>
        <v>55</v>
      </c>
      <c r="D33" s="1" t="str">
        <f t="shared" si="102"/>
        <v>0</v>
      </c>
      <c r="E33" s="17">
        <f t="shared" si="103"/>
        <v>64</v>
      </c>
      <c r="F33" s="17">
        <f t="shared" si="104"/>
        <v>124</v>
      </c>
      <c r="G33" s="17">
        <v>0</v>
      </c>
      <c r="H33" s="17">
        <f t="shared" si="105"/>
        <v>17</v>
      </c>
      <c r="I33" s="17">
        <v>2</v>
      </c>
      <c r="L33" s="19" t="str">
        <f t="shared" si="106"/>
        <v>C64H124O17P2</v>
      </c>
      <c r="M33" s="19">
        <f t="shared" si="107"/>
        <v>1226.8313314</v>
      </c>
      <c r="N33" s="19">
        <f t="shared" si="108"/>
        <v>1227.838606</v>
      </c>
      <c r="O33" s="46">
        <f t="shared" si="109"/>
        <v>1209.8274860000001</v>
      </c>
      <c r="P33" s="46">
        <f t="shared" si="110"/>
        <v>1244.8651514000001</v>
      </c>
      <c r="Q33" s="46">
        <f t="shared" si="111"/>
        <v>1249.8205513999999</v>
      </c>
      <c r="R33" s="46">
        <f t="shared" si="112"/>
        <v>1265.7944914</v>
      </c>
      <c r="S33" s="46">
        <f t="shared" si="113"/>
        <v>1233.8467914</v>
      </c>
      <c r="T33" s="19">
        <f t="shared" si="114"/>
        <v>1225.8240567999999</v>
      </c>
      <c r="U33" s="19">
        <f t="shared" si="115"/>
        <v>1271.8295513999999</v>
      </c>
      <c r="V33" s="19">
        <f t="shared" si="116"/>
        <v>1285.8452014</v>
      </c>
      <c r="W33" s="46">
        <f t="shared" si="87"/>
        <v>612.4083910999999</v>
      </c>
      <c r="Y33" s="46">
        <f t="shared" si="34"/>
        <v>631.44948569999997</v>
      </c>
      <c r="Z33" s="46">
        <f t="shared" si="35"/>
        <v>636.40488570000002</v>
      </c>
      <c r="AA33" s="46">
        <f t="shared" si="36"/>
        <v>652.37882569999999</v>
      </c>
      <c r="AB33" s="46">
        <f t="shared" si="37"/>
        <v>625.41391299999998</v>
      </c>
      <c r="AC33" s="46">
        <f t="shared" si="33"/>
        <v>633.40088300000002</v>
      </c>
    </row>
    <row r="34" spans="1:29" x14ac:dyDescent="0.25">
      <c r="A34" s="20" t="s">
        <v>230</v>
      </c>
      <c r="B34" s="17" t="str">
        <f>IF(ISNUMBER(SEARCH("[",A34)),IF(ISNUMBER(SEARCH("/",A34)),CONCATENATE(MID(A34,1,2)," ",(SUM(MID(A34,FIND("[",A34)+1,FIND(":",A34)-FIND("[",A34)-1),MID(A34,FIND("/",A34)+1,FIND(":",A34,FIND("/",A34))-FIND("/",A34)-1),MID(A34,FIND("[",A34,FIND("[",A34)+1)+1,(FIND(":",A34,FIND("[",A34))-FIND("[",A34)-1)),MID(A34,FIND("/",A34,FIND("/",A34)+1)+1,FIND(":",A34,FIND("/",A34,FIND("[",A34,FIND("[",A34)+1)+1))-FIND("/",A34,FIND("[",A34,FIND("[",A34)+1)+1)-1))),":",SUM(MID(A34,FIND(":",A34)+1,FIND("/",A34)-FIND(":",A34)-1),MID(A34,FIND(":",A34,FIND("/",A34))+1,FIND("]",A34)-FIND(":",A34,FIND("/",A34))-1),MID(A34,FIND(":",A34,FIND("[",A34,FIND("[",A34)+1))+1,(FIND("/",A34,FIND("[",A34,FIND("[",A34)+1)+1)-FIND(":",A34,FIND("[",A34,FIND("[",A34)+1))-1)),MID(A34,FIND(":",A34,FIND("/",A34,FIND("]",A34)+1))+1,(FIND("]",A34,FIND("[",A34,FIND("[",A34)+1)+1)-FIND(":",A34,FIND("/",A34,FIND("]",A34)+1))-1))),MID(A34,(FIND(")",A34)+1),100)),CONCATENATE(MID(A34,1,2)," ",(SUM(MID(A34,FIND("[",A34)+1,FIND(":",A34)-FIND("[",A34)-1),MID(A34,FIND("_",A34)+1,FIND(":",A34,FIND("_",A34))-FIND("_",A34)-1),MID(A34,FIND("[",A34,FIND("[",A34)+1)+1,(FIND(":",A34,FIND("[",A34))-FIND("[",A34)-1)),MID(A34,FIND("_",A34,FIND("_",A34)+1)+1,FIND(":",A34,FIND("_",A34,FIND("[",A34,FIND("[",A34)+1)+1))-FIND("_",A34,FIND("[",A34,FIND("[",A34)+1)+1)-1))),":",SUM(MID(A34,FIND(":",A34)+1,FIND("_",A34)-FIND(":",A34)-1),MID(A34,FIND(":",A34,FIND("_",A34))+1,FIND("]",A34)-FIND(":",A34,FIND("_",A34))-1),MID(A34,FIND(":",A34,FIND("[",A34,FIND("[",A34)+1))+1,(FIND("_",A34,FIND("[",A34,FIND("[",A34)+1)+1)-FIND(":",A34,FIND("[",A34,FIND("[",A34)+1))-1)),MID(A34,FIND(":",A34,FIND("_",A34,FIND("]",A34)+1))+1,(FIND("]",A34,FIND("[",A34,FIND("[",A34)+1)+1)-FIND(":",A34,FIND("_",A34,FIND("]",A34)+1))-1))),MID(A34,(FIND(")",A34)+1),100))),A34)</f>
        <v>CL 56:2</v>
      </c>
      <c r="C34" s="1" t="str">
        <f>MID(B34,4,FIND(":",B34)-FIND(" ",B34)-1)</f>
        <v>56</v>
      </c>
      <c r="D34" s="1" t="str">
        <f>IF(ISNUMBER(SEARCH("__",B34)),MID(B34,FIND(":",B34)+1,FIND("__",B34)-FIND(":",B34)-1),MID(B34,FIND(":",B34)+1,7))</f>
        <v>2</v>
      </c>
      <c r="E34" s="17">
        <f t="shared" si="103"/>
        <v>65</v>
      </c>
      <c r="F34" s="17">
        <f t="shared" si="104"/>
        <v>122</v>
      </c>
      <c r="G34" s="17">
        <v>0</v>
      </c>
      <c r="H34" s="17">
        <f t="shared" si="105"/>
        <v>17</v>
      </c>
      <c r="I34" s="17">
        <v>2</v>
      </c>
      <c r="L34" s="19" t="str">
        <f t="shared" si="106"/>
        <v>C65H122O17P2</v>
      </c>
      <c r="M34" s="19">
        <f t="shared" si="107"/>
        <v>1236.8156821999999</v>
      </c>
      <c r="N34" s="19">
        <f t="shared" si="108"/>
        <v>1237.8229567999999</v>
      </c>
      <c r="O34" s="46">
        <f t="shared" si="109"/>
        <v>1219.8118368</v>
      </c>
      <c r="P34" s="46">
        <f t="shared" si="110"/>
        <v>1254.8495022</v>
      </c>
      <c r="Q34" s="46">
        <f t="shared" si="111"/>
        <v>1259.8049021999998</v>
      </c>
      <c r="R34" s="46">
        <f t="shared" si="112"/>
        <v>1275.7788421999999</v>
      </c>
      <c r="S34" s="46">
        <f t="shared" si="113"/>
        <v>1243.8311421999999</v>
      </c>
      <c r="T34" s="19">
        <f t="shared" si="114"/>
        <v>1235.8084075999998</v>
      </c>
      <c r="U34" s="19">
        <f t="shared" si="115"/>
        <v>1281.8139021999998</v>
      </c>
      <c r="V34" s="19">
        <f t="shared" si="116"/>
        <v>1295.8295521999999</v>
      </c>
      <c r="W34" s="46">
        <f t="shared" si="87"/>
        <v>617.40056649999985</v>
      </c>
      <c r="Y34" s="46">
        <f t="shared" si="34"/>
        <v>636.44166109999992</v>
      </c>
      <c r="Z34" s="46">
        <f t="shared" si="35"/>
        <v>641.39706109999997</v>
      </c>
      <c r="AA34" s="46">
        <f t="shared" si="36"/>
        <v>657.37100109999994</v>
      </c>
      <c r="AB34" s="46">
        <f t="shared" si="37"/>
        <v>630.40608839999993</v>
      </c>
      <c r="AC34" s="46">
        <f t="shared" si="33"/>
        <v>638.39305839999997</v>
      </c>
    </row>
    <row r="35" spans="1:29" x14ac:dyDescent="0.25">
      <c r="A35" s="20" t="s">
        <v>183</v>
      </c>
      <c r="B35" s="17" t="str">
        <f>IF(ISNUMBER(SEARCH("[",A35)),IF(ISNUMBER(SEARCH("/",A35)),CONCATENATE(MID(A35,1,2)," ",(SUM(MID(A35,FIND("[",A35)+1,FIND(":",A35)-FIND("[",A35)-1),MID(A35,FIND("/",A35)+1,FIND(":",A35,FIND("/",A35))-FIND("/",A35)-1),MID(A35,FIND("[",A35,FIND("[",A35)+1)+1,(FIND(":",A35,FIND("[",A35))-FIND("[",A35)-1)),MID(A35,FIND("/",A35,FIND("/",A35)+1)+1,FIND(":",A35,FIND("/",A35,FIND("[",A35,FIND("[",A35)+1)+1))-FIND("/",A35,FIND("[",A35,FIND("[",A35)+1)+1)-1))),":",SUM(MID(A35,FIND(":",A35)+1,FIND("/",A35)-FIND(":",A35)-1),MID(A35,FIND(":",A35,FIND("/",A35))+1,FIND("]",A35)-FIND(":",A35,FIND("/",A35))-1),MID(A35,FIND(":",A35,FIND("[",A35,FIND("[",A35)+1))+1,(FIND("/",A35,FIND("[",A35,FIND("[",A35)+1)+1)-FIND(":",A35,FIND("[",A35,FIND("[",A35)+1))-1)),MID(A35,FIND(":",A35,FIND("/",A35,FIND("]",A35)+1))+1,(FIND("]",A35,FIND("[",A35,FIND("[",A35)+1)+1)-FIND(":",A35,FIND("/",A35,FIND("]",A35)+1))-1))),MID(A35,(FIND(")",A35)+1),100)),CONCATENATE(MID(A35,1,2)," ",(SUM(MID(A35,FIND("[",A35)+1,FIND(":",A35)-FIND("[",A35)-1),MID(A35,FIND("_",A35)+1,FIND(":",A35,FIND("_",A35))-FIND("_",A35)-1),MID(A35,FIND("[",A35,FIND("[",A35)+1)+1,(FIND(":",A35,FIND("[",A35))-FIND("[",A35)-1)),MID(A35,FIND("_",A35,FIND("_",A35)+1)+1,FIND(":",A35,FIND("_",A35,FIND("[",A35,FIND("[",A35)+1)+1))-FIND("_",A35,FIND("[",A35,FIND("[",A35)+1)+1)-1))),":",SUM(MID(A35,FIND(":",A35)+1,FIND("_",A35)-FIND(":",A35)-1),MID(A35,FIND(":",A35,FIND("_",A35))+1,FIND("]",A35)-FIND(":",A35,FIND("_",A35))-1),MID(A35,FIND(":",A35,FIND("[",A35,FIND("[",A35)+1))+1,(FIND("_",A35,FIND("[",A35,FIND("[",A35)+1)+1)-FIND(":",A35,FIND("[",A35,FIND("[",A35)+1))-1)),MID(A35,FIND(":",A35,FIND("_",A35,FIND("]",A35)+1))+1,(FIND("]",A35,FIND("[",A35,FIND("[",A35)+1)+1)-FIND(":",A35,FIND("_",A35,FIND("]",A35)+1))-1))),MID(A35,(FIND(")",A35)+1),100))),A35)</f>
        <v>CL 56:1</v>
      </c>
      <c r="C35" s="1" t="str">
        <f>MID(B35,4,FIND(":",B35)-FIND(" ",B35)-1)</f>
        <v>56</v>
      </c>
      <c r="D35" s="1" t="str">
        <f>IF(ISNUMBER(SEARCH("__",B35)),MID(B35,FIND(":",B35)+1,FIND("__",B35)-FIND(":",B35)-1),MID(B35,FIND(":",B35)+1,7))</f>
        <v>1</v>
      </c>
      <c r="E35" s="17">
        <f t="shared" si="103"/>
        <v>65</v>
      </c>
      <c r="F35" s="17">
        <f t="shared" si="104"/>
        <v>124</v>
      </c>
      <c r="G35" s="17">
        <v>0</v>
      </c>
      <c r="H35" s="17">
        <f t="shared" si="105"/>
        <v>17</v>
      </c>
      <c r="I35" s="17">
        <v>2</v>
      </c>
      <c r="L35" s="19" t="str">
        <f t="shared" si="106"/>
        <v>C65H124O17P2</v>
      </c>
      <c r="M35" s="19">
        <f t="shared" si="107"/>
        <v>1238.8313314</v>
      </c>
      <c r="N35" s="19">
        <f t="shared" si="108"/>
        <v>1239.838606</v>
      </c>
      <c r="O35" s="46">
        <f t="shared" si="109"/>
        <v>1221.8274860000001</v>
      </c>
      <c r="P35" s="46">
        <f t="shared" si="110"/>
        <v>1256.8651514000001</v>
      </c>
      <c r="Q35" s="46">
        <f t="shared" si="111"/>
        <v>1261.8205513999999</v>
      </c>
      <c r="R35" s="46">
        <f t="shared" si="112"/>
        <v>1277.7944914</v>
      </c>
      <c r="S35" s="46">
        <f t="shared" si="113"/>
        <v>1245.8467914</v>
      </c>
      <c r="T35" s="19">
        <f t="shared" si="114"/>
        <v>1237.8240567999999</v>
      </c>
      <c r="U35" s="19">
        <f t="shared" si="115"/>
        <v>1283.8295513999999</v>
      </c>
      <c r="V35" s="19">
        <f t="shared" si="116"/>
        <v>1297.8452014</v>
      </c>
      <c r="W35" s="46">
        <f t="shared" si="87"/>
        <v>618.4083910999999</v>
      </c>
      <c r="Y35" s="46">
        <f t="shared" si="34"/>
        <v>637.44948569999997</v>
      </c>
      <c r="Z35" s="46">
        <f t="shared" si="35"/>
        <v>642.40488570000002</v>
      </c>
      <c r="AA35" s="46">
        <f t="shared" si="36"/>
        <v>658.37882569999999</v>
      </c>
      <c r="AB35" s="46">
        <f t="shared" si="37"/>
        <v>631.41391299999998</v>
      </c>
      <c r="AC35" s="46">
        <f t="shared" si="33"/>
        <v>639.40088300000002</v>
      </c>
    </row>
    <row r="36" spans="1:29" x14ac:dyDescent="0.25">
      <c r="A36" s="20" t="s">
        <v>158</v>
      </c>
      <c r="B36" s="17" t="str">
        <f t="shared" si="100"/>
        <v>CL 56:0</v>
      </c>
      <c r="C36" s="1" t="str">
        <f t="shared" si="101"/>
        <v>56</v>
      </c>
      <c r="D36" s="1" t="str">
        <f t="shared" si="102"/>
        <v>0</v>
      </c>
      <c r="E36" s="17">
        <f t="shared" si="103"/>
        <v>65</v>
      </c>
      <c r="F36" s="17">
        <f t="shared" si="104"/>
        <v>126</v>
      </c>
      <c r="G36" s="17">
        <v>0</v>
      </c>
      <c r="H36" s="17">
        <f t="shared" si="105"/>
        <v>17</v>
      </c>
      <c r="I36" s="17">
        <v>2</v>
      </c>
      <c r="L36" s="19" t="str">
        <f t="shared" si="106"/>
        <v>C65H126O17P2</v>
      </c>
      <c r="M36" s="19">
        <f t="shared" si="107"/>
        <v>1240.8469806000001</v>
      </c>
      <c r="N36" s="19">
        <f t="shared" si="108"/>
        <v>1241.8542552000001</v>
      </c>
      <c r="O36" s="46">
        <f t="shared" si="109"/>
        <v>1223.8431352000002</v>
      </c>
      <c r="P36" s="46">
        <f t="shared" si="110"/>
        <v>1258.8808006000002</v>
      </c>
      <c r="Q36" s="46">
        <f t="shared" si="111"/>
        <v>1263.8362006</v>
      </c>
      <c r="R36" s="46">
        <f t="shared" si="112"/>
        <v>1279.8101406000001</v>
      </c>
      <c r="S36" s="46">
        <f t="shared" si="113"/>
        <v>1247.8624406000001</v>
      </c>
      <c r="T36" s="19">
        <f t="shared" si="114"/>
        <v>1239.839706</v>
      </c>
      <c r="U36" s="19">
        <f t="shared" si="115"/>
        <v>1285.8452006</v>
      </c>
      <c r="V36" s="19">
        <f t="shared" si="116"/>
        <v>1299.8608506</v>
      </c>
      <c r="W36" s="46">
        <f t="shared" si="87"/>
        <v>619.41621569999995</v>
      </c>
      <c r="Y36" s="46">
        <f t="shared" si="34"/>
        <v>638.45731030000002</v>
      </c>
      <c r="Z36" s="46">
        <f t="shared" si="35"/>
        <v>643.41271030000007</v>
      </c>
      <c r="AA36" s="46">
        <f t="shared" si="36"/>
        <v>659.38665030000004</v>
      </c>
      <c r="AB36" s="46">
        <f t="shared" si="37"/>
        <v>632.42173760000003</v>
      </c>
      <c r="AC36" s="46">
        <f t="shared" si="33"/>
        <v>640.40870760000007</v>
      </c>
    </row>
    <row r="37" spans="1:29" x14ac:dyDescent="0.25">
      <c r="A37" s="20" t="s">
        <v>208</v>
      </c>
      <c r="B37" s="17" t="str">
        <f>IF(ISNUMBER(SEARCH("[",A37)),IF(ISNUMBER(SEARCH("/",A37)),CONCATENATE(MID(A37,1,2)," ",(SUM(MID(A37,FIND("[",A37)+1,FIND(":",A37)-FIND("[",A37)-1),MID(A37,FIND("/",A37)+1,FIND(":",A37,FIND("/",A37))-FIND("/",A37)-1),MID(A37,FIND("[",A37,FIND("[",A37)+1)+1,(FIND(":",A37,FIND("[",A37))-FIND("[",A37)-1)),MID(A37,FIND("/",A37,FIND("/",A37)+1)+1,FIND(":",A37,FIND("/",A37,FIND("[",A37,FIND("[",A37)+1)+1))-FIND("/",A37,FIND("[",A37,FIND("[",A37)+1)+1)-1))),":",SUM(MID(A37,FIND(":",A37)+1,FIND("/",A37)-FIND(":",A37)-1),MID(A37,FIND(":",A37,FIND("/",A37))+1,FIND("]",A37)-FIND(":",A37,FIND("/",A37))-1),MID(A37,FIND(":",A37,FIND("[",A37,FIND("[",A37)+1))+1,(FIND("/",A37,FIND("[",A37,FIND("[",A37)+1)+1)-FIND(":",A37,FIND("[",A37,FIND("[",A37)+1))-1)),MID(A37,FIND(":",A37,FIND("/",A37,FIND("]",A37)+1))+1,(FIND("]",A37,FIND("[",A37,FIND("[",A37)+1)+1)-FIND(":",A37,FIND("/",A37,FIND("]",A37)+1))-1))),MID(A37,(FIND(")",A37)+1),100)),CONCATENATE(MID(A37,1,2)," ",(SUM(MID(A37,FIND("[",A37)+1,FIND(":",A37)-FIND("[",A37)-1),MID(A37,FIND("_",A37)+1,FIND(":",A37,FIND("_",A37))-FIND("_",A37)-1),MID(A37,FIND("[",A37,FIND("[",A37)+1)+1,(FIND(":",A37,FIND("[",A37))-FIND("[",A37)-1)),MID(A37,FIND("_",A37,FIND("_",A37)+1)+1,FIND(":",A37,FIND("_",A37,FIND("[",A37,FIND("[",A37)+1)+1))-FIND("_",A37,FIND("[",A37,FIND("[",A37)+1)+1)-1))),":",SUM(MID(A37,FIND(":",A37)+1,FIND("_",A37)-FIND(":",A37)-1),MID(A37,FIND(":",A37,FIND("_",A37))+1,FIND("]",A37)-FIND(":",A37,FIND("_",A37))-1),MID(A37,FIND(":",A37,FIND("[",A37,FIND("[",A37)+1))+1,(FIND("_",A37,FIND("[",A37,FIND("[",A37)+1)+1)-FIND(":",A37,FIND("[",A37,FIND("[",A37)+1))-1)),MID(A37,FIND(":",A37,FIND("_",A37,FIND("]",A37)+1))+1,(FIND("]",A37,FIND("[",A37,FIND("[",A37)+1)+1)-FIND(":",A37,FIND("_",A37,FIND("]",A37)+1))-1))),MID(A37,(FIND(")",A37)+1),100))),A37)</f>
        <v>CL 57:2</v>
      </c>
      <c r="C37" s="1" t="str">
        <f>MID(B37,4,FIND(":",B37)-FIND(" ",B37)-1)</f>
        <v>57</v>
      </c>
      <c r="D37" s="1" t="str">
        <f>IF(ISNUMBER(SEARCH("__",B37)),MID(B37,FIND(":",B37)+1,FIND("__",B37)-FIND(":",B37)-1),MID(B37,FIND(":",B37)+1,7))</f>
        <v>2</v>
      </c>
      <c r="E37" s="17">
        <f t="shared" si="103"/>
        <v>66</v>
      </c>
      <c r="F37" s="17">
        <f t="shared" si="104"/>
        <v>124</v>
      </c>
      <c r="G37" s="17">
        <v>0</v>
      </c>
      <c r="H37" s="17">
        <f t="shared" si="105"/>
        <v>17</v>
      </c>
      <c r="I37" s="17">
        <v>2</v>
      </c>
      <c r="L37" s="19" t="str">
        <f t="shared" si="106"/>
        <v>C66H124O17P2</v>
      </c>
      <c r="M37" s="19">
        <f t="shared" si="107"/>
        <v>1250.8313314</v>
      </c>
      <c r="N37" s="19">
        <f t="shared" si="108"/>
        <v>1251.838606</v>
      </c>
      <c r="O37" s="46">
        <f t="shared" si="109"/>
        <v>1233.8274860000001</v>
      </c>
      <c r="P37" s="46">
        <f t="shared" si="110"/>
        <v>1268.8651514000001</v>
      </c>
      <c r="Q37" s="46">
        <f t="shared" si="111"/>
        <v>1273.8205513999999</v>
      </c>
      <c r="R37" s="46">
        <f t="shared" si="112"/>
        <v>1289.7944914</v>
      </c>
      <c r="S37" s="46">
        <f t="shared" si="113"/>
        <v>1257.8467914</v>
      </c>
      <c r="T37" s="19">
        <f t="shared" si="114"/>
        <v>1249.8240567999999</v>
      </c>
      <c r="U37" s="19">
        <f t="shared" si="115"/>
        <v>1295.8295513999999</v>
      </c>
      <c r="V37" s="19">
        <f t="shared" si="116"/>
        <v>1309.8452014</v>
      </c>
      <c r="W37" s="46">
        <f t="shared" si="87"/>
        <v>624.4083910999999</v>
      </c>
      <c r="Y37" s="46">
        <f t="shared" si="34"/>
        <v>643.44948569999997</v>
      </c>
      <c r="Z37" s="46">
        <f t="shared" si="35"/>
        <v>648.40488570000002</v>
      </c>
      <c r="AA37" s="46">
        <f t="shared" si="36"/>
        <v>664.37882569999999</v>
      </c>
      <c r="AB37" s="46">
        <f t="shared" si="37"/>
        <v>637.41391299999998</v>
      </c>
      <c r="AC37" s="46">
        <f t="shared" si="33"/>
        <v>645.40088300000002</v>
      </c>
    </row>
    <row r="38" spans="1:29" x14ac:dyDescent="0.25">
      <c r="A38" s="20" t="s">
        <v>194</v>
      </c>
      <c r="B38" s="17" t="str">
        <f>IF(ISNUMBER(SEARCH("[",A38)),IF(ISNUMBER(SEARCH("/",A38)),CONCATENATE(MID(A38,1,2)," ",(SUM(MID(A38,FIND("[",A38)+1,FIND(":",A38)-FIND("[",A38)-1),MID(A38,FIND("/",A38)+1,FIND(":",A38,FIND("/",A38))-FIND("/",A38)-1),MID(A38,FIND("[",A38,FIND("[",A38)+1)+1,(FIND(":",A38,FIND("[",A38))-FIND("[",A38)-1)),MID(A38,FIND("/",A38,FIND("/",A38)+1)+1,FIND(":",A38,FIND("/",A38,FIND("[",A38,FIND("[",A38)+1)+1))-FIND("/",A38,FIND("[",A38,FIND("[",A38)+1)+1)-1))),":",SUM(MID(A38,FIND(":",A38)+1,FIND("/",A38)-FIND(":",A38)-1),MID(A38,FIND(":",A38,FIND("/",A38))+1,FIND("]",A38)-FIND(":",A38,FIND("/",A38))-1),MID(A38,FIND(":",A38,FIND("[",A38,FIND("[",A38)+1))+1,(FIND("/",A38,FIND("[",A38,FIND("[",A38)+1)+1)-FIND(":",A38,FIND("[",A38,FIND("[",A38)+1))-1)),MID(A38,FIND(":",A38,FIND("/",A38,FIND("]",A38)+1))+1,(FIND("]",A38,FIND("[",A38,FIND("[",A38)+1)+1)-FIND(":",A38,FIND("/",A38,FIND("]",A38)+1))-1))),MID(A38,(FIND(")",A38)+1),100)),CONCATENATE(MID(A38,1,2)," ",(SUM(MID(A38,FIND("[",A38)+1,FIND(":",A38)-FIND("[",A38)-1),MID(A38,FIND("_",A38)+1,FIND(":",A38,FIND("_",A38))-FIND("_",A38)-1),MID(A38,FIND("[",A38,FIND("[",A38)+1)+1,(FIND(":",A38,FIND("[",A38))-FIND("[",A38)-1)),MID(A38,FIND("_",A38,FIND("_",A38)+1)+1,FIND(":",A38,FIND("_",A38,FIND("[",A38,FIND("[",A38)+1)+1))-FIND("_",A38,FIND("[",A38,FIND("[",A38)+1)+1)-1))),":",SUM(MID(A38,FIND(":",A38)+1,FIND("_",A38)-FIND(":",A38)-1),MID(A38,FIND(":",A38,FIND("_",A38))+1,FIND("]",A38)-FIND(":",A38,FIND("_",A38))-1),MID(A38,FIND(":",A38,FIND("[",A38,FIND("[",A38)+1))+1,(FIND("_",A38,FIND("[",A38,FIND("[",A38)+1)+1)-FIND(":",A38,FIND("[",A38,FIND("[",A38)+1))-1)),MID(A38,FIND(":",A38,FIND("_",A38,FIND("]",A38)+1))+1,(FIND("]",A38,FIND("[",A38,FIND("[",A38)+1)+1)-FIND(":",A38,FIND("_",A38,FIND("]",A38)+1))-1))),MID(A38,(FIND(")",A38)+1),100))),A38)</f>
        <v>CL 57:1</v>
      </c>
      <c r="C38" s="1" t="str">
        <f>MID(B38,4,FIND(":",B38)-FIND(" ",B38)-1)</f>
        <v>57</v>
      </c>
      <c r="D38" s="1" t="str">
        <f>IF(ISNUMBER(SEARCH("__",B38)),MID(B38,FIND(":",B38)+1,FIND("__",B38)-FIND(":",B38)-1),MID(B38,FIND(":",B38)+1,7))</f>
        <v>1</v>
      </c>
      <c r="E38" s="17">
        <f t="shared" si="103"/>
        <v>66</v>
      </c>
      <c r="F38" s="17">
        <f t="shared" si="104"/>
        <v>126</v>
      </c>
      <c r="G38" s="17">
        <v>0</v>
      </c>
      <c r="H38" s="17">
        <f t="shared" si="105"/>
        <v>17</v>
      </c>
      <c r="I38" s="17">
        <v>2</v>
      </c>
      <c r="L38" s="19" t="str">
        <f t="shared" si="106"/>
        <v>C66H126O17P2</v>
      </c>
      <c r="M38" s="19">
        <f t="shared" si="107"/>
        <v>1252.8469806000001</v>
      </c>
      <c r="N38" s="19">
        <f t="shared" si="108"/>
        <v>1253.8542552000001</v>
      </c>
      <c r="O38" s="46">
        <f t="shared" si="109"/>
        <v>1235.8431352000002</v>
      </c>
      <c r="P38" s="46">
        <f t="shared" si="110"/>
        <v>1270.8808006000002</v>
      </c>
      <c r="Q38" s="46">
        <f t="shared" si="111"/>
        <v>1275.8362006</v>
      </c>
      <c r="R38" s="46">
        <f t="shared" si="112"/>
        <v>1291.8101406000001</v>
      </c>
      <c r="S38" s="46">
        <f t="shared" si="113"/>
        <v>1259.8624406000001</v>
      </c>
      <c r="T38" s="19">
        <f t="shared" si="114"/>
        <v>1251.839706</v>
      </c>
      <c r="U38" s="19">
        <f t="shared" si="115"/>
        <v>1297.8452006</v>
      </c>
      <c r="V38" s="19">
        <f t="shared" si="116"/>
        <v>1311.8608506</v>
      </c>
      <c r="W38" s="46">
        <f t="shared" si="87"/>
        <v>625.41621569999995</v>
      </c>
      <c r="Y38" s="46">
        <f t="shared" si="34"/>
        <v>644.45731030000002</v>
      </c>
      <c r="Z38" s="46">
        <f t="shared" si="35"/>
        <v>649.41271030000007</v>
      </c>
      <c r="AA38" s="46">
        <f t="shared" si="36"/>
        <v>665.38665030000004</v>
      </c>
      <c r="AB38" s="46">
        <f t="shared" si="37"/>
        <v>638.42173760000003</v>
      </c>
      <c r="AC38" s="46">
        <f t="shared" si="33"/>
        <v>646.40870760000007</v>
      </c>
    </row>
    <row r="39" spans="1:29" x14ac:dyDescent="0.25">
      <c r="A39" s="20" t="s">
        <v>166</v>
      </c>
      <c r="B39" s="17" t="str">
        <f t="shared" si="100"/>
        <v>CL 57:0</v>
      </c>
      <c r="C39" s="1" t="str">
        <f t="shared" si="101"/>
        <v>57</v>
      </c>
      <c r="D39" s="1" t="str">
        <f t="shared" si="102"/>
        <v>0</v>
      </c>
      <c r="E39" s="17">
        <f t="shared" si="103"/>
        <v>66</v>
      </c>
      <c r="F39" s="17">
        <f t="shared" si="104"/>
        <v>128</v>
      </c>
      <c r="G39" s="17">
        <v>0</v>
      </c>
      <c r="H39" s="17">
        <f t="shared" si="105"/>
        <v>17</v>
      </c>
      <c r="I39" s="17">
        <v>2</v>
      </c>
      <c r="L39" s="19" t="str">
        <f t="shared" si="106"/>
        <v>C66H128O17P2</v>
      </c>
      <c r="M39" s="19">
        <f t="shared" si="107"/>
        <v>1254.8626297999999</v>
      </c>
      <c r="N39" s="19">
        <f t="shared" si="108"/>
        <v>1255.8699044</v>
      </c>
      <c r="O39" s="46">
        <f t="shared" si="109"/>
        <v>1237.8587844000001</v>
      </c>
      <c r="P39" s="46">
        <f t="shared" si="110"/>
        <v>1272.8964498</v>
      </c>
      <c r="Q39" s="46">
        <f t="shared" si="111"/>
        <v>1277.8518497999999</v>
      </c>
      <c r="R39" s="46">
        <f t="shared" si="112"/>
        <v>1293.8257897999999</v>
      </c>
      <c r="S39" s="46">
        <f t="shared" si="113"/>
        <v>1261.8780898</v>
      </c>
      <c r="T39" s="19">
        <f t="shared" si="114"/>
        <v>1253.8553551999998</v>
      </c>
      <c r="U39" s="19">
        <f t="shared" si="115"/>
        <v>1299.8608497999999</v>
      </c>
      <c r="V39" s="19">
        <f t="shared" si="116"/>
        <v>1313.8764997999999</v>
      </c>
      <c r="W39" s="46">
        <f t="shared" si="87"/>
        <v>626.42404029999989</v>
      </c>
      <c r="Y39" s="46">
        <f t="shared" si="34"/>
        <v>645.46513489999995</v>
      </c>
      <c r="Z39" s="46">
        <f t="shared" si="35"/>
        <v>650.42053490000001</v>
      </c>
      <c r="AA39" s="46">
        <f t="shared" si="36"/>
        <v>666.39447489999998</v>
      </c>
      <c r="AB39" s="46">
        <f t="shared" si="37"/>
        <v>639.42956219999996</v>
      </c>
      <c r="AC39" s="46">
        <f t="shared" si="33"/>
        <v>647.41653220000001</v>
      </c>
    </row>
    <row r="40" spans="1:29" x14ac:dyDescent="0.25">
      <c r="A40" s="20" t="s">
        <v>209</v>
      </c>
      <c r="B40" s="17" t="str">
        <f>IF(ISNUMBER(SEARCH("[",A40)),IF(ISNUMBER(SEARCH("/",A40)),CONCATENATE(MID(A40,1,2)," ",(SUM(MID(A40,FIND("[",A40)+1,FIND(":",A40)-FIND("[",A40)-1),MID(A40,FIND("/",A40)+1,FIND(":",A40,FIND("/",A40))-FIND("/",A40)-1),MID(A40,FIND("[",A40,FIND("[",A40)+1)+1,(FIND(":",A40,FIND("[",A40))-FIND("[",A40)-1)),MID(A40,FIND("/",A40,FIND("/",A40)+1)+1,FIND(":",A40,FIND("/",A40,FIND("[",A40,FIND("[",A40)+1)+1))-FIND("/",A40,FIND("[",A40,FIND("[",A40)+1)+1)-1))),":",SUM(MID(A40,FIND(":",A40)+1,FIND("/",A40)-FIND(":",A40)-1),MID(A40,FIND(":",A40,FIND("/",A40))+1,FIND("]",A40)-FIND(":",A40,FIND("/",A40))-1),MID(A40,FIND(":",A40,FIND("[",A40,FIND("[",A40)+1))+1,(FIND("/",A40,FIND("[",A40,FIND("[",A40)+1)+1)-FIND(":",A40,FIND("[",A40,FIND("[",A40)+1))-1)),MID(A40,FIND(":",A40,FIND("/",A40,FIND("]",A40)+1))+1,(FIND("]",A40,FIND("[",A40,FIND("[",A40)+1)+1)-FIND(":",A40,FIND("/",A40,FIND("]",A40)+1))-1))),MID(A40,(FIND(")",A40)+1),100)),CONCATENATE(MID(A40,1,2)," ",(SUM(MID(A40,FIND("[",A40)+1,FIND(":",A40)-FIND("[",A40)-1),MID(A40,FIND("_",A40)+1,FIND(":",A40,FIND("_",A40))-FIND("_",A40)-1),MID(A40,FIND("[",A40,FIND("[",A40)+1)+1,(FIND(":",A40,FIND("[",A40))-FIND("[",A40)-1)),MID(A40,FIND("_",A40,FIND("_",A40)+1)+1,FIND(":",A40,FIND("_",A40,FIND("[",A40,FIND("[",A40)+1)+1))-FIND("_",A40,FIND("[",A40,FIND("[",A40)+1)+1)-1))),":",SUM(MID(A40,FIND(":",A40)+1,FIND("_",A40)-FIND(":",A40)-1),MID(A40,FIND(":",A40,FIND("_",A40))+1,FIND("]",A40)-FIND(":",A40,FIND("_",A40))-1),MID(A40,FIND(":",A40,FIND("[",A40,FIND("[",A40)+1))+1,(FIND("_",A40,FIND("[",A40,FIND("[",A40)+1)+1)-FIND(":",A40,FIND("[",A40,FIND("[",A40)+1))-1)),MID(A40,FIND(":",A40,FIND("_",A40,FIND("]",A40)+1))+1,(FIND("]",A40,FIND("[",A40,FIND("[",A40)+1)+1)-FIND(":",A40,FIND("_",A40,FIND("]",A40)+1))-1))),MID(A40,(FIND(")",A40)+1),100))),A40)</f>
        <v>CL 58:2</v>
      </c>
      <c r="C40" s="1" t="str">
        <f>MID(B40,4,FIND(":",B40)-FIND(" ",B40)-1)</f>
        <v>58</v>
      </c>
      <c r="D40" s="1" t="str">
        <f>IF(ISNUMBER(SEARCH("__",B40)),MID(B40,FIND(":",B40)+1,FIND("__",B40)-FIND(":",B40)-1),MID(B40,FIND(":",B40)+1,7))</f>
        <v>2</v>
      </c>
      <c r="E40" s="17">
        <f t="shared" si="103"/>
        <v>67</v>
      </c>
      <c r="F40" s="17">
        <f t="shared" si="104"/>
        <v>126</v>
      </c>
      <c r="G40" s="17">
        <v>0</v>
      </c>
      <c r="H40" s="17">
        <f t="shared" si="105"/>
        <v>17</v>
      </c>
      <c r="I40" s="17">
        <v>2</v>
      </c>
      <c r="L40" s="19" t="str">
        <f t="shared" si="106"/>
        <v>C67H126O17P2</v>
      </c>
      <c r="M40" s="19">
        <f t="shared" si="107"/>
        <v>1264.8469806000001</v>
      </c>
      <c r="N40" s="19">
        <f t="shared" si="108"/>
        <v>1265.8542552000001</v>
      </c>
      <c r="O40" s="46">
        <f t="shared" si="109"/>
        <v>1247.8431352000002</v>
      </c>
      <c r="P40" s="46">
        <f t="shared" si="110"/>
        <v>1282.8808006000002</v>
      </c>
      <c r="Q40" s="46">
        <f t="shared" si="111"/>
        <v>1287.8362006</v>
      </c>
      <c r="R40" s="46">
        <f t="shared" si="112"/>
        <v>1303.8101406000001</v>
      </c>
      <c r="S40" s="46">
        <f t="shared" si="113"/>
        <v>1271.8624406000001</v>
      </c>
      <c r="T40" s="19">
        <f t="shared" si="114"/>
        <v>1263.839706</v>
      </c>
      <c r="U40" s="19">
        <f t="shared" si="115"/>
        <v>1309.8452006</v>
      </c>
      <c r="V40" s="19">
        <f t="shared" si="116"/>
        <v>1323.8608506</v>
      </c>
      <c r="W40" s="46">
        <f t="shared" si="87"/>
        <v>631.41621569999995</v>
      </c>
      <c r="Y40" s="46">
        <f t="shared" si="34"/>
        <v>650.45731030000002</v>
      </c>
      <c r="Z40" s="46">
        <f t="shared" si="35"/>
        <v>655.41271030000007</v>
      </c>
      <c r="AA40" s="46">
        <f t="shared" si="36"/>
        <v>671.38665030000004</v>
      </c>
      <c r="AB40" s="46">
        <f t="shared" si="37"/>
        <v>644.42173760000003</v>
      </c>
      <c r="AC40" s="46">
        <f t="shared" si="33"/>
        <v>652.40870760000007</v>
      </c>
    </row>
    <row r="41" spans="1:29" x14ac:dyDescent="0.25">
      <c r="A41" s="20" t="s">
        <v>193</v>
      </c>
      <c r="B41" s="17" t="str">
        <f>IF(ISNUMBER(SEARCH("[",A41)),IF(ISNUMBER(SEARCH("/",A41)),CONCATENATE(MID(A41,1,2)," ",(SUM(MID(A41,FIND("[",A41)+1,FIND(":",A41)-FIND("[",A41)-1),MID(A41,FIND("/",A41)+1,FIND(":",A41,FIND("/",A41))-FIND("/",A41)-1),MID(A41,FIND("[",A41,FIND("[",A41)+1)+1,(FIND(":",A41,FIND("[",A41))-FIND("[",A41)-1)),MID(A41,FIND("/",A41,FIND("/",A41)+1)+1,FIND(":",A41,FIND("/",A41,FIND("[",A41,FIND("[",A41)+1)+1))-FIND("/",A41,FIND("[",A41,FIND("[",A41)+1)+1)-1))),":",SUM(MID(A41,FIND(":",A41)+1,FIND("/",A41)-FIND(":",A41)-1),MID(A41,FIND(":",A41,FIND("/",A41))+1,FIND("]",A41)-FIND(":",A41,FIND("/",A41))-1),MID(A41,FIND(":",A41,FIND("[",A41,FIND("[",A41)+1))+1,(FIND("/",A41,FIND("[",A41,FIND("[",A41)+1)+1)-FIND(":",A41,FIND("[",A41,FIND("[",A41)+1))-1)),MID(A41,FIND(":",A41,FIND("/",A41,FIND("]",A41)+1))+1,(FIND("]",A41,FIND("[",A41,FIND("[",A41)+1)+1)-FIND(":",A41,FIND("/",A41,FIND("]",A41)+1))-1))),MID(A41,(FIND(")",A41)+1),100)),CONCATENATE(MID(A41,1,2)," ",(SUM(MID(A41,FIND("[",A41)+1,FIND(":",A41)-FIND("[",A41)-1),MID(A41,FIND("_",A41)+1,FIND(":",A41,FIND("_",A41))-FIND("_",A41)-1),MID(A41,FIND("[",A41,FIND("[",A41)+1)+1,(FIND(":",A41,FIND("[",A41))-FIND("[",A41)-1)),MID(A41,FIND("_",A41,FIND("_",A41)+1)+1,FIND(":",A41,FIND("_",A41,FIND("[",A41,FIND("[",A41)+1)+1))-FIND("_",A41,FIND("[",A41,FIND("[",A41)+1)+1)-1))),":",SUM(MID(A41,FIND(":",A41)+1,FIND("_",A41)-FIND(":",A41)-1),MID(A41,FIND(":",A41,FIND("_",A41))+1,FIND("]",A41)-FIND(":",A41,FIND("_",A41))-1),MID(A41,FIND(":",A41,FIND("[",A41,FIND("[",A41)+1))+1,(FIND("_",A41,FIND("[",A41,FIND("[",A41)+1)+1)-FIND(":",A41,FIND("[",A41,FIND("[",A41)+1))-1)),MID(A41,FIND(":",A41,FIND("_",A41,FIND("]",A41)+1))+1,(FIND("]",A41,FIND("[",A41,FIND("[",A41)+1)+1)-FIND(":",A41,FIND("_",A41,FIND("]",A41)+1))-1))),MID(A41,(FIND(")",A41)+1),100))),A41)</f>
        <v>CL 58:1</v>
      </c>
      <c r="C41" s="1" t="str">
        <f>MID(B41,4,FIND(":",B41)-FIND(" ",B41)-1)</f>
        <v>58</v>
      </c>
      <c r="D41" s="1" t="str">
        <f>IF(ISNUMBER(SEARCH("__",B41)),MID(B41,FIND(":",B41)+1,FIND("__",B41)-FIND(":",B41)-1),MID(B41,FIND(":",B41)+1,7))</f>
        <v>1</v>
      </c>
      <c r="E41" s="17">
        <f t="shared" si="103"/>
        <v>67</v>
      </c>
      <c r="F41" s="17">
        <f t="shared" si="104"/>
        <v>128</v>
      </c>
      <c r="G41" s="17">
        <v>0</v>
      </c>
      <c r="H41" s="17">
        <f t="shared" si="105"/>
        <v>17</v>
      </c>
      <c r="I41" s="17">
        <v>2</v>
      </c>
      <c r="L41" s="19" t="str">
        <f t="shared" si="106"/>
        <v>C67H128O17P2</v>
      </c>
      <c r="M41" s="19">
        <f t="shared" si="107"/>
        <v>1266.8626297999999</v>
      </c>
      <c r="N41" s="19">
        <f t="shared" si="108"/>
        <v>1267.8699044</v>
      </c>
      <c r="O41" s="46">
        <f t="shared" si="109"/>
        <v>1249.8587844000001</v>
      </c>
      <c r="P41" s="46">
        <f t="shared" si="110"/>
        <v>1284.8964498</v>
      </c>
      <c r="Q41" s="46">
        <f t="shared" si="111"/>
        <v>1289.8518497999999</v>
      </c>
      <c r="R41" s="46">
        <f t="shared" si="112"/>
        <v>1305.8257897999999</v>
      </c>
      <c r="S41" s="46">
        <f t="shared" si="113"/>
        <v>1273.8780898</v>
      </c>
      <c r="T41" s="19">
        <f t="shared" si="114"/>
        <v>1265.8553551999998</v>
      </c>
      <c r="U41" s="19">
        <f t="shared" si="115"/>
        <v>1311.8608497999999</v>
      </c>
      <c r="V41" s="19">
        <f t="shared" si="116"/>
        <v>1325.8764997999999</v>
      </c>
      <c r="W41" s="46">
        <f t="shared" si="87"/>
        <v>632.42404029999989</v>
      </c>
      <c r="Y41" s="46">
        <f t="shared" si="34"/>
        <v>651.46513489999995</v>
      </c>
      <c r="Z41" s="46">
        <f t="shared" si="35"/>
        <v>656.42053490000001</v>
      </c>
      <c r="AA41" s="46">
        <f t="shared" si="36"/>
        <v>672.39447489999998</v>
      </c>
      <c r="AB41" s="46">
        <f t="shared" si="37"/>
        <v>645.42956219999996</v>
      </c>
      <c r="AC41" s="46">
        <f t="shared" si="33"/>
        <v>653.41653220000001</v>
      </c>
    </row>
    <row r="42" spans="1:29" x14ac:dyDescent="0.25">
      <c r="A42" s="20" t="s">
        <v>167</v>
      </c>
      <c r="B42" s="17" t="str">
        <f t="shared" si="100"/>
        <v>CL 58:0</v>
      </c>
      <c r="C42" s="1" t="str">
        <f t="shared" si="101"/>
        <v>58</v>
      </c>
      <c r="D42" s="1" t="str">
        <f t="shared" si="102"/>
        <v>0</v>
      </c>
      <c r="E42" s="17">
        <f t="shared" si="103"/>
        <v>67</v>
      </c>
      <c r="F42" s="17">
        <f t="shared" si="104"/>
        <v>130</v>
      </c>
      <c r="G42" s="17">
        <v>0</v>
      </c>
      <c r="H42" s="17">
        <f t="shared" si="105"/>
        <v>17</v>
      </c>
      <c r="I42" s="17">
        <v>2</v>
      </c>
      <c r="L42" s="19" t="str">
        <f t="shared" si="106"/>
        <v>C67H130O17P2</v>
      </c>
      <c r="M42" s="19">
        <f t="shared" si="107"/>
        <v>1268.878279</v>
      </c>
      <c r="N42" s="19">
        <f t="shared" si="108"/>
        <v>1269.8855536000001</v>
      </c>
      <c r="O42" s="46">
        <f t="shared" si="109"/>
        <v>1251.8744336000002</v>
      </c>
      <c r="P42" s="46">
        <f t="shared" si="110"/>
        <v>1286.9120990000001</v>
      </c>
      <c r="Q42" s="46">
        <f t="shared" si="111"/>
        <v>1291.867499</v>
      </c>
      <c r="R42" s="46">
        <f t="shared" si="112"/>
        <v>1307.841439</v>
      </c>
      <c r="S42" s="46">
        <f t="shared" si="113"/>
        <v>1275.8937390000001</v>
      </c>
      <c r="T42" s="19">
        <f t="shared" si="114"/>
        <v>1267.8710043999999</v>
      </c>
      <c r="U42" s="19">
        <f t="shared" si="115"/>
        <v>1313.876499</v>
      </c>
      <c r="V42" s="19">
        <f t="shared" si="116"/>
        <v>1327.892149</v>
      </c>
      <c r="W42" s="46">
        <f t="shared" si="87"/>
        <v>633.43186489999994</v>
      </c>
      <c r="Y42" s="46">
        <f t="shared" si="34"/>
        <v>652.4729595</v>
      </c>
      <c r="Z42" s="46">
        <f t="shared" si="35"/>
        <v>657.42835950000006</v>
      </c>
      <c r="AA42" s="46">
        <f t="shared" si="36"/>
        <v>673.40229950000003</v>
      </c>
      <c r="AB42" s="46">
        <f t="shared" si="37"/>
        <v>646.43738680000001</v>
      </c>
      <c r="AC42" s="46">
        <f t="shared" si="33"/>
        <v>654.42435680000006</v>
      </c>
    </row>
    <row r="43" spans="1:29" x14ac:dyDescent="0.25">
      <c r="A43" s="20" t="s">
        <v>237</v>
      </c>
      <c r="B43" s="17" t="str">
        <f>IF(ISNUMBER(SEARCH("[",A43)),IF(ISNUMBER(SEARCH("/",A43)),CONCATENATE(MID(A43,1,2)," ",(SUM(MID(A43,FIND("[",A43)+1,FIND(":",A43)-FIND("[",A43)-1),MID(A43,FIND("/",A43)+1,FIND(":",A43,FIND("/",A43))-FIND("/",A43)-1),MID(A43,FIND("[",A43,FIND("[",A43)+1)+1,(FIND(":",A43,FIND("[",A43))-FIND("[",A43)-1)),MID(A43,FIND("/",A43,FIND("/",A43)+1)+1,FIND(":",A43,FIND("/",A43,FIND("[",A43,FIND("[",A43)+1)+1))-FIND("/",A43,FIND("[",A43,FIND("[",A43)+1)+1)-1))),":",SUM(MID(A43,FIND(":",A43)+1,FIND("/",A43)-FIND(":",A43)-1),MID(A43,FIND(":",A43,FIND("/",A43))+1,FIND("]",A43)-FIND(":",A43,FIND("/",A43))-1),MID(A43,FIND(":",A43,FIND("[",A43,FIND("[",A43)+1))+1,(FIND("/",A43,FIND("[",A43,FIND("[",A43)+1)+1)-FIND(":",A43,FIND("[",A43,FIND("[",A43)+1))-1)),MID(A43,FIND(":",A43,FIND("/",A43,FIND("]",A43)+1))+1,(FIND("]",A43,FIND("[",A43,FIND("[",A43)+1)+1)-FIND(":",A43,FIND("/",A43,FIND("]",A43)+1))-1))),MID(A43,(FIND(")",A43)+1),100)),CONCATENATE(MID(A43,1,2)," ",(SUM(MID(A43,FIND("[",A43)+1,FIND(":",A43)-FIND("[",A43)-1),MID(A43,FIND("_",A43)+1,FIND(":",A43,FIND("_",A43))-FIND("_",A43)-1),MID(A43,FIND("[",A43,FIND("[",A43)+1)+1,(FIND(":",A43,FIND("[",A43))-FIND("[",A43)-1)),MID(A43,FIND("_",A43,FIND("_",A43)+1)+1,FIND(":",A43,FIND("_",A43,FIND("[",A43,FIND("[",A43)+1)+1))-FIND("_",A43,FIND("[",A43,FIND("[",A43)+1)+1)-1))),":",SUM(MID(A43,FIND(":",A43)+1,FIND("_",A43)-FIND(":",A43)-1),MID(A43,FIND(":",A43,FIND("_",A43))+1,FIND("]",A43)-FIND(":",A43,FIND("_",A43))-1),MID(A43,FIND(":",A43,FIND("[",A43,FIND("[",A43)+1))+1,(FIND("_",A43,FIND("[",A43,FIND("[",A43)+1)+1)-FIND(":",A43,FIND("[",A43,FIND("[",A43)+1))-1)),MID(A43,FIND(":",A43,FIND("_",A43,FIND("]",A43)+1))+1,(FIND("]",A43,FIND("[",A43,FIND("[",A43)+1)+1)-FIND(":",A43,FIND("_",A43,FIND("]",A43)+1))-1))),MID(A43,(FIND(")",A43)+1),100))),A43)</f>
        <v>CL 59:3</v>
      </c>
      <c r="C43" s="1" t="str">
        <f>MID(B43,4,FIND(":",B43)-FIND(" ",B43)-1)</f>
        <v>59</v>
      </c>
      <c r="D43" s="1" t="str">
        <f>IF(ISNUMBER(SEARCH("__",B43)),MID(B43,FIND(":",B43)+1,FIND("__",B43)-FIND(":",B43)-1),MID(B43,FIND(":",B43)+1,7))</f>
        <v>3</v>
      </c>
      <c r="E43" s="17">
        <f t="shared" si="103"/>
        <v>68</v>
      </c>
      <c r="F43" s="17">
        <f t="shared" si="104"/>
        <v>126</v>
      </c>
      <c r="G43" s="17">
        <v>0</v>
      </c>
      <c r="H43" s="17">
        <f t="shared" si="105"/>
        <v>17</v>
      </c>
      <c r="I43" s="17">
        <v>2</v>
      </c>
      <c r="L43" s="19" t="str">
        <f t="shared" si="106"/>
        <v>C68H126O17P2</v>
      </c>
      <c r="M43" s="19">
        <f t="shared" si="107"/>
        <v>1276.8469806000001</v>
      </c>
      <c r="N43" s="19">
        <f t="shared" si="108"/>
        <v>1277.8542552000001</v>
      </c>
      <c r="O43" s="46">
        <f t="shared" si="109"/>
        <v>1259.8431352000002</v>
      </c>
      <c r="P43" s="46">
        <f t="shared" si="110"/>
        <v>1294.8808006000002</v>
      </c>
      <c r="Q43" s="46">
        <f t="shared" si="111"/>
        <v>1299.8362006</v>
      </c>
      <c r="R43" s="46">
        <f t="shared" si="112"/>
        <v>1315.8101406000001</v>
      </c>
      <c r="S43" s="46">
        <f t="shared" si="113"/>
        <v>1283.8624406000001</v>
      </c>
      <c r="T43" s="19">
        <f t="shared" si="114"/>
        <v>1275.839706</v>
      </c>
      <c r="U43" s="19">
        <f t="shared" si="115"/>
        <v>1321.8452006</v>
      </c>
      <c r="V43" s="19">
        <f t="shared" si="116"/>
        <v>1335.8608506</v>
      </c>
      <c r="W43" s="46">
        <f t="shared" si="87"/>
        <v>637.41621569999995</v>
      </c>
      <c r="Y43" s="46">
        <f t="shared" si="34"/>
        <v>656.45731030000002</v>
      </c>
      <c r="Z43" s="46">
        <f t="shared" si="35"/>
        <v>661.41271030000007</v>
      </c>
      <c r="AA43" s="46">
        <f t="shared" si="36"/>
        <v>677.38665030000004</v>
      </c>
      <c r="AB43" s="46">
        <f t="shared" si="37"/>
        <v>650.42173760000003</v>
      </c>
      <c r="AC43" s="46">
        <f t="shared" si="33"/>
        <v>658.40870760000007</v>
      </c>
    </row>
    <row r="44" spans="1:29" x14ac:dyDescent="0.25">
      <c r="A44" s="20" t="s">
        <v>210</v>
      </c>
      <c r="B44" s="17" t="str">
        <f>IF(ISNUMBER(SEARCH("[",A44)),IF(ISNUMBER(SEARCH("/",A44)),CONCATENATE(MID(A44,1,2)," ",(SUM(MID(A44,FIND("[",A44)+1,FIND(":",A44)-FIND("[",A44)-1),MID(A44,FIND("/",A44)+1,FIND(":",A44,FIND("/",A44))-FIND("/",A44)-1),MID(A44,FIND("[",A44,FIND("[",A44)+1)+1,(FIND(":",A44,FIND("[",A44))-FIND("[",A44)-1)),MID(A44,FIND("/",A44,FIND("/",A44)+1)+1,FIND(":",A44,FIND("/",A44,FIND("[",A44,FIND("[",A44)+1)+1))-FIND("/",A44,FIND("[",A44,FIND("[",A44)+1)+1)-1))),":",SUM(MID(A44,FIND(":",A44)+1,FIND("/",A44)-FIND(":",A44)-1),MID(A44,FIND(":",A44,FIND("/",A44))+1,FIND("]",A44)-FIND(":",A44,FIND("/",A44))-1),MID(A44,FIND(":",A44,FIND("[",A44,FIND("[",A44)+1))+1,(FIND("/",A44,FIND("[",A44,FIND("[",A44)+1)+1)-FIND(":",A44,FIND("[",A44,FIND("[",A44)+1))-1)),MID(A44,FIND(":",A44,FIND("/",A44,FIND("]",A44)+1))+1,(FIND("]",A44,FIND("[",A44,FIND("[",A44)+1)+1)-FIND(":",A44,FIND("/",A44,FIND("]",A44)+1))-1))),MID(A44,(FIND(")",A44)+1),100)),CONCATENATE(MID(A44,1,2)," ",(SUM(MID(A44,FIND("[",A44)+1,FIND(":",A44)-FIND("[",A44)-1),MID(A44,FIND("_",A44)+1,FIND(":",A44,FIND("_",A44))-FIND("_",A44)-1),MID(A44,FIND("[",A44,FIND("[",A44)+1)+1,(FIND(":",A44,FIND("[",A44))-FIND("[",A44)-1)),MID(A44,FIND("_",A44,FIND("_",A44)+1)+1,FIND(":",A44,FIND("_",A44,FIND("[",A44,FIND("[",A44)+1)+1))-FIND("_",A44,FIND("[",A44,FIND("[",A44)+1)+1)-1))),":",SUM(MID(A44,FIND(":",A44)+1,FIND("_",A44)-FIND(":",A44)-1),MID(A44,FIND(":",A44,FIND("_",A44))+1,FIND("]",A44)-FIND(":",A44,FIND("_",A44))-1),MID(A44,FIND(":",A44,FIND("[",A44,FIND("[",A44)+1))+1,(FIND("_",A44,FIND("[",A44,FIND("[",A44)+1)+1)-FIND(":",A44,FIND("[",A44,FIND("[",A44)+1))-1)),MID(A44,FIND(":",A44,FIND("_",A44,FIND("]",A44)+1))+1,(FIND("]",A44,FIND("[",A44,FIND("[",A44)+1)+1)-FIND(":",A44,FIND("_",A44,FIND("]",A44)+1))-1))),MID(A44,(FIND(")",A44)+1),100))),A44)</f>
        <v>CL 59:2</v>
      </c>
      <c r="C44" s="1" t="str">
        <f>MID(B44,4,FIND(":",B44)-FIND(" ",B44)-1)</f>
        <v>59</v>
      </c>
      <c r="D44" s="1" t="str">
        <f>IF(ISNUMBER(SEARCH("__",B44)),MID(B44,FIND(":",B44)+1,FIND("__",B44)-FIND(":",B44)-1),MID(B44,FIND(":",B44)+1,7))</f>
        <v>2</v>
      </c>
      <c r="E44" s="17">
        <f t="shared" si="103"/>
        <v>68</v>
      </c>
      <c r="F44" s="17">
        <f t="shared" si="104"/>
        <v>128</v>
      </c>
      <c r="G44" s="17">
        <v>0</v>
      </c>
      <c r="H44" s="17">
        <f t="shared" si="105"/>
        <v>17</v>
      </c>
      <c r="I44" s="17">
        <v>2</v>
      </c>
      <c r="L44" s="19" t="str">
        <f t="shared" si="106"/>
        <v>C68H128O17P2</v>
      </c>
      <c r="M44" s="19">
        <f t="shared" si="107"/>
        <v>1278.8626297999999</v>
      </c>
      <c r="N44" s="19">
        <f t="shared" si="108"/>
        <v>1279.8699044</v>
      </c>
      <c r="O44" s="46">
        <f t="shared" si="109"/>
        <v>1261.8587844000001</v>
      </c>
      <c r="P44" s="46">
        <f t="shared" si="110"/>
        <v>1296.8964498</v>
      </c>
      <c r="Q44" s="46">
        <f t="shared" si="111"/>
        <v>1301.8518497999999</v>
      </c>
      <c r="R44" s="46">
        <f t="shared" si="112"/>
        <v>1317.8257897999999</v>
      </c>
      <c r="S44" s="46">
        <f t="shared" si="113"/>
        <v>1285.8780898</v>
      </c>
      <c r="T44" s="19">
        <f t="shared" si="114"/>
        <v>1277.8553551999998</v>
      </c>
      <c r="U44" s="19">
        <f t="shared" si="115"/>
        <v>1323.8608497999999</v>
      </c>
      <c r="V44" s="19">
        <f t="shared" si="116"/>
        <v>1337.8764997999999</v>
      </c>
      <c r="W44" s="46">
        <f t="shared" si="87"/>
        <v>638.42404029999989</v>
      </c>
      <c r="Y44" s="46">
        <f t="shared" si="34"/>
        <v>657.46513489999995</v>
      </c>
      <c r="Z44" s="46">
        <f t="shared" si="35"/>
        <v>662.42053490000001</v>
      </c>
      <c r="AA44" s="46">
        <f t="shared" si="36"/>
        <v>678.39447489999998</v>
      </c>
      <c r="AB44" s="46">
        <f t="shared" si="37"/>
        <v>651.42956219999996</v>
      </c>
      <c r="AC44" s="46">
        <f t="shared" si="33"/>
        <v>659.41653220000001</v>
      </c>
    </row>
    <row r="45" spans="1:29" x14ac:dyDescent="0.25">
      <c r="A45" s="20" t="s">
        <v>184</v>
      </c>
      <c r="B45" s="17" t="str">
        <f t="shared" si="100"/>
        <v>CL 59:1</v>
      </c>
      <c r="C45" s="1" t="str">
        <f t="shared" si="101"/>
        <v>59</v>
      </c>
      <c r="D45" s="1" t="str">
        <f t="shared" si="102"/>
        <v>1</v>
      </c>
      <c r="E45" s="17">
        <f t="shared" si="103"/>
        <v>68</v>
      </c>
      <c r="F45" s="17">
        <f t="shared" si="104"/>
        <v>130</v>
      </c>
      <c r="G45" s="17">
        <v>0</v>
      </c>
      <c r="H45" s="17">
        <f t="shared" si="105"/>
        <v>17</v>
      </c>
      <c r="I45" s="17">
        <v>2</v>
      </c>
      <c r="L45" s="19" t="str">
        <f t="shared" ref="L45" si="137">CONCATENATE("C",E45,"H",F45,"O",H45,"P",I45)</f>
        <v>C68H130O17P2</v>
      </c>
      <c r="M45" s="19">
        <f t="shared" ref="M45" si="138">(E45*12)+(F45*1.0078246)+(G45*14.003074)+(H45*15.994915)+(I45*30.973763)</f>
        <v>1280.878279</v>
      </c>
      <c r="N45" s="19">
        <f t="shared" ref="N45" si="139">M45+1.0078246-0.00055</f>
        <v>1281.8855536000001</v>
      </c>
      <c r="O45" s="46">
        <f t="shared" ref="O45" si="140">N45-18.01057-0.00055</f>
        <v>1263.8744336000002</v>
      </c>
      <c r="P45" s="46">
        <f t="shared" ref="P45" si="141">M45+18.03437-0.00055</f>
        <v>1298.9120990000001</v>
      </c>
      <c r="Q45" s="46">
        <f t="shared" ref="Q45" si="142">M45+22.98977-0.00055</f>
        <v>1303.867499</v>
      </c>
      <c r="R45" s="46">
        <f t="shared" ref="R45" si="143">M45+38.96371-0.00055</f>
        <v>1319.841439</v>
      </c>
      <c r="S45" s="46">
        <f t="shared" ref="S45" si="144">M45+7.01601-0.00055</f>
        <v>1287.8937390000001</v>
      </c>
      <c r="T45" s="19">
        <f t="shared" ref="T45" si="145">M45-1.0078246+0.00055</f>
        <v>1279.8710043999999</v>
      </c>
      <c r="U45" s="19">
        <f t="shared" ref="U45" si="146">M45+44.99767+0.00055</f>
        <v>1325.876499</v>
      </c>
      <c r="V45" s="19">
        <f t="shared" ref="V45" si="147">M45+59.01332+0.00055</f>
        <v>1339.892149</v>
      </c>
      <c r="W45" s="46">
        <f t="shared" si="87"/>
        <v>639.43186489999994</v>
      </c>
      <c r="Y45" s="46">
        <f t="shared" si="34"/>
        <v>658.4729595</v>
      </c>
      <c r="Z45" s="46">
        <f t="shared" si="35"/>
        <v>663.42835950000006</v>
      </c>
      <c r="AA45" s="46">
        <f t="shared" si="36"/>
        <v>679.40229950000003</v>
      </c>
      <c r="AB45" s="46">
        <f t="shared" si="37"/>
        <v>652.43738680000001</v>
      </c>
      <c r="AC45" s="46">
        <f t="shared" si="33"/>
        <v>660.42435680000006</v>
      </c>
    </row>
    <row r="46" spans="1:29" x14ac:dyDescent="0.25">
      <c r="A46" s="20" t="s">
        <v>168</v>
      </c>
      <c r="B46" s="17" t="str">
        <f t="shared" si="100"/>
        <v>CL 59:0</v>
      </c>
      <c r="C46" s="1" t="str">
        <f t="shared" si="101"/>
        <v>59</v>
      </c>
      <c r="D46" s="1" t="str">
        <f t="shared" si="102"/>
        <v>0</v>
      </c>
      <c r="E46" s="17">
        <f t="shared" si="103"/>
        <v>68</v>
      </c>
      <c r="F46" s="17">
        <f t="shared" si="104"/>
        <v>132</v>
      </c>
      <c r="G46" s="17">
        <v>0</v>
      </c>
      <c r="H46" s="17">
        <f t="shared" si="105"/>
        <v>17</v>
      </c>
      <c r="I46" s="17">
        <v>2</v>
      </c>
      <c r="L46" s="19" t="str">
        <f t="shared" si="106"/>
        <v>C68H132O17P2</v>
      </c>
      <c r="M46" s="19">
        <f t="shared" si="107"/>
        <v>1282.8939281999999</v>
      </c>
      <c r="N46" s="19">
        <f t="shared" si="108"/>
        <v>1283.9012028</v>
      </c>
      <c r="O46" s="46">
        <f t="shared" si="109"/>
        <v>1265.8900828000001</v>
      </c>
      <c r="P46" s="46">
        <f t="shared" si="110"/>
        <v>1300.9277482</v>
      </c>
      <c r="Q46" s="46">
        <f t="shared" si="111"/>
        <v>1305.8831481999998</v>
      </c>
      <c r="R46" s="46">
        <f t="shared" si="112"/>
        <v>1321.8570881999999</v>
      </c>
      <c r="S46" s="46">
        <f t="shared" si="113"/>
        <v>1289.9093882</v>
      </c>
      <c r="T46" s="19">
        <f t="shared" si="114"/>
        <v>1281.8866535999998</v>
      </c>
      <c r="U46" s="19">
        <f t="shared" si="115"/>
        <v>1327.8921481999998</v>
      </c>
      <c r="V46" s="19">
        <f t="shared" si="116"/>
        <v>1341.9077981999999</v>
      </c>
      <c r="W46" s="46">
        <f t="shared" si="87"/>
        <v>640.43968949999987</v>
      </c>
      <c r="Y46" s="46">
        <f t="shared" si="34"/>
        <v>659.48078409999994</v>
      </c>
      <c r="Z46" s="46">
        <f t="shared" si="35"/>
        <v>664.43618409999999</v>
      </c>
      <c r="AA46" s="46">
        <f t="shared" si="36"/>
        <v>680.41012409999996</v>
      </c>
      <c r="AB46" s="46">
        <f t="shared" si="37"/>
        <v>653.44521139999995</v>
      </c>
      <c r="AC46" s="46">
        <f t="shared" si="33"/>
        <v>661.43218139999999</v>
      </c>
    </row>
    <row r="47" spans="1:29" x14ac:dyDescent="0.25">
      <c r="A47" s="20" t="s">
        <v>211</v>
      </c>
      <c r="B47" s="17" t="str">
        <f>IF(ISNUMBER(SEARCH("[",A47)),IF(ISNUMBER(SEARCH("/",A47)),CONCATENATE(MID(A47,1,2)," ",(SUM(MID(A47,FIND("[",A47)+1,FIND(":",A47)-FIND("[",A47)-1),MID(A47,FIND("/",A47)+1,FIND(":",A47,FIND("/",A47))-FIND("/",A47)-1),MID(A47,FIND("[",A47,FIND("[",A47)+1)+1,(FIND(":",A47,FIND("[",A47))-FIND("[",A47)-1)),MID(A47,FIND("/",A47,FIND("/",A47)+1)+1,FIND(":",A47,FIND("/",A47,FIND("[",A47,FIND("[",A47)+1)+1))-FIND("/",A47,FIND("[",A47,FIND("[",A47)+1)+1)-1))),":",SUM(MID(A47,FIND(":",A47)+1,FIND("/",A47)-FIND(":",A47)-1),MID(A47,FIND(":",A47,FIND("/",A47))+1,FIND("]",A47)-FIND(":",A47,FIND("/",A47))-1),MID(A47,FIND(":",A47,FIND("[",A47,FIND("[",A47)+1))+1,(FIND("/",A47,FIND("[",A47,FIND("[",A47)+1)+1)-FIND(":",A47,FIND("[",A47,FIND("[",A47)+1))-1)),MID(A47,FIND(":",A47,FIND("/",A47,FIND("]",A47)+1))+1,(FIND("]",A47,FIND("[",A47,FIND("[",A47)+1)+1)-FIND(":",A47,FIND("/",A47,FIND("]",A47)+1))-1))),MID(A47,(FIND(")",A47)+1),100)),CONCATENATE(MID(A47,1,2)," ",(SUM(MID(A47,FIND("[",A47)+1,FIND(":",A47)-FIND("[",A47)-1),MID(A47,FIND("_",A47)+1,FIND(":",A47,FIND("_",A47))-FIND("_",A47)-1),MID(A47,FIND("[",A47,FIND("[",A47)+1)+1,(FIND(":",A47,FIND("[",A47))-FIND("[",A47)-1)),MID(A47,FIND("_",A47,FIND("_",A47)+1)+1,FIND(":",A47,FIND("_",A47,FIND("[",A47,FIND("[",A47)+1)+1))-FIND("_",A47,FIND("[",A47,FIND("[",A47)+1)+1)-1))),":",SUM(MID(A47,FIND(":",A47)+1,FIND("_",A47)-FIND(":",A47)-1),MID(A47,FIND(":",A47,FIND("_",A47))+1,FIND("]",A47)-FIND(":",A47,FIND("_",A47))-1),MID(A47,FIND(":",A47,FIND("[",A47,FIND("[",A47)+1))+1,(FIND("_",A47,FIND("[",A47,FIND("[",A47)+1)+1)-FIND(":",A47,FIND("[",A47,FIND("[",A47)+1))-1)),MID(A47,FIND(":",A47,FIND("_",A47,FIND("]",A47)+1))+1,(FIND("]",A47,FIND("[",A47,FIND("[",A47)+1)+1)-FIND(":",A47,FIND("_",A47,FIND("]",A47)+1))-1))),MID(A47,(FIND(")",A47)+1),100))),A47)</f>
        <v>CL 60:2</v>
      </c>
      <c r="C47" s="1" t="str">
        <f>MID(B47,4,FIND(":",B47)-FIND(" ",B47)-1)</f>
        <v>60</v>
      </c>
      <c r="D47" s="1" t="str">
        <f>IF(ISNUMBER(SEARCH("__",B47)),MID(B47,FIND(":",B47)+1,FIND("__",B47)-FIND(":",B47)-1),MID(B47,FIND(":",B47)+1,7))</f>
        <v>2</v>
      </c>
      <c r="E47" s="17">
        <f t="shared" si="103"/>
        <v>69</v>
      </c>
      <c r="F47" s="17">
        <f t="shared" si="104"/>
        <v>130</v>
      </c>
      <c r="G47" s="17">
        <v>0</v>
      </c>
      <c r="H47" s="17">
        <f t="shared" si="105"/>
        <v>17</v>
      </c>
      <c r="I47" s="17">
        <v>2</v>
      </c>
      <c r="L47" s="19" t="str">
        <f t="shared" si="106"/>
        <v>C69H130O17P2</v>
      </c>
      <c r="M47" s="19">
        <f t="shared" si="107"/>
        <v>1292.878279</v>
      </c>
      <c r="N47" s="19">
        <f t="shared" si="108"/>
        <v>1293.8855536000001</v>
      </c>
      <c r="O47" s="46">
        <f t="shared" si="109"/>
        <v>1275.8744336000002</v>
      </c>
      <c r="P47" s="46">
        <f t="shared" si="110"/>
        <v>1310.9120990000001</v>
      </c>
      <c r="Q47" s="46">
        <f t="shared" si="111"/>
        <v>1315.867499</v>
      </c>
      <c r="R47" s="46">
        <f t="shared" si="112"/>
        <v>1331.841439</v>
      </c>
      <c r="S47" s="46">
        <f t="shared" si="113"/>
        <v>1299.8937390000001</v>
      </c>
      <c r="T47" s="19">
        <f t="shared" si="114"/>
        <v>1291.8710043999999</v>
      </c>
      <c r="U47" s="19">
        <f t="shared" si="115"/>
        <v>1337.876499</v>
      </c>
      <c r="V47" s="19">
        <f t="shared" si="116"/>
        <v>1351.892149</v>
      </c>
      <c r="W47" s="46">
        <f t="shared" si="87"/>
        <v>645.43186489999994</v>
      </c>
      <c r="Y47" s="46">
        <f t="shared" si="34"/>
        <v>664.4729595</v>
      </c>
      <c r="Z47" s="46">
        <f t="shared" si="35"/>
        <v>669.42835950000006</v>
      </c>
      <c r="AA47" s="46">
        <f t="shared" si="36"/>
        <v>685.40229950000003</v>
      </c>
      <c r="AB47" s="46">
        <f t="shared" si="37"/>
        <v>658.43738680000001</v>
      </c>
      <c r="AC47" s="46">
        <f t="shared" si="33"/>
        <v>666.42435680000006</v>
      </c>
    </row>
    <row r="48" spans="1:29" x14ac:dyDescent="0.25">
      <c r="A48" s="20" t="s">
        <v>192</v>
      </c>
      <c r="B48" s="17" t="str">
        <f>IF(ISNUMBER(SEARCH("[",A48)),IF(ISNUMBER(SEARCH("/",A48)),CONCATENATE(MID(A48,1,2)," ",(SUM(MID(A48,FIND("[",A48)+1,FIND(":",A48)-FIND("[",A48)-1),MID(A48,FIND("/",A48)+1,FIND(":",A48,FIND("/",A48))-FIND("/",A48)-1),MID(A48,FIND("[",A48,FIND("[",A48)+1)+1,(FIND(":",A48,FIND("[",A48))-FIND("[",A48)-1)),MID(A48,FIND("/",A48,FIND("/",A48)+1)+1,FIND(":",A48,FIND("/",A48,FIND("[",A48,FIND("[",A48)+1)+1))-FIND("/",A48,FIND("[",A48,FIND("[",A48)+1)+1)-1))),":",SUM(MID(A48,FIND(":",A48)+1,FIND("/",A48)-FIND(":",A48)-1),MID(A48,FIND(":",A48,FIND("/",A48))+1,FIND("]",A48)-FIND(":",A48,FIND("/",A48))-1),MID(A48,FIND(":",A48,FIND("[",A48,FIND("[",A48)+1))+1,(FIND("/",A48,FIND("[",A48,FIND("[",A48)+1)+1)-FIND(":",A48,FIND("[",A48,FIND("[",A48)+1))-1)),MID(A48,FIND(":",A48,FIND("/",A48,FIND("]",A48)+1))+1,(FIND("]",A48,FIND("[",A48,FIND("[",A48)+1)+1)-FIND(":",A48,FIND("/",A48,FIND("]",A48)+1))-1))),MID(A48,(FIND(")",A48)+1),100)),CONCATENATE(MID(A48,1,2)," ",(SUM(MID(A48,FIND("[",A48)+1,FIND(":",A48)-FIND("[",A48)-1),MID(A48,FIND("_",A48)+1,FIND(":",A48,FIND("_",A48))-FIND("_",A48)-1),MID(A48,FIND("[",A48,FIND("[",A48)+1)+1,(FIND(":",A48,FIND("[",A48))-FIND("[",A48)-1)),MID(A48,FIND("_",A48,FIND("_",A48)+1)+1,FIND(":",A48,FIND("_",A48,FIND("[",A48,FIND("[",A48)+1)+1))-FIND("_",A48,FIND("[",A48,FIND("[",A48)+1)+1)-1))),":",SUM(MID(A48,FIND(":",A48)+1,FIND("_",A48)-FIND(":",A48)-1),MID(A48,FIND(":",A48,FIND("_",A48))+1,FIND("]",A48)-FIND(":",A48,FIND("_",A48))-1),MID(A48,FIND(":",A48,FIND("[",A48,FIND("[",A48)+1))+1,(FIND("_",A48,FIND("[",A48,FIND("[",A48)+1)+1)-FIND(":",A48,FIND("[",A48,FIND("[",A48)+1))-1)),MID(A48,FIND(":",A48,FIND("_",A48,FIND("]",A48)+1))+1,(FIND("]",A48,FIND("[",A48,FIND("[",A48)+1)+1)-FIND(":",A48,FIND("_",A48,FIND("]",A48)+1))-1))),MID(A48,(FIND(")",A48)+1),100))),A48)</f>
        <v>CL 60:1</v>
      </c>
      <c r="C48" s="1" t="str">
        <f>MID(B48,4,FIND(":",B48)-FIND(" ",B48)-1)</f>
        <v>60</v>
      </c>
      <c r="D48" s="1" t="str">
        <f>IF(ISNUMBER(SEARCH("__",B48)),MID(B48,FIND(":",B48)+1,FIND("__",B48)-FIND(":",B48)-1),MID(B48,FIND(":",B48)+1,7))</f>
        <v>1</v>
      </c>
      <c r="E48" s="17">
        <f t="shared" si="103"/>
        <v>69</v>
      </c>
      <c r="F48" s="17">
        <f t="shared" si="104"/>
        <v>132</v>
      </c>
      <c r="G48" s="17">
        <v>0</v>
      </c>
      <c r="H48" s="17">
        <f t="shared" si="105"/>
        <v>17</v>
      </c>
      <c r="I48" s="17">
        <v>2</v>
      </c>
      <c r="L48" s="19" t="str">
        <f t="shared" si="106"/>
        <v>C69H132O17P2</v>
      </c>
      <c r="M48" s="19">
        <f t="shared" si="107"/>
        <v>1294.8939281999999</v>
      </c>
      <c r="N48" s="19">
        <f t="shared" si="108"/>
        <v>1295.9012028</v>
      </c>
      <c r="O48" s="46">
        <f t="shared" si="109"/>
        <v>1277.8900828000001</v>
      </c>
      <c r="P48" s="46">
        <f t="shared" si="110"/>
        <v>1312.9277482</v>
      </c>
      <c r="Q48" s="46">
        <f t="shared" si="111"/>
        <v>1317.8831481999998</v>
      </c>
      <c r="R48" s="46">
        <f t="shared" si="112"/>
        <v>1333.8570881999999</v>
      </c>
      <c r="S48" s="46">
        <f t="shared" si="113"/>
        <v>1301.9093882</v>
      </c>
      <c r="T48" s="19">
        <f t="shared" si="114"/>
        <v>1293.8866535999998</v>
      </c>
      <c r="U48" s="19">
        <f t="shared" si="115"/>
        <v>1339.8921481999998</v>
      </c>
      <c r="V48" s="19">
        <f t="shared" si="116"/>
        <v>1353.9077981999999</v>
      </c>
      <c r="W48" s="46">
        <f t="shared" si="87"/>
        <v>646.43968949999987</v>
      </c>
      <c r="Y48" s="46">
        <f t="shared" si="34"/>
        <v>665.48078409999994</v>
      </c>
      <c r="Z48" s="46">
        <f t="shared" si="35"/>
        <v>670.43618409999999</v>
      </c>
      <c r="AA48" s="46">
        <f t="shared" si="36"/>
        <v>686.41012409999996</v>
      </c>
      <c r="AB48" s="46">
        <f t="shared" si="37"/>
        <v>659.44521139999995</v>
      </c>
      <c r="AC48" s="46">
        <f t="shared" si="33"/>
        <v>667.43218139999999</v>
      </c>
    </row>
    <row r="49" spans="1:29" x14ac:dyDescent="0.25">
      <c r="A49" s="20" t="s">
        <v>157</v>
      </c>
      <c r="B49" s="17" t="str">
        <f t="shared" si="100"/>
        <v>CL 60:0</v>
      </c>
      <c r="C49" s="1" t="str">
        <f t="shared" si="101"/>
        <v>60</v>
      </c>
      <c r="D49" s="1" t="str">
        <f t="shared" si="102"/>
        <v>0</v>
      </c>
      <c r="E49" s="17">
        <f t="shared" si="103"/>
        <v>69</v>
      </c>
      <c r="F49" s="17">
        <f t="shared" si="104"/>
        <v>134</v>
      </c>
      <c r="G49" s="17">
        <v>0</v>
      </c>
      <c r="H49" s="17">
        <f t="shared" si="105"/>
        <v>17</v>
      </c>
      <c r="I49" s="17">
        <v>2</v>
      </c>
      <c r="L49" s="19" t="str">
        <f t="shared" si="106"/>
        <v>C69H134O17P2</v>
      </c>
      <c r="M49" s="19">
        <f t="shared" si="107"/>
        <v>1296.9095774</v>
      </c>
      <c r="N49" s="19">
        <f t="shared" si="108"/>
        <v>1297.9168520000001</v>
      </c>
      <c r="O49" s="46">
        <f t="shared" si="109"/>
        <v>1279.9057320000002</v>
      </c>
      <c r="P49" s="46">
        <f t="shared" si="110"/>
        <v>1314.9433974000001</v>
      </c>
      <c r="Q49" s="46">
        <f t="shared" si="111"/>
        <v>1319.8987973999999</v>
      </c>
      <c r="R49" s="46">
        <f t="shared" si="112"/>
        <v>1335.8727374</v>
      </c>
      <c r="S49" s="46">
        <f t="shared" si="113"/>
        <v>1303.9250374000001</v>
      </c>
      <c r="T49" s="19">
        <f t="shared" si="114"/>
        <v>1295.9023027999999</v>
      </c>
      <c r="U49" s="19">
        <f t="shared" si="115"/>
        <v>1341.9077973999999</v>
      </c>
      <c r="V49" s="19">
        <f t="shared" si="116"/>
        <v>1355.9234474</v>
      </c>
      <c r="W49" s="46">
        <f t="shared" si="87"/>
        <v>647.44751409999992</v>
      </c>
      <c r="Y49" s="46">
        <f t="shared" si="34"/>
        <v>666.48860869999999</v>
      </c>
      <c r="Z49" s="46">
        <f t="shared" si="35"/>
        <v>671.44400870000004</v>
      </c>
      <c r="AA49" s="46">
        <f t="shared" si="36"/>
        <v>687.41794870000001</v>
      </c>
      <c r="AB49" s="46">
        <f t="shared" si="37"/>
        <v>660.453036</v>
      </c>
      <c r="AC49" s="46">
        <f t="shared" si="33"/>
        <v>668.44000600000004</v>
      </c>
    </row>
    <row r="50" spans="1:29" x14ac:dyDescent="0.25">
      <c r="A50" s="20" t="s">
        <v>253</v>
      </c>
      <c r="B50" s="17" t="str">
        <f t="shared" si="100"/>
        <v>CL 61:3</v>
      </c>
      <c r="C50" s="1" t="str">
        <f t="shared" si="101"/>
        <v>61</v>
      </c>
      <c r="D50" s="1" t="str">
        <f t="shared" si="102"/>
        <v>3</v>
      </c>
      <c r="E50" s="17">
        <f t="shared" si="103"/>
        <v>70</v>
      </c>
      <c r="F50" s="17">
        <f t="shared" si="104"/>
        <v>130</v>
      </c>
      <c r="G50" s="17">
        <v>0</v>
      </c>
      <c r="H50" s="17">
        <f t="shared" si="105"/>
        <v>17</v>
      </c>
      <c r="I50" s="17">
        <v>2</v>
      </c>
      <c r="L50" s="19" t="str">
        <f t="shared" si="106"/>
        <v>C70H130O17P2</v>
      </c>
      <c r="M50" s="19">
        <f t="shared" si="107"/>
        <v>1304.878279</v>
      </c>
      <c r="N50" s="19">
        <f t="shared" si="108"/>
        <v>1305.8855536000001</v>
      </c>
      <c r="O50" s="46">
        <f t="shared" si="109"/>
        <v>1287.8744336000002</v>
      </c>
      <c r="P50" s="46">
        <f t="shared" si="110"/>
        <v>1322.9120990000001</v>
      </c>
      <c r="Q50" s="46">
        <f t="shared" si="111"/>
        <v>1327.867499</v>
      </c>
      <c r="R50" s="46">
        <f t="shared" si="112"/>
        <v>1343.841439</v>
      </c>
      <c r="S50" s="46">
        <f t="shared" si="113"/>
        <v>1311.8937390000001</v>
      </c>
      <c r="T50" s="19">
        <f t="shared" si="114"/>
        <v>1303.8710043999999</v>
      </c>
      <c r="U50" s="19">
        <f t="shared" si="115"/>
        <v>1349.876499</v>
      </c>
      <c r="V50" s="19">
        <f t="shared" si="116"/>
        <v>1363.892149</v>
      </c>
      <c r="W50" s="46">
        <f t="shared" si="87"/>
        <v>651.43186489999994</v>
      </c>
      <c r="Y50" s="46">
        <f t="shared" si="34"/>
        <v>670.4729595</v>
      </c>
      <c r="Z50" s="46">
        <f t="shared" si="35"/>
        <v>675.42835950000006</v>
      </c>
      <c r="AA50" s="46">
        <f t="shared" si="36"/>
        <v>691.40229950000003</v>
      </c>
      <c r="AB50" s="46">
        <f t="shared" si="37"/>
        <v>664.43738680000001</v>
      </c>
      <c r="AC50" s="46">
        <f t="shared" si="33"/>
        <v>672.42435680000006</v>
      </c>
    </row>
    <row r="51" spans="1:29" x14ac:dyDescent="0.25">
      <c r="A51" s="20" t="s">
        <v>212</v>
      </c>
      <c r="B51" s="17" t="str">
        <f>IF(ISNUMBER(SEARCH("[",A51)),IF(ISNUMBER(SEARCH("/",A51)),CONCATENATE(MID(A51,1,2)," ",(SUM(MID(A51,FIND("[",A51)+1,FIND(":",A51)-FIND("[",A51)-1),MID(A51,FIND("/",A51)+1,FIND(":",A51,FIND("/",A51))-FIND("/",A51)-1),MID(A51,FIND("[",A51,FIND("[",A51)+1)+1,(FIND(":",A51,FIND("[",A51))-FIND("[",A51)-1)),MID(A51,FIND("/",A51,FIND("/",A51)+1)+1,FIND(":",A51,FIND("/",A51,FIND("[",A51,FIND("[",A51)+1)+1))-FIND("/",A51,FIND("[",A51,FIND("[",A51)+1)+1)-1))),":",SUM(MID(A51,FIND(":",A51)+1,FIND("/",A51)-FIND(":",A51)-1),MID(A51,FIND(":",A51,FIND("/",A51))+1,FIND("]",A51)-FIND(":",A51,FIND("/",A51))-1),MID(A51,FIND(":",A51,FIND("[",A51,FIND("[",A51)+1))+1,(FIND("/",A51,FIND("[",A51,FIND("[",A51)+1)+1)-FIND(":",A51,FIND("[",A51,FIND("[",A51)+1))-1)),MID(A51,FIND(":",A51,FIND("/",A51,FIND("]",A51)+1))+1,(FIND("]",A51,FIND("[",A51,FIND("[",A51)+1)+1)-FIND(":",A51,FIND("/",A51,FIND("]",A51)+1))-1))),MID(A51,(FIND(")",A51)+1),100)),CONCATENATE(MID(A51,1,2)," ",(SUM(MID(A51,FIND("[",A51)+1,FIND(":",A51)-FIND("[",A51)-1),MID(A51,FIND("_",A51)+1,FIND(":",A51,FIND("_",A51))-FIND("_",A51)-1),MID(A51,FIND("[",A51,FIND("[",A51)+1)+1,(FIND(":",A51,FIND("[",A51))-FIND("[",A51)-1)),MID(A51,FIND("_",A51,FIND("_",A51)+1)+1,FIND(":",A51,FIND("_",A51,FIND("[",A51,FIND("[",A51)+1)+1))-FIND("_",A51,FIND("[",A51,FIND("[",A51)+1)+1)-1))),":",SUM(MID(A51,FIND(":",A51)+1,FIND("_",A51)-FIND(":",A51)-1),MID(A51,FIND(":",A51,FIND("_",A51))+1,FIND("]",A51)-FIND(":",A51,FIND("_",A51))-1),MID(A51,FIND(":",A51,FIND("[",A51,FIND("[",A51)+1))+1,(FIND("_",A51,FIND("[",A51,FIND("[",A51)+1)+1)-FIND(":",A51,FIND("[",A51,FIND("[",A51)+1))-1)),MID(A51,FIND(":",A51,FIND("_",A51,FIND("]",A51)+1))+1,(FIND("]",A51,FIND("[",A51,FIND("[",A51)+1)+1)-FIND(":",A51,FIND("_",A51,FIND("]",A51)+1))-1))),MID(A51,(FIND(")",A51)+1),100))),A51)</f>
        <v>CL 61:2</v>
      </c>
      <c r="C51" s="1" t="str">
        <f>MID(B51,4,FIND(":",B51)-FIND(" ",B51)-1)</f>
        <v>61</v>
      </c>
      <c r="D51" s="1" t="str">
        <f>IF(ISNUMBER(SEARCH("__",B51)),MID(B51,FIND(":",B51)+1,FIND("__",B51)-FIND(":",B51)-1),MID(B51,FIND(":",B51)+1,7))</f>
        <v>2</v>
      </c>
      <c r="E51" s="17">
        <f t="shared" si="103"/>
        <v>70</v>
      </c>
      <c r="F51" s="17">
        <f t="shared" si="104"/>
        <v>132</v>
      </c>
      <c r="G51" s="17">
        <v>0</v>
      </c>
      <c r="H51" s="17">
        <f t="shared" si="105"/>
        <v>17</v>
      </c>
      <c r="I51" s="17">
        <v>2</v>
      </c>
      <c r="L51" s="19" t="str">
        <f t="shared" si="106"/>
        <v>C70H132O17P2</v>
      </c>
      <c r="M51" s="19">
        <f t="shared" si="107"/>
        <v>1306.8939281999999</v>
      </c>
      <c r="N51" s="19">
        <f t="shared" si="108"/>
        <v>1307.9012028</v>
      </c>
      <c r="O51" s="46">
        <f t="shared" si="109"/>
        <v>1289.8900828000001</v>
      </c>
      <c r="P51" s="46">
        <f t="shared" si="110"/>
        <v>1324.9277482</v>
      </c>
      <c r="Q51" s="46">
        <f t="shared" si="111"/>
        <v>1329.8831481999998</v>
      </c>
      <c r="R51" s="46">
        <f t="shared" si="112"/>
        <v>1345.8570881999999</v>
      </c>
      <c r="S51" s="46">
        <f t="shared" si="113"/>
        <v>1313.9093882</v>
      </c>
      <c r="T51" s="19">
        <f t="shared" si="114"/>
        <v>1305.8866535999998</v>
      </c>
      <c r="U51" s="19">
        <f t="shared" si="115"/>
        <v>1351.8921481999998</v>
      </c>
      <c r="V51" s="19">
        <f t="shared" si="116"/>
        <v>1365.9077981999999</v>
      </c>
      <c r="W51" s="46">
        <f t="shared" si="87"/>
        <v>652.43968949999987</v>
      </c>
      <c r="Y51" s="46">
        <f t="shared" si="34"/>
        <v>671.48078409999994</v>
      </c>
      <c r="Z51" s="46">
        <f t="shared" si="35"/>
        <v>676.43618409999999</v>
      </c>
      <c r="AA51" s="46">
        <f t="shared" si="36"/>
        <v>692.41012409999996</v>
      </c>
      <c r="AB51" s="46">
        <f t="shared" si="37"/>
        <v>665.44521139999995</v>
      </c>
      <c r="AC51" s="46">
        <f t="shared" si="33"/>
        <v>673.43218139999999</v>
      </c>
    </row>
    <row r="52" spans="1:29" x14ac:dyDescent="0.25">
      <c r="A52" s="20" t="s">
        <v>191</v>
      </c>
      <c r="B52" s="17" t="str">
        <f>IF(ISNUMBER(SEARCH("[",A52)),IF(ISNUMBER(SEARCH("/",A52)),CONCATENATE(MID(A52,1,2)," ",(SUM(MID(A52,FIND("[",A52)+1,FIND(":",A52)-FIND("[",A52)-1),MID(A52,FIND("/",A52)+1,FIND(":",A52,FIND("/",A52))-FIND("/",A52)-1),MID(A52,FIND("[",A52,FIND("[",A52)+1)+1,(FIND(":",A52,FIND("[",A52))-FIND("[",A52)-1)),MID(A52,FIND("/",A52,FIND("/",A52)+1)+1,FIND(":",A52,FIND("/",A52,FIND("[",A52,FIND("[",A52)+1)+1))-FIND("/",A52,FIND("[",A52,FIND("[",A52)+1)+1)-1))),":",SUM(MID(A52,FIND(":",A52)+1,FIND("/",A52)-FIND(":",A52)-1),MID(A52,FIND(":",A52,FIND("/",A52))+1,FIND("]",A52)-FIND(":",A52,FIND("/",A52))-1),MID(A52,FIND(":",A52,FIND("[",A52,FIND("[",A52)+1))+1,(FIND("/",A52,FIND("[",A52,FIND("[",A52)+1)+1)-FIND(":",A52,FIND("[",A52,FIND("[",A52)+1))-1)),MID(A52,FIND(":",A52,FIND("/",A52,FIND("]",A52)+1))+1,(FIND("]",A52,FIND("[",A52,FIND("[",A52)+1)+1)-FIND(":",A52,FIND("/",A52,FIND("]",A52)+1))-1))),MID(A52,(FIND(")",A52)+1),100)),CONCATENATE(MID(A52,1,2)," ",(SUM(MID(A52,FIND("[",A52)+1,FIND(":",A52)-FIND("[",A52)-1),MID(A52,FIND("_",A52)+1,FIND(":",A52,FIND("_",A52))-FIND("_",A52)-1),MID(A52,FIND("[",A52,FIND("[",A52)+1)+1,(FIND(":",A52,FIND("[",A52))-FIND("[",A52)-1)),MID(A52,FIND("_",A52,FIND("_",A52)+1)+1,FIND(":",A52,FIND("_",A52,FIND("[",A52,FIND("[",A52)+1)+1))-FIND("_",A52,FIND("[",A52,FIND("[",A52)+1)+1)-1))),":",SUM(MID(A52,FIND(":",A52)+1,FIND("_",A52)-FIND(":",A52)-1),MID(A52,FIND(":",A52,FIND("_",A52))+1,FIND("]",A52)-FIND(":",A52,FIND("_",A52))-1),MID(A52,FIND(":",A52,FIND("[",A52,FIND("[",A52)+1))+1,(FIND("_",A52,FIND("[",A52,FIND("[",A52)+1)+1)-FIND(":",A52,FIND("[",A52,FIND("[",A52)+1))-1)),MID(A52,FIND(":",A52,FIND("_",A52,FIND("]",A52)+1))+1,(FIND("]",A52,FIND("[",A52,FIND("[",A52)+1)+1)-FIND(":",A52,FIND("_",A52,FIND("]",A52)+1))-1))),MID(A52,(FIND(")",A52)+1),100))),A52)</f>
        <v>CL 61:1</v>
      </c>
      <c r="C52" s="1" t="str">
        <f>MID(B52,4,FIND(":",B52)-FIND(" ",B52)-1)</f>
        <v>61</v>
      </c>
      <c r="D52" s="1" t="str">
        <f>IF(ISNUMBER(SEARCH("__",B52)),MID(B52,FIND(":",B52)+1,FIND("__",B52)-FIND(":",B52)-1),MID(B52,FIND(":",B52)+1,7))</f>
        <v>1</v>
      </c>
      <c r="E52" s="17">
        <f t="shared" si="103"/>
        <v>70</v>
      </c>
      <c r="F52" s="17">
        <f t="shared" si="104"/>
        <v>134</v>
      </c>
      <c r="G52" s="17">
        <v>0</v>
      </c>
      <c r="H52" s="17">
        <f t="shared" si="105"/>
        <v>17</v>
      </c>
      <c r="I52" s="17">
        <v>2</v>
      </c>
      <c r="L52" s="19" t="str">
        <f t="shared" si="106"/>
        <v>C70H134O17P2</v>
      </c>
      <c r="M52" s="19">
        <f t="shared" si="107"/>
        <v>1308.9095774</v>
      </c>
      <c r="N52" s="19">
        <f t="shared" si="108"/>
        <v>1309.9168520000001</v>
      </c>
      <c r="O52" s="46">
        <f t="shared" si="109"/>
        <v>1291.9057320000002</v>
      </c>
      <c r="P52" s="46">
        <f t="shared" si="110"/>
        <v>1326.9433974000001</v>
      </c>
      <c r="Q52" s="46">
        <f t="shared" si="111"/>
        <v>1331.8987973999999</v>
      </c>
      <c r="R52" s="46">
        <f t="shared" si="112"/>
        <v>1347.8727374</v>
      </c>
      <c r="S52" s="46">
        <f t="shared" si="113"/>
        <v>1315.9250374000001</v>
      </c>
      <c r="T52" s="19">
        <f t="shared" si="114"/>
        <v>1307.9023027999999</v>
      </c>
      <c r="U52" s="19">
        <f t="shared" si="115"/>
        <v>1353.9077973999999</v>
      </c>
      <c r="V52" s="19">
        <f t="shared" si="116"/>
        <v>1367.9234474</v>
      </c>
      <c r="W52" s="46">
        <f t="shared" si="87"/>
        <v>653.44751409999992</v>
      </c>
      <c r="Y52" s="46">
        <f t="shared" si="34"/>
        <v>672.48860869999999</v>
      </c>
      <c r="Z52" s="46">
        <f t="shared" si="35"/>
        <v>677.44400870000004</v>
      </c>
      <c r="AA52" s="46">
        <f t="shared" si="36"/>
        <v>693.41794870000001</v>
      </c>
      <c r="AB52" s="46">
        <f t="shared" si="37"/>
        <v>666.453036</v>
      </c>
      <c r="AC52" s="46">
        <f t="shared" si="33"/>
        <v>674.44000600000004</v>
      </c>
    </row>
    <row r="53" spans="1:29" x14ac:dyDescent="0.25">
      <c r="A53" s="20" t="s">
        <v>169</v>
      </c>
      <c r="B53" s="17" t="str">
        <f t="shared" si="100"/>
        <v>CL 61:0</v>
      </c>
      <c r="C53" s="1" t="str">
        <f t="shared" si="101"/>
        <v>61</v>
      </c>
      <c r="D53" s="1" t="str">
        <f t="shared" si="102"/>
        <v>0</v>
      </c>
      <c r="E53" s="17">
        <f t="shared" si="103"/>
        <v>70</v>
      </c>
      <c r="F53" s="17">
        <f t="shared" si="104"/>
        <v>136</v>
      </c>
      <c r="G53" s="17">
        <v>0</v>
      </c>
      <c r="H53" s="17">
        <f t="shared" si="105"/>
        <v>17</v>
      </c>
      <c r="I53" s="17">
        <v>2</v>
      </c>
      <c r="L53" s="19" t="str">
        <f t="shared" si="106"/>
        <v>C70H136O17P2</v>
      </c>
      <c r="M53" s="19">
        <f t="shared" si="107"/>
        <v>1310.9252265999999</v>
      </c>
      <c r="N53" s="19">
        <f t="shared" si="108"/>
        <v>1311.9325011999999</v>
      </c>
      <c r="O53" s="46">
        <f t="shared" si="109"/>
        <v>1293.9213812</v>
      </c>
      <c r="P53" s="46">
        <f t="shared" si="110"/>
        <v>1328.9590466</v>
      </c>
      <c r="Q53" s="46">
        <f t="shared" si="111"/>
        <v>1333.9144465999998</v>
      </c>
      <c r="R53" s="46">
        <f t="shared" si="112"/>
        <v>1349.8883865999999</v>
      </c>
      <c r="S53" s="46">
        <f t="shared" si="113"/>
        <v>1317.9406865999999</v>
      </c>
      <c r="T53" s="19">
        <f t="shared" si="114"/>
        <v>1309.9179519999998</v>
      </c>
      <c r="U53" s="19">
        <f t="shared" si="115"/>
        <v>1355.9234465999998</v>
      </c>
      <c r="V53" s="19">
        <f t="shared" si="116"/>
        <v>1369.9390965999999</v>
      </c>
      <c r="W53" s="46">
        <f t="shared" si="87"/>
        <v>654.45533869999986</v>
      </c>
      <c r="Y53" s="46">
        <f t="shared" si="34"/>
        <v>673.49643329999992</v>
      </c>
      <c r="Z53" s="46">
        <f t="shared" si="35"/>
        <v>678.45183329999998</v>
      </c>
      <c r="AA53" s="46">
        <f t="shared" si="36"/>
        <v>694.42577329999995</v>
      </c>
      <c r="AB53" s="46">
        <f t="shared" si="37"/>
        <v>667.46086059999993</v>
      </c>
      <c r="AC53" s="46">
        <f t="shared" si="33"/>
        <v>675.44783059999997</v>
      </c>
    </row>
    <row r="54" spans="1:29" x14ac:dyDescent="0.25">
      <c r="A54" s="20" t="s">
        <v>255</v>
      </c>
      <c r="B54" s="17" t="str">
        <f t="shared" si="100"/>
        <v>CL 62:3</v>
      </c>
      <c r="C54" s="1" t="str">
        <f t="shared" si="101"/>
        <v>62</v>
      </c>
      <c r="D54" s="1" t="str">
        <f t="shared" si="102"/>
        <v>3</v>
      </c>
      <c r="E54" s="17">
        <f t="shared" si="103"/>
        <v>71</v>
      </c>
      <c r="F54" s="17">
        <f t="shared" si="104"/>
        <v>132</v>
      </c>
      <c r="G54" s="17">
        <v>0</v>
      </c>
      <c r="H54" s="17">
        <f t="shared" si="105"/>
        <v>17</v>
      </c>
      <c r="I54" s="17">
        <v>2</v>
      </c>
      <c r="L54" s="19" t="str">
        <f t="shared" si="106"/>
        <v>C71H132O17P2</v>
      </c>
      <c r="M54" s="19">
        <f t="shared" si="107"/>
        <v>1318.8939281999999</v>
      </c>
      <c r="N54" s="19">
        <f t="shared" si="108"/>
        <v>1319.9012028</v>
      </c>
      <c r="O54" s="46">
        <f t="shared" si="109"/>
        <v>1301.8900828000001</v>
      </c>
      <c r="P54" s="46">
        <f t="shared" si="110"/>
        <v>1336.9277482</v>
      </c>
      <c r="Q54" s="46">
        <f t="shared" si="111"/>
        <v>1341.8831481999998</v>
      </c>
      <c r="R54" s="46">
        <f t="shared" si="112"/>
        <v>1357.8570881999999</v>
      </c>
      <c r="S54" s="46">
        <f t="shared" si="113"/>
        <v>1325.9093882</v>
      </c>
      <c r="T54" s="19">
        <f t="shared" si="114"/>
        <v>1317.8866535999998</v>
      </c>
      <c r="U54" s="19">
        <f t="shared" si="115"/>
        <v>1363.8921481999998</v>
      </c>
      <c r="V54" s="19">
        <f t="shared" si="116"/>
        <v>1377.9077981999999</v>
      </c>
      <c r="W54" s="46">
        <f t="shared" si="87"/>
        <v>658.43968949999987</v>
      </c>
      <c r="Y54" s="46">
        <f t="shared" si="34"/>
        <v>677.48078409999994</v>
      </c>
      <c r="Z54" s="46">
        <f t="shared" si="35"/>
        <v>682.43618409999999</v>
      </c>
      <c r="AA54" s="46">
        <f t="shared" si="36"/>
        <v>698.41012409999996</v>
      </c>
      <c r="AB54" s="46">
        <f t="shared" si="37"/>
        <v>671.44521139999995</v>
      </c>
      <c r="AC54" s="46">
        <f t="shared" si="33"/>
        <v>679.43218139999999</v>
      </c>
    </row>
    <row r="55" spans="1:29" x14ac:dyDescent="0.25">
      <c r="A55" s="20" t="s">
        <v>213</v>
      </c>
      <c r="B55" s="17" t="str">
        <f>IF(ISNUMBER(SEARCH("[",A55)),IF(ISNUMBER(SEARCH("/",A55)),CONCATENATE(MID(A55,1,2)," ",(SUM(MID(A55,FIND("[",A55)+1,FIND(":",A55)-FIND("[",A55)-1),MID(A55,FIND("/",A55)+1,FIND(":",A55,FIND("/",A55))-FIND("/",A55)-1),MID(A55,FIND("[",A55,FIND("[",A55)+1)+1,(FIND(":",A55,FIND("[",A55))-FIND("[",A55)-1)),MID(A55,FIND("/",A55,FIND("/",A55)+1)+1,FIND(":",A55,FIND("/",A55,FIND("[",A55,FIND("[",A55)+1)+1))-FIND("/",A55,FIND("[",A55,FIND("[",A55)+1)+1)-1))),":",SUM(MID(A55,FIND(":",A55)+1,FIND("/",A55)-FIND(":",A55)-1),MID(A55,FIND(":",A55,FIND("/",A55))+1,FIND("]",A55)-FIND(":",A55,FIND("/",A55))-1),MID(A55,FIND(":",A55,FIND("[",A55,FIND("[",A55)+1))+1,(FIND("/",A55,FIND("[",A55,FIND("[",A55)+1)+1)-FIND(":",A55,FIND("[",A55,FIND("[",A55)+1))-1)),MID(A55,FIND(":",A55,FIND("/",A55,FIND("]",A55)+1))+1,(FIND("]",A55,FIND("[",A55,FIND("[",A55)+1)+1)-FIND(":",A55,FIND("/",A55,FIND("]",A55)+1))-1))),MID(A55,(FIND(")",A55)+1),100)),CONCATENATE(MID(A55,1,2)," ",(SUM(MID(A55,FIND("[",A55)+1,FIND(":",A55)-FIND("[",A55)-1),MID(A55,FIND("_",A55)+1,FIND(":",A55,FIND("_",A55))-FIND("_",A55)-1),MID(A55,FIND("[",A55,FIND("[",A55)+1)+1,(FIND(":",A55,FIND("[",A55))-FIND("[",A55)-1)),MID(A55,FIND("_",A55,FIND("_",A55)+1)+1,FIND(":",A55,FIND("_",A55,FIND("[",A55,FIND("[",A55)+1)+1))-FIND("_",A55,FIND("[",A55,FIND("[",A55)+1)+1)-1))),":",SUM(MID(A55,FIND(":",A55)+1,FIND("_",A55)-FIND(":",A55)-1),MID(A55,FIND(":",A55,FIND("_",A55))+1,FIND("]",A55)-FIND(":",A55,FIND("_",A55))-1),MID(A55,FIND(":",A55,FIND("[",A55,FIND("[",A55)+1))+1,(FIND("_",A55,FIND("[",A55,FIND("[",A55)+1)+1)-FIND(":",A55,FIND("[",A55,FIND("[",A55)+1))-1)),MID(A55,FIND(":",A55,FIND("_",A55,FIND("]",A55)+1))+1,(FIND("]",A55,FIND("[",A55,FIND("[",A55)+1)+1)-FIND(":",A55,FIND("_",A55,FIND("]",A55)+1))-1))),MID(A55,(FIND(")",A55)+1),100))),A55)</f>
        <v>CL 62:2</v>
      </c>
      <c r="C55" s="1" t="str">
        <f>MID(B55,4,FIND(":",B55)-FIND(" ",B55)-1)</f>
        <v>62</v>
      </c>
      <c r="D55" s="1" t="str">
        <f>IF(ISNUMBER(SEARCH("__",B55)),MID(B55,FIND(":",B55)+1,FIND("__",B55)-FIND(":",B55)-1),MID(B55,FIND(":",B55)+1,7))</f>
        <v>2</v>
      </c>
      <c r="E55" s="17">
        <f t="shared" si="103"/>
        <v>71</v>
      </c>
      <c r="F55" s="17">
        <f t="shared" si="104"/>
        <v>134</v>
      </c>
      <c r="G55" s="17">
        <v>0</v>
      </c>
      <c r="H55" s="17">
        <f t="shared" si="105"/>
        <v>17</v>
      </c>
      <c r="I55" s="17">
        <v>2</v>
      </c>
      <c r="L55" s="19" t="str">
        <f t="shared" si="106"/>
        <v>C71H134O17P2</v>
      </c>
      <c r="M55" s="19">
        <f t="shared" si="107"/>
        <v>1320.9095774</v>
      </c>
      <c r="N55" s="19">
        <f t="shared" si="108"/>
        <v>1321.9168520000001</v>
      </c>
      <c r="O55" s="46">
        <f t="shared" si="109"/>
        <v>1303.9057320000002</v>
      </c>
      <c r="P55" s="46">
        <f t="shared" si="110"/>
        <v>1338.9433974000001</v>
      </c>
      <c r="Q55" s="46">
        <f t="shared" si="111"/>
        <v>1343.8987973999999</v>
      </c>
      <c r="R55" s="46">
        <f t="shared" si="112"/>
        <v>1359.8727374</v>
      </c>
      <c r="S55" s="46">
        <f t="shared" si="113"/>
        <v>1327.9250374000001</v>
      </c>
      <c r="T55" s="19">
        <f t="shared" si="114"/>
        <v>1319.9023027999999</v>
      </c>
      <c r="U55" s="19">
        <f t="shared" si="115"/>
        <v>1365.9077973999999</v>
      </c>
      <c r="V55" s="19">
        <f t="shared" si="116"/>
        <v>1379.9234474</v>
      </c>
      <c r="W55" s="46">
        <f t="shared" si="87"/>
        <v>659.44751409999992</v>
      </c>
      <c r="Y55" s="46">
        <f t="shared" si="34"/>
        <v>678.48860869999999</v>
      </c>
      <c r="Z55" s="46">
        <f t="shared" si="35"/>
        <v>683.44400870000004</v>
      </c>
      <c r="AA55" s="46">
        <f t="shared" si="36"/>
        <v>699.41794870000001</v>
      </c>
      <c r="AB55" s="46">
        <f t="shared" si="37"/>
        <v>672.453036</v>
      </c>
      <c r="AC55" s="46">
        <f t="shared" si="33"/>
        <v>680.44000600000004</v>
      </c>
    </row>
    <row r="56" spans="1:29" x14ac:dyDescent="0.25">
      <c r="A56" s="20" t="s">
        <v>190</v>
      </c>
      <c r="B56" s="17" t="str">
        <f>IF(ISNUMBER(SEARCH("[",A56)),IF(ISNUMBER(SEARCH("/",A56)),CONCATENATE(MID(A56,1,2)," ",(SUM(MID(A56,FIND("[",A56)+1,FIND(":",A56)-FIND("[",A56)-1),MID(A56,FIND("/",A56)+1,FIND(":",A56,FIND("/",A56))-FIND("/",A56)-1),MID(A56,FIND("[",A56,FIND("[",A56)+1)+1,(FIND(":",A56,FIND("[",A56))-FIND("[",A56)-1)),MID(A56,FIND("/",A56,FIND("/",A56)+1)+1,FIND(":",A56,FIND("/",A56,FIND("[",A56,FIND("[",A56)+1)+1))-FIND("/",A56,FIND("[",A56,FIND("[",A56)+1)+1)-1))),":",SUM(MID(A56,FIND(":",A56)+1,FIND("/",A56)-FIND(":",A56)-1),MID(A56,FIND(":",A56,FIND("/",A56))+1,FIND("]",A56)-FIND(":",A56,FIND("/",A56))-1),MID(A56,FIND(":",A56,FIND("[",A56,FIND("[",A56)+1))+1,(FIND("/",A56,FIND("[",A56,FIND("[",A56)+1)+1)-FIND(":",A56,FIND("[",A56,FIND("[",A56)+1))-1)),MID(A56,FIND(":",A56,FIND("/",A56,FIND("]",A56)+1))+1,(FIND("]",A56,FIND("[",A56,FIND("[",A56)+1)+1)-FIND(":",A56,FIND("/",A56,FIND("]",A56)+1))-1))),MID(A56,(FIND(")",A56)+1),100)),CONCATENATE(MID(A56,1,2)," ",(SUM(MID(A56,FIND("[",A56)+1,FIND(":",A56)-FIND("[",A56)-1),MID(A56,FIND("_",A56)+1,FIND(":",A56,FIND("_",A56))-FIND("_",A56)-1),MID(A56,FIND("[",A56,FIND("[",A56)+1)+1,(FIND(":",A56,FIND("[",A56))-FIND("[",A56)-1)),MID(A56,FIND("_",A56,FIND("_",A56)+1)+1,FIND(":",A56,FIND("_",A56,FIND("[",A56,FIND("[",A56)+1)+1))-FIND("_",A56,FIND("[",A56,FIND("[",A56)+1)+1)-1))),":",SUM(MID(A56,FIND(":",A56)+1,FIND("_",A56)-FIND(":",A56)-1),MID(A56,FIND(":",A56,FIND("_",A56))+1,FIND("]",A56)-FIND(":",A56,FIND("_",A56))-1),MID(A56,FIND(":",A56,FIND("[",A56,FIND("[",A56)+1))+1,(FIND("_",A56,FIND("[",A56,FIND("[",A56)+1)+1)-FIND(":",A56,FIND("[",A56,FIND("[",A56)+1))-1)),MID(A56,FIND(":",A56,FIND("_",A56,FIND("]",A56)+1))+1,(FIND("]",A56,FIND("[",A56,FIND("[",A56)+1)+1)-FIND(":",A56,FIND("_",A56,FIND("]",A56)+1))-1))),MID(A56,(FIND(")",A56)+1),100))),A56)</f>
        <v>CL 62:1</v>
      </c>
      <c r="C56" s="1" t="str">
        <f>MID(B56,4,FIND(":",B56)-FIND(" ",B56)-1)</f>
        <v>62</v>
      </c>
      <c r="D56" s="1" t="str">
        <f>IF(ISNUMBER(SEARCH("__",B56)),MID(B56,FIND(":",B56)+1,FIND("__",B56)-FIND(":",B56)-1),MID(B56,FIND(":",B56)+1,7))</f>
        <v>1</v>
      </c>
      <c r="E56" s="17">
        <f t="shared" si="103"/>
        <v>71</v>
      </c>
      <c r="F56" s="17">
        <f t="shared" si="104"/>
        <v>136</v>
      </c>
      <c r="G56" s="17">
        <v>0</v>
      </c>
      <c r="H56" s="17">
        <f t="shared" si="105"/>
        <v>17</v>
      </c>
      <c r="I56" s="17">
        <v>2</v>
      </c>
      <c r="L56" s="19" t="str">
        <f t="shared" si="106"/>
        <v>C71H136O17P2</v>
      </c>
      <c r="M56" s="19">
        <f t="shared" si="107"/>
        <v>1322.9252265999999</v>
      </c>
      <c r="N56" s="19">
        <f t="shared" si="108"/>
        <v>1323.9325011999999</v>
      </c>
      <c r="O56" s="46">
        <f t="shared" si="109"/>
        <v>1305.9213812</v>
      </c>
      <c r="P56" s="46">
        <f t="shared" si="110"/>
        <v>1340.9590466</v>
      </c>
      <c r="Q56" s="46">
        <f t="shared" si="111"/>
        <v>1345.9144465999998</v>
      </c>
      <c r="R56" s="46">
        <f t="shared" si="112"/>
        <v>1361.8883865999999</v>
      </c>
      <c r="S56" s="46">
        <f t="shared" si="113"/>
        <v>1329.9406865999999</v>
      </c>
      <c r="T56" s="19">
        <f t="shared" si="114"/>
        <v>1321.9179519999998</v>
      </c>
      <c r="U56" s="19">
        <f t="shared" si="115"/>
        <v>1367.9234465999998</v>
      </c>
      <c r="V56" s="19">
        <f t="shared" si="116"/>
        <v>1381.9390965999999</v>
      </c>
      <c r="W56" s="46">
        <f t="shared" si="87"/>
        <v>660.45533869999986</v>
      </c>
      <c r="Y56" s="46">
        <f t="shared" si="34"/>
        <v>679.49643329999992</v>
      </c>
      <c r="Z56" s="46">
        <f t="shared" si="35"/>
        <v>684.45183329999998</v>
      </c>
      <c r="AA56" s="46">
        <f t="shared" si="36"/>
        <v>700.42577329999995</v>
      </c>
      <c r="AB56" s="46">
        <f t="shared" si="37"/>
        <v>673.46086059999993</v>
      </c>
      <c r="AC56" s="46">
        <f t="shared" si="33"/>
        <v>681.44783059999997</v>
      </c>
    </row>
    <row r="57" spans="1:29" x14ac:dyDescent="0.25">
      <c r="A57" s="20" t="s">
        <v>170</v>
      </c>
      <c r="B57" s="17" t="str">
        <f t="shared" si="100"/>
        <v>CL 62:0</v>
      </c>
      <c r="C57" s="1" t="str">
        <f t="shared" si="101"/>
        <v>62</v>
      </c>
      <c r="D57" s="1" t="str">
        <f t="shared" si="102"/>
        <v>0</v>
      </c>
      <c r="E57" s="17">
        <f t="shared" si="103"/>
        <v>71</v>
      </c>
      <c r="F57" s="17">
        <f t="shared" si="104"/>
        <v>138</v>
      </c>
      <c r="G57" s="17">
        <v>0</v>
      </c>
      <c r="H57" s="17">
        <f t="shared" si="105"/>
        <v>17</v>
      </c>
      <c r="I57" s="17">
        <v>2</v>
      </c>
      <c r="L57" s="19" t="str">
        <f t="shared" si="106"/>
        <v>C71H138O17P2</v>
      </c>
      <c r="M57" s="19">
        <f t="shared" si="107"/>
        <v>1324.9408758</v>
      </c>
      <c r="N57" s="19">
        <f t="shared" si="108"/>
        <v>1325.9481504</v>
      </c>
      <c r="O57" s="46">
        <f t="shared" si="109"/>
        <v>1307.9370304000001</v>
      </c>
      <c r="P57" s="46">
        <f t="shared" si="110"/>
        <v>1342.9746958000001</v>
      </c>
      <c r="Q57" s="46">
        <f t="shared" si="111"/>
        <v>1347.9300957999999</v>
      </c>
      <c r="R57" s="46">
        <f t="shared" si="112"/>
        <v>1363.9040358</v>
      </c>
      <c r="S57" s="46">
        <f t="shared" si="113"/>
        <v>1331.9563358</v>
      </c>
      <c r="T57" s="19">
        <f t="shared" si="114"/>
        <v>1323.9336011999999</v>
      </c>
      <c r="U57" s="19">
        <f t="shared" si="115"/>
        <v>1369.9390957999999</v>
      </c>
      <c r="V57" s="19">
        <f t="shared" si="116"/>
        <v>1383.9547458</v>
      </c>
      <c r="W57" s="46">
        <f t="shared" si="87"/>
        <v>661.46316329999991</v>
      </c>
      <c r="Y57" s="46">
        <f t="shared" si="34"/>
        <v>680.50425789999997</v>
      </c>
      <c r="Z57" s="46">
        <f t="shared" si="35"/>
        <v>685.45965790000002</v>
      </c>
      <c r="AA57" s="46">
        <f t="shared" si="36"/>
        <v>701.4335979</v>
      </c>
      <c r="AB57" s="46">
        <f t="shared" si="37"/>
        <v>674.46868519999998</v>
      </c>
      <c r="AC57" s="46">
        <f t="shared" si="33"/>
        <v>682.45565520000002</v>
      </c>
    </row>
    <row r="58" spans="1:29" x14ac:dyDescent="0.25">
      <c r="A58" s="20" t="s">
        <v>260</v>
      </c>
      <c r="B58" s="17" t="str">
        <f t="shared" si="100"/>
        <v>CL 63:4</v>
      </c>
      <c r="C58" s="1" t="str">
        <f t="shared" si="101"/>
        <v>63</v>
      </c>
      <c r="D58" s="1" t="str">
        <f t="shared" si="102"/>
        <v>4</v>
      </c>
      <c r="E58" s="17">
        <f t="shared" si="103"/>
        <v>72</v>
      </c>
      <c r="F58" s="17">
        <f t="shared" si="104"/>
        <v>132</v>
      </c>
      <c r="G58" s="17">
        <v>0</v>
      </c>
      <c r="H58" s="17">
        <f t="shared" si="105"/>
        <v>17</v>
      </c>
      <c r="I58" s="17">
        <v>2</v>
      </c>
      <c r="L58" s="19" t="str">
        <f t="shared" si="106"/>
        <v>C72H132O17P2</v>
      </c>
      <c r="M58" s="19">
        <f t="shared" si="107"/>
        <v>1330.8939281999999</v>
      </c>
      <c r="N58" s="19">
        <f t="shared" si="108"/>
        <v>1331.9012028</v>
      </c>
      <c r="O58" s="46">
        <f t="shared" si="109"/>
        <v>1313.8900828000001</v>
      </c>
      <c r="P58" s="46">
        <f t="shared" si="110"/>
        <v>1348.9277482</v>
      </c>
      <c r="Q58" s="46">
        <f t="shared" si="111"/>
        <v>1353.8831481999998</v>
      </c>
      <c r="R58" s="46">
        <f t="shared" si="112"/>
        <v>1369.8570881999999</v>
      </c>
      <c r="S58" s="46">
        <f t="shared" si="113"/>
        <v>1337.9093882</v>
      </c>
      <c r="T58" s="19">
        <f t="shared" si="114"/>
        <v>1329.8866535999998</v>
      </c>
      <c r="U58" s="19">
        <f t="shared" si="115"/>
        <v>1375.8921481999998</v>
      </c>
      <c r="V58" s="19">
        <f t="shared" si="116"/>
        <v>1389.9077981999999</v>
      </c>
      <c r="W58" s="46">
        <f t="shared" si="87"/>
        <v>664.43968949999987</v>
      </c>
      <c r="Y58" s="46">
        <f t="shared" si="34"/>
        <v>683.48078409999994</v>
      </c>
      <c r="Z58" s="46">
        <f t="shared" si="35"/>
        <v>688.43618409999999</v>
      </c>
      <c r="AA58" s="46">
        <f t="shared" si="36"/>
        <v>704.41012409999996</v>
      </c>
      <c r="AB58" s="46">
        <f t="shared" si="37"/>
        <v>677.44521139999995</v>
      </c>
      <c r="AC58" s="46">
        <f t="shared" si="33"/>
        <v>685.43218139999999</v>
      </c>
    </row>
    <row r="59" spans="1:29" x14ac:dyDescent="0.25">
      <c r="A59" s="20" t="s">
        <v>249</v>
      </c>
      <c r="B59" s="17" t="str">
        <f t="shared" si="100"/>
        <v>CL 63:3</v>
      </c>
      <c r="C59" s="1" t="str">
        <f t="shared" si="101"/>
        <v>63</v>
      </c>
      <c r="D59" s="1" t="str">
        <f t="shared" si="102"/>
        <v>3</v>
      </c>
      <c r="E59" s="17">
        <f t="shared" si="103"/>
        <v>72</v>
      </c>
      <c r="F59" s="17">
        <f t="shared" si="104"/>
        <v>134</v>
      </c>
      <c r="G59" s="17">
        <v>0</v>
      </c>
      <c r="H59" s="17">
        <f t="shared" si="105"/>
        <v>17</v>
      </c>
      <c r="I59" s="17">
        <v>2</v>
      </c>
      <c r="L59" s="19" t="str">
        <f t="shared" si="106"/>
        <v>C72H134O17P2</v>
      </c>
      <c r="M59" s="19">
        <f t="shared" si="107"/>
        <v>1332.9095774</v>
      </c>
      <c r="N59" s="19">
        <f t="shared" si="108"/>
        <v>1333.9168520000001</v>
      </c>
      <c r="O59" s="46">
        <f t="shared" si="109"/>
        <v>1315.9057320000002</v>
      </c>
      <c r="P59" s="46">
        <f t="shared" si="110"/>
        <v>1350.9433974000001</v>
      </c>
      <c r="Q59" s="46">
        <f t="shared" si="111"/>
        <v>1355.8987973999999</v>
      </c>
      <c r="R59" s="46">
        <f t="shared" si="112"/>
        <v>1371.8727374</v>
      </c>
      <c r="S59" s="46">
        <f t="shared" si="113"/>
        <v>1339.9250374000001</v>
      </c>
      <c r="T59" s="19">
        <f t="shared" si="114"/>
        <v>1331.9023027999999</v>
      </c>
      <c r="U59" s="19">
        <f t="shared" si="115"/>
        <v>1377.9077973999999</v>
      </c>
      <c r="V59" s="19">
        <f t="shared" si="116"/>
        <v>1391.9234474</v>
      </c>
      <c r="W59" s="46">
        <f t="shared" si="87"/>
        <v>665.44751409999992</v>
      </c>
      <c r="Y59" s="46">
        <f t="shared" si="34"/>
        <v>684.48860869999999</v>
      </c>
      <c r="Z59" s="46">
        <f t="shared" si="35"/>
        <v>689.44400870000004</v>
      </c>
      <c r="AA59" s="46">
        <f t="shared" si="36"/>
        <v>705.41794870000001</v>
      </c>
      <c r="AB59" s="46">
        <f t="shared" si="37"/>
        <v>678.453036</v>
      </c>
      <c r="AC59" s="46">
        <f t="shared" si="33"/>
        <v>686.44000600000004</v>
      </c>
    </row>
    <row r="60" spans="1:29" x14ac:dyDescent="0.25">
      <c r="A60" s="20" t="s">
        <v>214</v>
      </c>
      <c r="B60" s="17" t="str">
        <f>IF(ISNUMBER(SEARCH("[",A60)),IF(ISNUMBER(SEARCH("/",A60)),CONCATENATE(MID(A60,1,2)," ",(SUM(MID(A60,FIND("[",A60)+1,FIND(":",A60)-FIND("[",A60)-1),MID(A60,FIND("/",A60)+1,FIND(":",A60,FIND("/",A60))-FIND("/",A60)-1),MID(A60,FIND("[",A60,FIND("[",A60)+1)+1,(FIND(":",A60,FIND("[",A60))-FIND("[",A60)-1)),MID(A60,FIND("/",A60,FIND("/",A60)+1)+1,FIND(":",A60,FIND("/",A60,FIND("[",A60,FIND("[",A60)+1)+1))-FIND("/",A60,FIND("[",A60,FIND("[",A60)+1)+1)-1))),":",SUM(MID(A60,FIND(":",A60)+1,FIND("/",A60)-FIND(":",A60)-1),MID(A60,FIND(":",A60,FIND("/",A60))+1,FIND("]",A60)-FIND(":",A60,FIND("/",A60))-1),MID(A60,FIND(":",A60,FIND("[",A60,FIND("[",A60)+1))+1,(FIND("/",A60,FIND("[",A60,FIND("[",A60)+1)+1)-FIND(":",A60,FIND("[",A60,FIND("[",A60)+1))-1)),MID(A60,FIND(":",A60,FIND("/",A60,FIND("]",A60)+1))+1,(FIND("]",A60,FIND("[",A60,FIND("[",A60)+1)+1)-FIND(":",A60,FIND("/",A60,FIND("]",A60)+1))-1))),MID(A60,(FIND(")",A60)+1),100)),CONCATENATE(MID(A60,1,2)," ",(SUM(MID(A60,FIND("[",A60)+1,FIND(":",A60)-FIND("[",A60)-1),MID(A60,FIND("_",A60)+1,FIND(":",A60,FIND("_",A60))-FIND("_",A60)-1),MID(A60,FIND("[",A60,FIND("[",A60)+1)+1,(FIND(":",A60,FIND("[",A60))-FIND("[",A60)-1)),MID(A60,FIND("_",A60,FIND("_",A60)+1)+1,FIND(":",A60,FIND("_",A60,FIND("[",A60,FIND("[",A60)+1)+1))-FIND("_",A60,FIND("[",A60,FIND("[",A60)+1)+1)-1))),":",SUM(MID(A60,FIND(":",A60)+1,FIND("_",A60)-FIND(":",A60)-1),MID(A60,FIND(":",A60,FIND("_",A60))+1,FIND("]",A60)-FIND(":",A60,FIND("_",A60))-1),MID(A60,FIND(":",A60,FIND("[",A60,FIND("[",A60)+1))+1,(FIND("_",A60,FIND("[",A60,FIND("[",A60)+1)+1)-FIND(":",A60,FIND("[",A60,FIND("[",A60)+1))-1)),MID(A60,FIND(":",A60,FIND("_",A60,FIND("]",A60)+1))+1,(FIND("]",A60,FIND("[",A60,FIND("[",A60)+1)+1)-FIND(":",A60,FIND("_",A60,FIND("]",A60)+1))-1))),MID(A60,(FIND(")",A60)+1),100))),A60)</f>
        <v>CL 63:2</v>
      </c>
      <c r="C60" s="1" t="str">
        <f>MID(B60,4,FIND(":",B60)-FIND(" ",B60)-1)</f>
        <v>63</v>
      </c>
      <c r="D60" s="1" t="str">
        <f>IF(ISNUMBER(SEARCH("__",B60)),MID(B60,FIND(":",B60)+1,FIND("__",B60)-FIND(":",B60)-1),MID(B60,FIND(":",B60)+1,7))</f>
        <v>2</v>
      </c>
      <c r="E60" s="17">
        <f t="shared" si="103"/>
        <v>72</v>
      </c>
      <c r="F60" s="17">
        <f t="shared" si="104"/>
        <v>136</v>
      </c>
      <c r="G60" s="17">
        <v>0</v>
      </c>
      <c r="H60" s="17">
        <f t="shared" si="105"/>
        <v>17</v>
      </c>
      <c r="I60" s="17">
        <v>2</v>
      </c>
      <c r="L60" s="19" t="str">
        <f t="shared" si="106"/>
        <v>C72H136O17P2</v>
      </c>
      <c r="M60" s="19">
        <f t="shared" si="107"/>
        <v>1334.9252265999999</v>
      </c>
      <c r="N60" s="19">
        <f t="shared" si="108"/>
        <v>1335.9325011999999</v>
      </c>
      <c r="O60" s="46">
        <f t="shared" si="109"/>
        <v>1317.9213812</v>
      </c>
      <c r="P60" s="46">
        <f t="shared" si="110"/>
        <v>1352.9590466</v>
      </c>
      <c r="Q60" s="46">
        <f t="shared" si="111"/>
        <v>1357.9144465999998</v>
      </c>
      <c r="R60" s="46">
        <f t="shared" si="112"/>
        <v>1373.8883865999999</v>
      </c>
      <c r="S60" s="46">
        <f t="shared" si="113"/>
        <v>1341.9406865999999</v>
      </c>
      <c r="T60" s="19">
        <f t="shared" si="114"/>
        <v>1333.9179519999998</v>
      </c>
      <c r="U60" s="19">
        <f t="shared" si="115"/>
        <v>1379.9234465999998</v>
      </c>
      <c r="V60" s="19">
        <f t="shared" si="116"/>
        <v>1393.9390965999999</v>
      </c>
      <c r="W60" s="46">
        <f t="shared" si="87"/>
        <v>666.45533869999986</v>
      </c>
      <c r="Y60" s="46">
        <f t="shared" si="34"/>
        <v>685.49643329999992</v>
      </c>
      <c r="Z60" s="46">
        <f t="shared" si="35"/>
        <v>690.45183329999998</v>
      </c>
      <c r="AA60" s="46">
        <f t="shared" si="36"/>
        <v>706.42577329999995</v>
      </c>
      <c r="AB60" s="46">
        <f t="shared" si="37"/>
        <v>679.46086059999993</v>
      </c>
      <c r="AC60" s="46">
        <f t="shared" si="33"/>
        <v>687.44783059999997</v>
      </c>
    </row>
    <row r="61" spans="1:29" x14ac:dyDescent="0.25">
      <c r="A61" s="20" t="s">
        <v>189</v>
      </c>
      <c r="B61" s="17" t="str">
        <f>IF(ISNUMBER(SEARCH("[",A61)),IF(ISNUMBER(SEARCH("/",A61)),CONCATENATE(MID(A61,1,2)," ",(SUM(MID(A61,FIND("[",A61)+1,FIND(":",A61)-FIND("[",A61)-1),MID(A61,FIND("/",A61)+1,FIND(":",A61,FIND("/",A61))-FIND("/",A61)-1),MID(A61,FIND("[",A61,FIND("[",A61)+1)+1,(FIND(":",A61,FIND("[",A61))-FIND("[",A61)-1)),MID(A61,FIND("/",A61,FIND("/",A61)+1)+1,FIND(":",A61,FIND("/",A61,FIND("[",A61,FIND("[",A61)+1)+1))-FIND("/",A61,FIND("[",A61,FIND("[",A61)+1)+1)-1))),":",SUM(MID(A61,FIND(":",A61)+1,FIND("/",A61)-FIND(":",A61)-1),MID(A61,FIND(":",A61,FIND("/",A61))+1,FIND("]",A61)-FIND(":",A61,FIND("/",A61))-1),MID(A61,FIND(":",A61,FIND("[",A61,FIND("[",A61)+1))+1,(FIND("/",A61,FIND("[",A61,FIND("[",A61)+1)+1)-FIND(":",A61,FIND("[",A61,FIND("[",A61)+1))-1)),MID(A61,FIND(":",A61,FIND("/",A61,FIND("]",A61)+1))+1,(FIND("]",A61,FIND("[",A61,FIND("[",A61)+1)+1)-FIND(":",A61,FIND("/",A61,FIND("]",A61)+1))-1))),MID(A61,(FIND(")",A61)+1),100)),CONCATENATE(MID(A61,1,2)," ",(SUM(MID(A61,FIND("[",A61)+1,FIND(":",A61)-FIND("[",A61)-1),MID(A61,FIND("_",A61)+1,FIND(":",A61,FIND("_",A61))-FIND("_",A61)-1),MID(A61,FIND("[",A61,FIND("[",A61)+1)+1,(FIND(":",A61,FIND("[",A61))-FIND("[",A61)-1)),MID(A61,FIND("_",A61,FIND("_",A61)+1)+1,FIND(":",A61,FIND("_",A61,FIND("[",A61,FIND("[",A61)+1)+1))-FIND("_",A61,FIND("[",A61,FIND("[",A61)+1)+1)-1))),":",SUM(MID(A61,FIND(":",A61)+1,FIND("_",A61)-FIND(":",A61)-1),MID(A61,FIND(":",A61,FIND("_",A61))+1,FIND("]",A61)-FIND(":",A61,FIND("_",A61))-1),MID(A61,FIND(":",A61,FIND("[",A61,FIND("[",A61)+1))+1,(FIND("_",A61,FIND("[",A61,FIND("[",A61)+1)+1)-FIND(":",A61,FIND("[",A61,FIND("[",A61)+1))-1)),MID(A61,FIND(":",A61,FIND("_",A61,FIND("]",A61)+1))+1,(FIND("]",A61,FIND("[",A61,FIND("[",A61)+1)+1)-FIND(":",A61,FIND("_",A61,FIND("]",A61)+1))-1))),MID(A61,(FIND(")",A61)+1),100))),A61)</f>
        <v>CL 63:1</v>
      </c>
      <c r="C61" s="1" t="str">
        <f>MID(B61,4,FIND(":",B61)-FIND(" ",B61)-1)</f>
        <v>63</v>
      </c>
      <c r="D61" s="1" t="str">
        <f>IF(ISNUMBER(SEARCH("__",B61)),MID(B61,FIND(":",B61)+1,FIND("__",B61)-FIND(":",B61)-1),MID(B61,FIND(":",B61)+1,7))</f>
        <v>1</v>
      </c>
      <c r="E61" s="17">
        <f t="shared" si="103"/>
        <v>72</v>
      </c>
      <c r="F61" s="17">
        <f t="shared" si="104"/>
        <v>138</v>
      </c>
      <c r="G61" s="17">
        <v>0</v>
      </c>
      <c r="H61" s="17">
        <f t="shared" si="105"/>
        <v>17</v>
      </c>
      <c r="I61" s="17">
        <v>2</v>
      </c>
      <c r="L61" s="19" t="str">
        <f t="shared" si="106"/>
        <v>C72H138O17P2</v>
      </c>
      <c r="M61" s="19">
        <f t="shared" si="107"/>
        <v>1336.9408758</v>
      </c>
      <c r="N61" s="19">
        <f t="shared" si="108"/>
        <v>1337.9481504</v>
      </c>
      <c r="O61" s="46">
        <f t="shared" si="109"/>
        <v>1319.9370304000001</v>
      </c>
      <c r="P61" s="46">
        <f t="shared" si="110"/>
        <v>1354.9746958000001</v>
      </c>
      <c r="Q61" s="46">
        <f t="shared" si="111"/>
        <v>1359.9300957999999</v>
      </c>
      <c r="R61" s="46">
        <f t="shared" si="112"/>
        <v>1375.9040358</v>
      </c>
      <c r="S61" s="46">
        <f t="shared" si="113"/>
        <v>1343.9563358</v>
      </c>
      <c r="T61" s="19">
        <f t="shared" si="114"/>
        <v>1335.9336011999999</v>
      </c>
      <c r="U61" s="19">
        <f t="shared" si="115"/>
        <v>1381.9390957999999</v>
      </c>
      <c r="V61" s="19">
        <f t="shared" si="116"/>
        <v>1395.9547458</v>
      </c>
      <c r="W61" s="46">
        <f t="shared" si="87"/>
        <v>667.46316329999991</v>
      </c>
      <c r="Y61" s="46">
        <f t="shared" si="34"/>
        <v>686.50425789999997</v>
      </c>
      <c r="Z61" s="46">
        <f t="shared" si="35"/>
        <v>691.45965790000002</v>
      </c>
      <c r="AA61" s="46">
        <f t="shared" si="36"/>
        <v>707.4335979</v>
      </c>
      <c r="AB61" s="46">
        <f t="shared" si="37"/>
        <v>680.46868519999998</v>
      </c>
      <c r="AC61" s="46">
        <f t="shared" si="33"/>
        <v>688.45565520000002</v>
      </c>
    </row>
    <row r="62" spans="1:29" x14ac:dyDescent="0.25">
      <c r="A62" s="20" t="s">
        <v>171</v>
      </c>
      <c r="B62" s="17" t="str">
        <f t="shared" si="100"/>
        <v>CL 63:0</v>
      </c>
      <c r="C62" s="1" t="str">
        <f t="shared" si="101"/>
        <v>63</v>
      </c>
      <c r="D62" s="1" t="str">
        <f t="shared" si="102"/>
        <v>0</v>
      </c>
      <c r="E62" s="17">
        <f t="shared" si="103"/>
        <v>72</v>
      </c>
      <c r="F62" s="17">
        <f t="shared" si="104"/>
        <v>140</v>
      </c>
      <c r="G62" s="17">
        <v>0</v>
      </c>
      <c r="H62" s="17">
        <f t="shared" si="105"/>
        <v>17</v>
      </c>
      <c r="I62" s="17">
        <v>2</v>
      </c>
      <c r="L62" s="19" t="str">
        <f t="shared" si="106"/>
        <v>C72H140O17P2</v>
      </c>
      <c r="M62" s="19">
        <f t="shared" si="107"/>
        <v>1338.9565250000001</v>
      </c>
      <c r="N62" s="19">
        <f t="shared" si="108"/>
        <v>1339.9637996000001</v>
      </c>
      <c r="O62" s="46">
        <f t="shared" si="109"/>
        <v>1321.9526796000002</v>
      </c>
      <c r="P62" s="46">
        <f t="shared" si="110"/>
        <v>1356.9903450000002</v>
      </c>
      <c r="Q62" s="46">
        <f t="shared" si="111"/>
        <v>1361.945745</v>
      </c>
      <c r="R62" s="46">
        <f t="shared" si="112"/>
        <v>1377.9196850000001</v>
      </c>
      <c r="S62" s="46">
        <f t="shared" si="113"/>
        <v>1345.9719850000001</v>
      </c>
      <c r="T62" s="19">
        <f t="shared" si="114"/>
        <v>1337.9492504</v>
      </c>
      <c r="U62" s="19">
        <f t="shared" si="115"/>
        <v>1383.954745</v>
      </c>
      <c r="V62" s="19">
        <f t="shared" si="116"/>
        <v>1397.9703950000001</v>
      </c>
      <c r="W62" s="46">
        <f t="shared" si="87"/>
        <v>668.47098789999995</v>
      </c>
      <c r="Y62" s="46">
        <f t="shared" si="34"/>
        <v>687.51208250000002</v>
      </c>
      <c r="Z62" s="46">
        <f t="shared" si="35"/>
        <v>692.46748250000007</v>
      </c>
      <c r="AA62" s="46">
        <f t="shared" si="36"/>
        <v>708.44142250000004</v>
      </c>
      <c r="AB62" s="46">
        <f t="shared" si="37"/>
        <v>681.47650980000003</v>
      </c>
      <c r="AC62" s="46">
        <f t="shared" si="33"/>
        <v>689.46347980000007</v>
      </c>
    </row>
    <row r="63" spans="1:29" x14ac:dyDescent="0.25">
      <c r="A63" s="20" t="s">
        <v>256</v>
      </c>
      <c r="B63" s="17" t="str">
        <f t="shared" si="100"/>
        <v>CL 64:4</v>
      </c>
      <c r="C63" s="1" t="str">
        <f t="shared" si="101"/>
        <v>64</v>
      </c>
      <c r="D63" s="1" t="str">
        <f t="shared" si="102"/>
        <v>4</v>
      </c>
      <c r="E63" s="17">
        <f t="shared" si="103"/>
        <v>73</v>
      </c>
      <c r="F63" s="17">
        <f t="shared" si="104"/>
        <v>134</v>
      </c>
      <c r="G63" s="17">
        <v>0</v>
      </c>
      <c r="H63" s="17">
        <f t="shared" si="105"/>
        <v>17</v>
      </c>
      <c r="I63" s="17">
        <v>2</v>
      </c>
      <c r="L63" s="19" t="str">
        <f t="shared" si="106"/>
        <v>C73H134O17P2</v>
      </c>
      <c r="M63" s="19">
        <f t="shared" si="107"/>
        <v>1344.9095774</v>
      </c>
      <c r="N63" s="19">
        <f t="shared" si="108"/>
        <v>1345.9168520000001</v>
      </c>
      <c r="O63" s="46">
        <f t="shared" si="109"/>
        <v>1327.9057320000002</v>
      </c>
      <c r="P63" s="46">
        <f t="shared" si="110"/>
        <v>1362.9433974000001</v>
      </c>
      <c r="Q63" s="46">
        <f t="shared" si="111"/>
        <v>1367.8987973999999</v>
      </c>
      <c r="R63" s="46">
        <f t="shared" si="112"/>
        <v>1383.8727374</v>
      </c>
      <c r="S63" s="46">
        <f t="shared" si="113"/>
        <v>1351.9250374000001</v>
      </c>
      <c r="T63" s="19">
        <f t="shared" si="114"/>
        <v>1343.9023027999999</v>
      </c>
      <c r="U63" s="19">
        <f t="shared" si="115"/>
        <v>1389.9077973999999</v>
      </c>
      <c r="V63" s="19">
        <f t="shared" si="116"/>
        <v>1403.9234474</v>
      </c>
      <c r="W63" s="46">
        <f t="shared" si="87"/>
        <v>671.44751409999992</v>
      </c>
      <c r="Y63" s="46">
        <f t="shared" si="34"/>
        <v>690.48860869999999</v>
      </c>
      <c r="Z63" s="46">
        <f t="shared" si="35"/>
        <v>695.44400870000004</v>
      </c>
      <c r="AA63" s="46">
        <f t="shared" si="36"/>
        <v>711.41794870000001</v>
      </c>
      <c r="AB63" s="46">
        <f t="shared" si="37"/>
        <v>684.453036</v>
      </c>
      <c r="AC63" s="46">
        <f t="shared" si="33"/>
        <v>692.44000600000004</v>
      </c>
    </row>
    <row r="64" spans="1:29" x14ac:dyDescent="0.25">
      <c r="A64" s="20" t="s">
        <v>248</v>
      </c>
      <c r="B64" s="17" t="str">
        <f t="shared" si="100"/>
        <v>CL 64:3</v>
      </c>
      <c r="C64" s="1" t="str">
        <f t="shared" si="101"/>
        <v>64</v>
      </c>
      <c r="D64" s="1" t="str">
        <f t="shared" si="102"/>
        <v>3</v>
      </c>
      <c r="E64" s="17">
        <f t="shared" si="103"/>
        <v>73</v>
      </c>
      <c r="F64" s="17">
        <f t="shared" si="104"/>
        <v>136</v>
      </c>
      <c r="G64" s="17">
        <v>0</v>
      </c>
      <c r="H64" s="17">
        <f t="shared" si="105"/>
        <v>17</v>
      </c>
      <c r="I64" s="17">
        <v>2</v>
      </c>
      <c r="L64" s="19" t="str">
        <f t="shared" si="106"/>
        <v>C73H136O17P2</v>
      </c>
      <c r="M64" s="19">
        <f t="shared" si="107"/>
        <v>1346.9252265999999</v>
      </c>
      <c r="N64" s="19">
        <f t="shared" si="108"/>
        <v>1347.9325011999999</v>
      </c>
      <c r="O64" s="46">
        <f t="shared" si="109"/>
        <v>1329.9213812</v>
      </c>
      <c r="P64" s="46">
        <f t="shared" si="110"/>
        <v>1364.9590466</v>
      </c>
      <c r="Q64" s="46">
        <f t="shared" si="111"/>
        <v>1369.9144465999998</v>
      </c>
      <c r="R64" s="46">
        <f t="shared" si="112"/>
        <v>1385.8883865999999</v>
      </c>
      <c r="S64" s="46">
        <f t="shared" si="113"/>
        <v>1353.9406865999999</v>
      </c>
      <c r="T64" s="19">
        <f t="shared" si="114"/>
        <v>1345.9179519999998</v>
      </c>
      <c r="U64" s="19">
        <f t="shared" si="115"/>
        <v>1391.9234465999998</v>
      </c>
      <c r="V64" s="19">
        <f t="shared" si="116"/>
        <v>1405.9390965999999</v>
      </c>
      <c r="W64" s="46">
        <f t="shared" si="87"/>
        <v>672.45533869999986</v>
      </c>
      <c r="Y64" s="46">
        <f t="shared" si="34"/>
        <v>691.49643329999992</v>
      </c>
      <c r="Z64" s="46">
        <f t="shared" si="35"/>
        <v>696.45183329999998</v>
      </c>
      <c r="AA64" s="46">
        <f t="shared" si="36"/>
        <v>712.42577329999995</v>
      </c>
      <c r="AB64" s="46">
        <f t="shared" si="37"/>
        <v>685.46086059999993</v>
      </c>
      <c r="AC64" s="46">
        <f t="shared" si="33"/>
        <v>693.44783059999997</v>
      </c>
    </row>
    <row r="65" spans="1:29" x14ac:dyDescent="0.25">
      <c r="A65" s="20" t="s">
        <v>181</v>
      </c>
      <c r="B65" s="17" t="str">
        <f>IF(ISNUMBER(SEARCH("[",A65)),IF(ISNUMBER(SEARCH("/",A65)),CONCATENATE(MID(A65,1,2)," ",(SUM(MID(A65,FIND("[",A65)+1,FIND(":",A65)-FIND("[",A65)-1),MID(A65,FIND("/",A65)+1,FIND(":",A65,FIND("/",A65))-FIND("/",A65)-1),MID(A65,FIND("[",A65,FIND("[",A65)+1)+1,(FIND(":",A65,FIND("[",A65))-FIND("[",A65)-1)),MID(A65,FIND("/",A65,FIND("/",A65)+1)+1,FIND(":",A65,FIND("/",A65,FIND("[",A65,FIND("[",A65)+1)+1))-FIND("/",A65,FIND("[",A65,FIND("[",A65)+1)+1)-1))),":",SUM(MID(A65,FIND(":",A65)+1,FIND("/",A65)-FIND(":",A65)-1),MID(A65,FIND(":",A65,FIND("/",A65))+1,FIND("]",A65)-FIND(":",A65,FIND("/",A65))-1),MID(A65,FIND(":",A65,FIND("[",A65,FIND("[",A65)+1))+1,(FIND("/",A65,FIND("[",A65,FIND("[",A65)+1)+1)-FIND(":",A65,FIND("[",A65,FIND("[",A65)+1))-1)),MID(A65,FIND(":",A65,FIND("/",A65,FIND("]",A65)+1))+1,(FIND("]",A65,FIND("[",A65,FIND("[",A65)+1)+1)-FIND(":",A65,FIND("/",A65,FIND("]",A65)+1))-1))),MID(A65,(FIND(")",A65)+1),100)),CONCATENATE(MID(A65,1,2)," ",(SUM(MID(A65,FIND("[",A65)+1,FIND(":",A65)-FIND("[",A65)-1),MID(A65,FIND("_",A65)+1,FIND(":",A65,FIND("_",A65))-FIND("_",A65)-1),MID(A65,FIND("[",A65,FIND("[",A65)+1)+1,(FIND(":",A65,FIND("[",A65))-FIND("[",A65)-1)),MID(A65,FIND("_",A65,FIND("_",A65)+1)+1,FIND(":",A65,FIND("_",A65,FIND("[",A65,FIND("[",A65)+1)+1))-FIND("_",A65,FIND("[",A65,FIND("[",A65)+1)+1)-1))),":",SUM(MID(A65,FIND(":",A65)+1,FIND("_",A65)-FIND(":",A65)-1),MID(A65,FIND(":",A65,FIND("_",A65))+1,FIND("]",A65)-FIND(":",A65,FIND("_",A65))-1),MID(A65,FIND(":",A65,FIND("[",A65,FIND("[",A65)+1))+1,(FIND("_",A65,FIND("[",A65,FIND("[",A65)+1)+1)-FIND(":",A65,FIND("[",A65,FIND("[",A65)+1))-1)),MID(A65,FIND(":",A65,FIND("_",A65,FIND("]",A65)+1))+1,(FIND("]",A65,FIND("[",A65,FIND("[",A65)+1)+1)-FIND(":",A65,FIND("_",A65,FIND("]",A65)+1))-1))),MID(A65,(FIND(")",A65)+1),100))),A65)</f>
        <v>CL 64:2</v>
      </c>
      <c r="C65" s="1" t="str">
        <f>MID(B65,4,FIND(":",B65)-FIND(" ",B65)-1)</f>
        <v>64</v>
      </c>
      <c r="D65" s="1" t="str">
        <f>IF(ISNUMBER(SEARCH("__",B65)),MID(B65,FIND(":",B65)+1,FIND("__",B65)-FIND(":",B65)-1),MID(B65,FIND(":",B65)+1,7))</f>
        <v>2</v>
      </c>
      <c r="E65" s="17">
        <f t="shared" si="103"/>
        <v>73</v>
      </c>
      <c r="F65" s="17">
        <f t="shared" si="104"/>
        <v>138</v>
      </c>
      <c r="G65" s="17">
        <v>0</v>
      </c>
      <c r="H65" s="17">
        <f t="shared" si="105"/>
        <v>17</v>
      </c>
      <c r="I65" s="17">
        <v>2</v>
      </c>
      <c r="L65" s="19" t="str">
        <f t="shared" si="106"/>
        <v>C73H138O17P2</v>
      </c>
      <c r="M65" s="19">
        <f t="shared" si="107"/>
        <v>1348.9408758</v>
      </c>
      <c r="N65" s="19">
        <f t="shared" si="108"/>
        <v>1349.9481504</v>
      </c>
      <c r="O65" s="46">
        <f t="shared" si="109"/>
        <v>1331.9370304000001</v>
      </c>
      <c r="P65" s="46">
        <f t="shared" si="110"/>
        <v>1366.9746958000001</v>
      </c>
      <c r="Q65" s="46">
        <f t="shared" si="111"/>
        <v>1371.9300957999999</v>
      </c>
      <c r="R65" s="46">
        <f t="shared" si="112"/>
        <v>1387.9040358</v>
      </c>
      <c r="S65" s="46">
        <f t="shared" si="113"/>
        <v>1355.9563358</v>
      </c>
      <c r="T65" s="19">
        <f t="shared" si="114"/>
        <v>1347.9336011999999</v>
      </c>
      <c r="U65" s="19">
        <f t="shared" si="115"/>
        <v>1393.9390957999999</v>
      </c>
      <c r="V65" s="19">
        <f t="shared" si="116"/>
        <v>1407.9547458</v>
      </c>
      <c r="W65" s="46">
        <f t="shared" si="87"/>
        <v>673.46316329999991</v>
      </c>
      <c r="Y65" s="46">
        <f t="shared" si="34"/>
        <v>692.50425789999997</v>
      </c>
      <c r="Z65" s="46">
        <f t="shared" si="35"/>
        <v>697.45965790000002</v>
      </c>
      <c r="AA65" s="46">
        <f t="shared" si="36"/>
        <v>713.4335979</v>
      </c>
      <c r="AB65" s="46">
        <f t="shared" si="37"/>
        <v>686.46868519999998</v>
      </c>
      <c r="AC65" s="46">
        <f t="shared" si="33"/>
        <v>694.45565520000002</v>
      </c>
    </row>
    <row r="66" spans="1:29" x14ac:dyDescent="0.25">
      <c r="A66" s="20" t="s">
        <v>188</v>
      </c>
      <c r="B66" s="17" t="str">
        <f>IF(ISNUMBER(SEARCH("[",A66)),IF(ISNUMBER(SEARCH("/",A66)),CONCATENATE(MID(A66,1,2)," ",(SUM(MID(A66,FIND("[",A66)+1,FIND(":",A66)-FIND("[",A66)-1),MID(A66,FIND("/",A66)+1,FIND(":",A66,FIND("/",A66))-FIND("/",A66)-1),MID(A66,FIND("[",A66,FIND("[",A66)+1)+1,(FIND(":",A66,FIND("[",A66))-FIND("[",A66)-1)),MID(A66,FIND("/",A66,FIND("/",A66)+1)+1,FIND(":",A66,FIND("/",A66,FIND("[",A66,FIND("[",A66)+1)+1))-FIND("/",A66,FIND("[",A66,FIND("[",A66)+1)+1)-1))),":",SUM(MID(A66,FIND(":",A66)+1,FIND("/",A66)-FIND(":",A66)-1),MID(A66,FIND(":",A66,FIND("/",A66))+1,FIND("]",A66)-FIND(":",A66,FIND("/",A66))-1),MID(A66,FIND(":",A66,FIND("[",A66,FIND("[",A66)+1))+1,(FIND("/",A66,FIND("[",A66,FIND("[",A66)+1)+1)-FIND(":",A66,FIND("[",A66,FIND("[",A66)+1))-1)),MID(A66,FIND(":",A66,FIND("/",A66,FIND("]",A66)+1))+1,(FIND("]",A66,FIND("[",A66,FIND("[",A66)+1)+1)-FIND(":",A66,FIND("/",A66,FIND("]",A66)+1))-1))),MID(A66,(FIND(")",A66)+1),100)),CONCATENATE(MID(A66,1,2)," ",(SUM(MID(A66,FIND("[",A66)+1,FIND(":",A66)-FIND("[",A66)-1),MID(A66,FIND("_",A66)+1,FIND(":",A66,FIND("_",A66))-FIND("_",A66)-1),MID(A66,FIND("[",A66,FIND("[",A66)+1)+1,(FIND(":",A66,FIND("[",A66))-FIND("[",A66)-1)),MID(A66,FIND("_",A66,FIND("_",A66)+1)+1,FIND(":",A66,FIND("_",A66,FIND("[",A66,FIND("[",A66)+1)+1))-FIND("_",A66,FIND("[",A66,FIND("[",A66)+1)+1)-1))),":",SUM(MID(A66,FIND(":",A66)+1,FIND("_",A66)-FIND(":",A66)-1),MID(A66,FIND(":",A66,FIND("_",A66))+1,FIND("]",A66)-FIND(":",A66,FIND("_",A66))-1),MID(A66,FIND(":",A66,FIND("[",A66,FIND("[",A66)+1))+1,(FIND("_",A66,FIND("[",A66,FIND("[",A66)+1)+1)-FIND(":",A66,FIND("[",A66,FIND("[",A66)+1))-1)),MID(A66,FIND(":",A66,FIND("_",A66,FIND("]",A66)+1))+1,(FIND("]",A66,FIND("[",A66,FIND("[",A66)+1)+1)-FIND(":",A66,FIND("_",A66,FIND("]",A66)+1))-1))),MID(A66,(FIND(")",A66)+1),100))),A66)</f>
        <v>CL 64:1</v>
      </c>
      <c r="C66" s="1" t="str">
        <f>MID(B66,4,FIND(":",B66)-FIND(" ",B66)-1)</f>
        <v>64</v>
      </c>
      <c r="D66" s="1" t="str">
        <f>IF(ISNUMBER(SEARCH("__",B66)),MID(B66,FIND(":",B66)+1,FIND("__",B66)-FIND(":",B66)-1),MID(B66,FIND(":",B66)+1,7))</f>
        <v>1</v>
      </c>
      <c r="E66" s="17">
        <f t="shared" si="103"/>
        <v>73</v>
      </c>
      <c r="F66" s="17">
        <f t="shared" si="104"/>
        <v>140</v>
      </c>
      <c r="G66" s="17">
        <v>0</v>
      </c>
      <c r="H66" s="17">
        <f t="shared" si="105"/>
        <v>17</v>
      </c>
      <c r="I66" s="17">
        <v>2</v>
      </c>
      <c r="L66" s="19" t="str">
        <f t="shared" si="106"/>
        <v>C73H140O17P2</v>
      </c>
      <c r="M66" s="19">
        <f t="shared" si="107"/>
        <v>1350.9565250000001</v>
      </c>
      <c r="N66" s="19">
        <f t="shared" si="108"/>
        <v>1351.9637996000001</v>
      </c>
      <c r="O66" s="46">
        <f t="shared" si="109"/>
        <v>1333.9526796000002</v>
      </c>
      <c r="P66" s="46">
        <f t="shared" si="110"/>
        <v>1368.9903450000002</v>
      </c>
      <c r="Q66" s="46">
        <f t="shared" si="111"/>
        <v>1373.945745</v>
      </c>
      <c r="R66" s="46">
        <f t="shared" si="112"/>
        <v>1389.9196850000001</v>
      </c>
      <c r="S66" s="46">
        <f t="shared" si="113"/>
        <v>1357.9719850000001</v>
      </c>
      <c r="T66" s="19">
        <f t="shared" si="114"/>
        <v>1349.9492504</v>
      </c>
      <c r="U66" s="19">
        <f t="shared" si="115"/>
        <v>1395.954745</v>
      </c>
      <c r="V66" s="19">
        <f t="shared" si="116"/>
        <v>1409.9703950000001</v>
      </c>
      <c r="W66" s="46">
        <f t="shared" si="87"/>
        <v>674.47098789999995</v>
      </c>
      <c r="Y66" s="46">
        <f t="shared" si="34"/>
        <v>693.51208250000002</v>
      </c>
      <c r="Z66" s="46">
        <f t="shared" si="35"/>
        <v>698.46748250000007</v>
      </c>
      <c r="AA66" s="46">
        <f t="shared" si="36"/>
        <v>714.44142250000004</v>
      </c>
      <c r="AB66" s="46">
        <f t="shared" si="37"/>
        <v>687.47650980000003</v>
      </c>
      <c r="AC66" s="46">
        <f t="shared" si="33"/>
        <v>695.46347980000007</v>
      </c>
    </row>
    <row r="67" spans="1:29" x14ac:dyDescent="0.25">
      <c r="A67" s="20" t="s">
        <v>172</v>
      </c>
      <c r="B67" s="17" t="str">
        <f t="shared" si="100"/>
        <v>CL 64:0</v>
      </c>
      <c r="C67" s="1" t="str">
        <f t="shared" si="101"/>
        <v>64</v>
      </c>
      <c r="D67" s="1" t="str">
        <f t="shared" si="102"/>
        <v>0</v>
      </c>
      <c r="E67" s="17">
        <f t="shared" si="103"/>
        <v>73</v>
      </c>
      <c r="F67" s="17">
        <f t="shared" si="104"/>
        <v>142</v>
      </c>
      <c r="G67" s="17">
        <v>0</v>
      </c>
      <c r="H67" s="17">
        <f t="shared" si="105"/>
        <v>17</v>
      </c>
      <c r="I67" s="17">
        <v>2</v>
      </c>
      <c r="L67" s="19" t="str">
        <f t="shared" si="106"/>
        <v>C73H142O17P2</v>
      </c>
      <c r="M67" s="19">
        <f t="shared" si="107"/>
        <v>1352.9721741999999</v>
      </c>
      <c r="N67" s="19">
        <f t="shared" si="108"/>
        <v>1353.9794488</v>
      </c>
      <c r="O67" s="46">
        <f t="shared" si="109"/>
        <v>1335.9683288000001</v>
      </c>
      <c r="P67" s="46">
        <f t="shared" si="110"/>
        <v>1371.0059942</v>
      </c>
      <c r="Q67" s="46">
        <f t="shared" si="111"/>
        <v>1375.9613941999999</v>
      </c>
      <c r="R67" s="46">
        <f t="shared" si="112"/>
        <v>1391.9353341999999</v>
      </c>
      <c r="S67" s="46">
        <f t="shared" si="113"/>
        <v>1359.9876342</v>
      </c>
      <c r="T67" s="19">
        <f t="shared" si="114"/>
        <v>1351.9648995999999</v>
      </c>
      <c r="U67" s="19">
        <f t="shared" si="115"/>
        <v>1397.9703941999999</v>
      </c>
      <c r="V67" s="19">
        <f t="shared" si="116"/>
        <v>1411.9860441999999</v>
      </c>
      <c r="W67" s="46">
        <f t="shared" si="87"/>
        <v>675.47881249999989</v>
      </c>
      <c r="Y67" s="46">
        <f t="shared" si="34"/>
        <v>694.51990709999995</v>
      </c>
      <c r="Z67" s="46">
        <f t="shared" si="35"/>
        <v>699.47530710000001</v>
      </c>
      <c r="AA67" s="46">
        <f t="shared" si="36"/>
        <v>715.44924709999998</v>
      </c>
      <c r="AB67" s="46">
        <f t="shared" si="37"/>
        <v>688.48433439999997</v>
      </c>
      <c r="AC67" s="46">
        <f t="shared" ref="AC67:AC89" si="148">($M67+1.0078246+38.96371-(2*0.00055))/2</f>
        <v>696.47130440000001</v>
      </c>
    </row>
    <row r="68" spans="1:29" x14ac:dyDescent="0.25">
      <c r="A68" s="20" t="s">
        <v>264</v>
      </c>
      <c r="B68" s="17" t="str">
        <f t="shared" si="100"/>
        <v>CL 65:5</v>
      </c>
      <c r="C68" s="1" t="str">
        <f t="shared" si="101"/>
        <v>65</v>
      </c>
      <c r="D68" s="1" t="str">
        <f t="shared" si="102"/>
        <v>5</v>
      </c>
      <c r="E68" s="17">
        <f t="shared" si="103"/>
        <v>74</v>
      </c>
      <c r="F68" s="17">
        <f t="shared" si="104"/>
        <v>134</v>
      </c>
      <c r="G68" s="17">
        <v>0</v>
      </c>
      <c r="H68" s="17">
        <f t="shared" si="105"/>
        <v>17</v>
      </c>
      <c r="I68" s="17">
        <v>2</v>
      </c>
      <c r="L68" s="19" t="str">
        <f t="shared" si="106"/>
        <v>C74H134O17P2</v>
      </c>
      <c r="M68" s="19">
        <f t="shared" si="107"/>
        <v>1356.9095774</v>
      </c>
      <c r="N68" s="19">
        <f t="shared" si="108"/>
        <v>1357.9168520000001</v>
      </c>
      <c r="O68" s="46">
        <f t="shared" si="109"/>
        <v>1339.9057320000002</v>
      </c>
      <c r="P68" s="46">
        <f t="shared" si="110"/>
        <v>1374.9433974000001</v>
      </c>
      <c r="Q68" s="46">
        <f t="shared" si="111"/>
        <v>1379.8987973999999</v>
      </c>
      <c r="R68" s="46">
        <f t="shared" si="112"/>
        <v>1395.8727374</v>
      </c>
      <c r="S68" s="46">
        <f t="shared" si="113"/>
        <v>1363.9250374000001</v>
      </c>
      <c r="T68" s="19">
        <f t="shared" si="114"/>
        <v>1355.9023027999999</v>
      </c>
      <c r="U68" s="19">
        <f t="shared" si="115"/>
        <v>1401.9077973999999</v>
      </c>
      <c r="V68" s="19">
        <f t="shared" si="116"/>
        <v>1415.9234474</v>
      </c>
      <c r="W68" s="46">
        <f t="shared" si="87"/>
        <v>677.44751409999992</v>
      </c>
      <c r="Y68" s="46">
        <f t="shared" ref="Y68:Y121" si="149">($M68+2*(18.03437-0.00055))/2</f>
        <v>696.48860869999999</v>
      </c>
      <c r="Z68" s="46">
        <f t="shared" ref="Z68:Z121" si="150">($M68+2*(22.98977-0.00055))/2</f>
        <v>701.44400870000004</v>
      </c>
      <c r="AA68" s="46">
        <f t="shared" ref="AA68:AA121" si="151">($M68+2*(38.96371-0.00055))/2</f>
        <v>717.41794870000001</v>
      </c>
      <c r="AB68" s="46">
        <f t="shared" ref="AB68:AB121" si="152">($M68+1.0078246+22.98977-(2*0.00055))/2</f>
        <v>690.453036</v>
      </c>
      <c r="AC68" s="46">
        <f t="shared" si="148"/>
        <v>698.44000600000004</v>
      </c>
    </row>
    <row r="69" spans="1:29" x14ac:dyDescent="0.25">
      <c r="A69" s="20" t="s">
        <v>252</v>
      </c>
      <c r="B69" s="17" t="str">
        <f t="shared" si="100"/>
        <v>CL 65:4</v>
      </c>
      <c r="C69" s="1" t="str">
        <f t="shared" si="101"/>
        <v>65</v>
      </c>
      <c r="D69" s="1" t="str">
        <f t="shared" si="102"/>
        <v>4</v>
      </c>
      <c r="E69" s="17">
        <f t="shared" si="103"/>
        <v>74</v>
      </c>
      <c r="F69" s="17">
        <f t="shared" si="104"/>
        <v>136</v>
      </c>
      <c r="G69" s="17">
        <v>0</v>
      </c>
      <c r="H69" s="17">
        <f t="shared" si="105"/>
        <v>17</v>
      </c>
      <c r="I69" s="17">
        <v>2</v>
      </c>
      <c r="L69" s="19" t="str">
        <f t="shared" si="106"/>
        <v>C74H136O17P2</v>
      </c>
      <c r="M69" s="19">
        <f t="shared" si="107"/>
        <v>1358.9252266000001</v>
      </c>
      <c r="N69" s="19">
        <f t="shared" si="108"/>
        <v>1359.9325012000002</v>
      </c>
      <c r="O69" s="46">
        <f t="shared" si="109"/>
        <v>1341.9213812000003</v>
      </c>
      <c r="P69" s="46">
        <f t="shared" si="110"/>
        <v>1376.9590466000002</v>
      </c>
      <c r="Q69" s="46">
        <f t="shared" si="111"/>
        <v>1381.9144466</v>
      </c>
      <c r="R69" s="46">
        <f t="shared" si="112"/>
        <v>1397.8883866000001</v>
      </c>
      <c r="S69" s="46">
        <f t="shared" si="113"/>
        <v>1365.9406866000002</v>
      </c>
      <c r="T69" s="19">
        <f t="shared" si="114"/>
        <v>1357.917952</v>
      </c>
      <c r="U69" s="19">
        <f t="shared" si="115"/>
        <v>1403.9234466</v>
      </c>
      <c r="V69" s="19">
        <f t="shared" si="116"/>
        <v>1417.9390966000001</v>
      </c>
      <c r="W69" s="46">
        <f t="shared" si="87"/>
        <v>678.45533869999997</v>
      </c>
      <c r="Y69" s="46">
        <f t="shared" si="149"/>
        <v>697.49643330000004</v>
      </c>
      <c r="Z69" s="46">
        <f t="shared" si="150"/>
        <v>702.45183330000009</v>
      </c>
      <c r="AA69" s="46">
        <f t="shared" si="151"/>
        <v>718.42577330000006</v>
      </c>
      <c r="AB69" s="46">
        <f t="shared" si="152"/>
        <v>691.46086060000005</v>
      </c>
      <c r="AC69" s="46">
        <f t="shared" si="148"/>
        <v>699.44783060000009</v>
      </c>
    </row>
    <row r="70" spans="1:29" x14ac:dyDescent="0.25">
      <c r="A70" s="20" t="s">
        <v>242</v>
      </c>
      <c r="B70" s="17" t="str">
        <f t="shared" si="100"/>
        <v>CL 65:3</v>
      </c>
      <c r="C70" s="1" t="str">
        <f t="shared" si="101"/>
        <v>65</v>
      </c>
      <c r="D70" s="1" t="str">
        <f t="shared" si="102"/>
        <v>3</v>
      </c>
      <c r="E70" s="17">
        <f t="shared" si="103"/>
        <v>74</v>
      </c>
      <c r="F70" s="17">
        <f t="shared" si="104"/>
        <v>138</v>
      </c>
      <c r="G70" s="17">
        <v>0</v>
      </c>
      <c r="H70" s="17">
        <f t="shared" si="105"/>
        <v>17</v>
      </c>
      <c r="I70" s="17">
        <v>2</v>
      </c>
      <c r="L70" s="19" t="str">
        <f t="shared" si="106"/>
        <v>C74H138O17P2</v>
      </c>
      <c r="M70" s="19">
        <f t="shared" si="107"/>
        <v>1360.9408758</v>
      </c>
      <c r="N70" s="19">
        <f t="shared" si="108"/>
        <v>1361.9481504</v>
      </c>
      <c r="O70" s="46">
        <f t="shared" si="109"/>
        <v>1343.9370304000001</v>
      </c>
      <c r="P70" s="46">
        <f t="shared" si="110"/>
        <v>1378.9746958000001</v>
      </c>
      <c r="Q70" s="46">
        <f t="shared" si="111"/>
        <v>1383.9300957999999</v>
      </c>
      <c r="R70" s="46">
        <f t="shared" si="112"/>
        <v>1399.9040358</v>
      </c>
      <c r="S70" s="46">
        <f t="shared" si="113"/>
        <v>1367.9563358</v>
      </c>
      <c r="T70" s="19">
        <f t="shared" si="114"/>
        <v>1359.9336011999999</v>
      </c>
      <c r="U70" s="19">
        <f t="shared" si="115"/>
        <v>1405.9390957999999</v>
      </c>
      <c r="V70" s="19">
        <f t="shared" si="116"/>
        <v>1419.9547458</v>
      </c>
      <c r="W70" s="46">
        <f t="shared" si="87"/>
        <v>679.46316329999991</v>
      </c>
      <c r="Y70" s="46">
        <f t="shared" si="149"/>
        <v>698.50425789999997</v>
      </c>
      <c r="Z70" s="46">
        <f t="shared" si="150"/>
        <v>703.45965790000002</v>
      </c>
      <c r="AA70" s="46">
        <f t="shared" si="151"/>
        <v>719.4335979</v>
      </c>
      <c r="AB70" s="46">
        <f t="shared" si="152"/>
        <v>692.46868519999998</v>
      </c>
      <c r="AC70" s="46">
        <f t="shared" si="148"/>
        <v>700.45565520000002</v>
      </c>
    </row>
    <row r="71" spans="1:29" x14ac:dyDescent="0.25">
      <c r="A71" s="20" t="s">
        <v>215</v>
      </c>
      <c r="B71" s="17" t="str">
        <f>IF(ISNUMBER(SEARCH("[",A71)),IF(ISNUMBER(SEARCH("/",A71)),CONCATENATE(MID(A71,1,2)," ",(SUM(MID(A71,FIND("[",A71)+1,FIND(":",A71)-FIND("[",A71)-1),MID(A71,FIND("/",A71)+1,FIND(":",A71,FIND("/",A71))-FIND("/",A71)-1),MID(A71,FIND("[",A71,FIND("[",A71)+1)+1,(FIND(":",A71,FIND("[",A71))-FIND("[",A71)-1)),MID(A71,FIND("/",A71,FIND("/",A71)+1)+1,FIND(":",A71,FIND("/",A71,FIND("[",A71,FIND("[",A71)+1)+1))-FIND("/",A71,FIND("[",A71,FIND("[",A71)+1)+1)-1))),":",SUM(MID(A71,FIND(":",A71)+1,FIND("/",A71)-FIND(":",A71)-1),MID(A71,FIND(":",A71,FIND("/",A71))+1,FIND("]",A71)-FIND(":",A71,FIND("/",A71))-1),MID(A71,FIND(":",A71,FIND("[",A71,FIND("[",A71)+1))+1,(FIND("/",A71,FIND("[",A71,FIND("[",A71)+1)+1)-FIND(":",A71,FIND("[",A71,FIND("[",A71)+1))-1)),MID(A71,FIND(":",A71,FIND("/",A71,FIND("]",A71)+1))+1,(FIND("]",A71,FIND("[",A71,FIND("[",A71)+1)+1)-FIND(":",A71,FIND("/",A71,FIND("]",A71)+1))-1))),MID(A71,(FIND(")",A71)+1),100)),CONCATENATE(MID(A71,1,2)," ",(SUM(MID(A71,FIND("[",A71)+1,FIND(":",A71)-FIND("[",A71)-1),MID(A71,FIND("_",A71)+1,FIND(":",A71,FIND("_",A71))-FIND("_",A71)-1),MID(A71,FIND("[",A71,FIND("[",A71)+1)+1,(FIND(":",A71,FIND("[",A71))-FIND("[",A71)-1)),MID(A71,FIND("_",A71,FIND("_",A71)+1)+1,FIND(":",A71,FIND("_",A71,FIND("[",A71,FIND("[",A71)+1)+1))-FIND("_",A71,FIND("[",A71,FIND("[",A71)+1)+1)-1))),":",SUM(MID(A71,FIND(":",A71)+1,FIND("_",A71)-FIND(":",A71)-1),MID(A71,FIND(":",A71,FIND("_",A71))+1,FIND("]",A71)-FIND(":",A71,FIND("_",A71))-1),MID(A71,FIND(":",A71,FIND("[",A71,FIND("[",A71)+1))+1,(FIND("_",A71,FIND("[",A71,FIND("[",A71)+1)+1)-FIND(":",A71,FIND("[",A71,FIND("[",A71)+1))-1)),MID(A71,FIND(":",A71,FIND("_",A71,FIND("]",A71)+1))+1,(FIND("]",A71,FIND("[",A71,FIND("[",A71)+1)+1)-FIND(":",A71,FIND("_",A71,FIND("]",A71)+1))-1))),MID(A71,(FIND(")",A71)+1),100))),A71)</f>
        <v>CL 65:2</v>
      </c>
      <c r="C71" s="1" t="str">
        <f>MID(B71,4,FIND(":",B71)-FIND(" ",B71)-1)</f>
        <v>65</v>
      </c>
      <c r="D71" s="1" t="str">
        <f>IF(ISNUMBER(SEARCH("__",B71)),MID(B71,FIND(":",B71)+1,FIND("__",B71)-FIND(":",B71)-1),MID(B71,FIND(":",B71)+1,7))</f>
        <v>2</v>
      </c>
      <c r="E71" s="17">
        <f t="shared" si="103"/>
        <v>74</v>
      </c>
      <c r="F71" s="17">
        <f t="shared" si="104"/>
        <v>140</v>
      </c>
      <c r="G71" s="17">
        <v>0</v>
      </c>
      <c r="H71" s="17">
        <f t="shared" si="105"/>
        <v>17</v>
      </c>
      <c r="I71" s="17">
        <v>2</v>
      </c>
      <c r="L71" s="19" t="str">
        <f t="shared" si="106"/>
        <v>C74H140O17P2</v>
      </c>
      <c r="M71" s="19">
        <f t="shared" si="107"/>
        <v>1362.9565250000001</v>
      </c>
      <c r="N71" s="19">
        <f t="shared" si="108"/>
        <v>1363.9637996000001</v>
      </c>
      <c r="O71" s="46">
        <f t="shared" si="109"/>
        <v>1345.9526796000002</v>
      </c>
      <c r="P71" s="46">
        <f t="shared" si="110"/>
        <v>1380.9903450000002</v>
      </c>
      <c r="Q71" s="46">
        <f t="shared" si="111"/>
        <v>1385.945745</v>
      </c>
      <c r="R71" s="46">
        <f t="shared" si="112"/>
        <v>1401.9196850000001</v>
      </c>
      <c r="S71" s="46">
        <f t="shared" si="113"/>
        <v>1369.9719850000001</v>
      </c>
      <c r="T71" s="19">
        <f t="shared" si="114"/>
        <v>1361.9492504</v>
      </c>
      <c r="U71" s="19">
        <f t="shared" si="115"/>
        <v>1407.954745</v>
      </c>
      <c r="V71" s="19">
        <f t="shared" si="116"/>
        <v>1421.9703950000001</v>
      </c>
      <c r="W71" s="46">
        <f t="shared" si="87"/>
        <v>680.47098789999995</v>
      </c>
      <c r="Y71" s="46">
        <f t="shared" si="149"/>
        <v>699.51208250000002</v>
      </c>
      <c r="Z71" s="46">
        <f t="shared" si="150"/>
        <v>704.46748250000007</v>
      </c>
      <c r="AA71" s="46">
        <f t="shared" si="151"/>
        <v>720.44142250000004</v>
      </c>
      <c r="AB71" s="46">
        <f t="shared" si="152"/>
        <v>693.47650980000003</v>
      </c>
      <c r="AC71" s="46">
        <f t="shared" si="148"/>
        <v>701.46347980000007</v>
      </c>
    </row>
    <row r="72" spans="1:29" x14ac:dyDescent="0.25">
      <c r="A72" s="20" t="s">
        <v>187</v>
      </c>
      <c r="B72" s="17" t="str">
        <f>IF(ISNUMBER(SEARCH("[",A72)),IF(ISNUMBER(SEARCH("/",A72)),CONCATENATE(MID(A72,1,2)," ",(SUM(MID(A72,FIND("[",A72)+1,FIND(":",A72)-FIND("[",A72)-1),MID(A72,FIND("/",A72)+1,FIND(":",A72,FIND("/",A72))-FIND("/",A72)-1),MID(A72,FIND("[",A72,FIND("[",A72)+1)+1,(FIND(":",A72,FIND("[",A72))-FIND("[",A72)-1)),MID(A72,FIND("/",A72,FIND("/",A72)+1)+1,FIND(":",A72,FIND("/",A72,FIND("[",A72,FIND("[",A72)+1)+1))-FIND("/",A72,FIND("[",A72,FIND("[",A72)+1)+1)-1))),":",SUM(MID(A72,FIND(":",A72)+1,FIND("/",A72)-FIND(":",A72)-1),MID(A72,FIND(":",A72,FIND("/",A72))+1,FIND("]",A72)-FIND(":",A72,FIND("/",A72))-1),MID(A72,FIND(":",A72,FIND("[",A72,FIND("[",A72)+1))+1,(FIND("/",A72,FIND("[",A72,FIND("[",A72)+1)+1)-FIND(":",A72,FIND("[",A72,FIND("[",A72)+1))-1)),MID(A72,FIND(":",A72,FIND("/",A72,FIND("]",A72)+1))+1,(FIND("]",A72,FIND("[",A72,FIND("[",A72)+1)+1)-FIND(":",A72,FIND("/",A72,FIND("]",A72)+1))-1))),MID(A72,(FIND(")",A72)+1),100)),CONCATENATE(MID(A72,1,2)," ",(SUM(MID(A72,FIND("[",A72)+1,FIND(":",A72)-FIND("[",A72)-1),MID(A72,FIND("_",A72)+1,FIND(":",A72,FIND("_",A72))-FIND("_",A72)-1),MID(A72,FIND("[",A72,FIND("[",A72)+1)+1,(FIND(":",A72,FIND("[",A72))-FIND("[",A72)-1)),MID(A72,FIND("_",A72,FIND("_",A72)+1)+1,FIND(":",A72,FIND("_",A72,FIND("[",A72,FIND("[",A72)+1)+1))-FIND("_",A72,FIND("[",A72,FIND("[",A72)+1)+1)-1))),":",SUM(MID(A72,FIND(":",A72)+1,FIND("_",A72)-FIND(":",A72)-1),MID(A72,FIND(":",A72,FIND("_",A72))+1,FIND("]",A72)-FIND(":",A72,FIND("_",A72))-1),MID(A72,FIND(":",A72,FIND("[",A72,FIND("[",A72)+1))+1,(FIND("_",A72,FIND("[",A72,FIND("[",A72)+1)+1)-FIND(":",A72,FIND("[",A72,FIND("[",A72)+1))-1)),MID(A72,FIND(":",A72,FIND("_",A72,FIND("]",A72)+1))+1,(FIND("]",A72,FIND("[",A72,FIND("[",A72)+1)+1)-FIND(":",A72,FIND("_",A72,FIND("]",A72)+1))-1))),MID(A72,(FIND(")",A72)+1),100))),A72)</f>
        <v>CL 65:1</v>
      </c>
      <c r="C72" s="1" t="str">
        <f>MID(B72,4,FIND(":",B72)-FIND(" ",B72)-1)</f>
        <v>65</v>
      </c>
      <c r="D72" s="1" t="str">
        <f>IF(ISNUMBER(SEARCH("__",B72)),MID(B72,FIND(":",B72)+1,FIND("__",B72)-FIND(":",B72)-1),MID(B72,FIND(":",B72)+1,7))</f>
        <v>1</v>
      </c>
      <c r="E72" s="17">
        <f t="shared" si="103"/>
        <v>74</v>
      </c>
      <c r="F72" s="17">
        <f t="shared" si="104"/>
        <v>142</v>
      </c>
      <c r="G72" s="17">
        <v>0</v>
      </c>
      <c r="H72" s="17">
        <f t="shared" si="105"/>
        <v>17</v>
      </c>
      <c r="I72" s="17">
        <v>2</v>
      </c>
      <c r="L72" s="19" t="str">
        <f t="shared" si="106"/>
        <v>C74H142O17P2</v>
      </c>
      <c r="M72" s="19">
        <f t="shared" si="107"/>
        <v>1364.9721741999999</v>
      </c>
      <c r="N72" s="19">
        <f t="shared" si="108"/>
        <v>1365.9794488</v>
      </c>
      <c r="O72" s="46">
        <f t="shared" si="109"/>
        <v>1347.9683288000001</v>
      </c>
      <c r="P72" s="46">
        <f t="shared" si="110"/>
        <v>1383.0059942</v>
      </c>
      <c r="Q72" s="46">
        <f t="shared" si="111"/>
        <v>1387.9613941999999</v>
      </c>
      <c r="R72" s="46">
        <f t="shared" si="112"/>
        <v>1403.9353341999999</v>
      </c>
      <c r="S72" s="46">
        <f t="shared" si="113"/>
        <v>1371.9876342</v>
      </c>
      <c r="T72" s="19">
        <f t="shared" si="114"/>
        <v>1363.9648995999999</v>
      </c>
      <c r="U72" s="19">
        <f t="shared" si="115"/>
        <v>1409.9703941999999</v>
      </c>
      <c r="V72" s="19">
        <f t="shared" si="116"/>
        <v>1423.9860441999999</v>
      </c>
      <c r="W72" s="46">
        <f t="shared" si="87"/>
        <v>681.47881249999989</v>
      </c>
      <c r="Y72" s="46">
        <f t="shared" si="149"/>
        <v>700.51990709999995</v>
      </c>
      <c r="Z72" s="46">
        <f t="shared" si="150"/>
        <v>705.47530710000001</v>
      </c>
      <c r="AA72" s="46">
        <f t="shared" si="151"/>
        <v>721.44924709999998</v>
      </c>
      <c r="AB72" s="46">
        <f t="shared" si="152"/>
        <v>694.48433439999997</v>
      </c>
      <c r="AC72" s="46">
        <f t="shared" si="148"/>
        <v>702.47130440000001</v>
      </c>
    </row>
    <row r="73" spans="1:29" x14ac:dyDescent="0.25">
      <c r="A73" s="20" t="s">
        <v>173</v>
      </c>
      <c r="B73" s="17" t="str">
        <f t="shared" si="100"/>
        <v>CL 65:0</v>
      </c>
      <c r="C73" s="1" t="str">
        <f t="shared" si="101"/>
        <v>65</v>
      </c>
      <c r="D73" s="1" t="str">
        <f t="shared" si="102"/>
        <v>0</v>
      </c>
      <c r="E73" s="17">
        <f t="shared" si="103"/>
        <v>74</v>
      </c>
      <c r="F73" s="17">
        <f t="shared" si="104"/>
        <v>144</v>
      </c>
      <c r="G73" s="17">
        <v>0</v>
      </c>
      <c r="H73" s="17">
        <f t="shared" si="105"/>
        <v>17</v>
      </c>
      <c r="I73" s="17">
        <v>2</v>
      </c>
      <c r="L73" s="19" t="str">
        <f t="shared" si="106"/>
        <v>C74H144O17P2</v>
      </c>
      <c r="M73" s="19">
        <f t="shared" si="107"/>
        <v>1366.9878234</v>
      </c>
      <c r="N73" s="19">
        <f t="shared" si="108"/>
        <v>1367.9950980000001</v>
      </c>
      <c r="O73" s="46">
        <f t="shared" si="109"/>
        <v>1349.9839780000002</v>
      </c>
      <c r="P73" s="46">
        <f t="shared" si="110"/>
        <v>1385.0216434000001</v>
      </c>
      <c r="Q73" s="46">
        <f t="shared" si="111"/>
        <v>1389.9770434</v>
      </c>
      <c r="R73" s="46">
        <f t="shared" si="112"/>
        <v>1405.9509834</v>
      </c>
      <c r="S73" s="46">
        <f t="shared" si="113"/>
        <v>1374.0032834000001</v>
      </c>
      <c r="T73" s="19">
        <f t="shared" si="114"/>
        <v>1365.9805488</v>
      </c>
      <c r="U73" s="19">
        <f t="shared" si="115"/>
        <v>1411.9860434</v>
      </c>
      <c r="V73" s="19">
        <f t="shared" si="116"/>
        <v>1426.0016934</v>
      </c>
      <c r="W73" s="46">
        <f t="shared" si="87"/>
        <v>682.48663709999994</v>
      </c>
      <c r="Y73" s="46">
        <f t="shared" si="149"/>
        <v>701.5277317</v>
      </c>
      <c r="Z73" s="46">
        <f t="shared" si="150"/>
        <v>706.48313170000006</v>
      </c>
      <c r="AA73" s="46">
        <f t="shared" si="151"/>
        <v>722.45707170000003</v>
      </c>
      <c r="AB73" s="46">
        <f t="shared" si="152"/>
        <v>695.49215900000002</v>
      </c>
      <c r="AC73" s="46">
        <f t="shared" si="148"/>
        <v>703.47912900000006</v>
      </c>
    </row>
    <row r="74" spans="1:29" x14ac:dyDescent="0.25">
      <c r="A74" s="20" t="s">
        <v>263</v>
      </c>
      <c r="B74" s="17" t="str">
        <f t="shared" si="100"/>
        <v>CL 66:5</v>
      </c>
      <c r="C74" s="1" t="str">
        <f t="shared" si="101"/>
        <v>66</v>
      </c>
      <c r="D74" s="1" t="str">
        <f t="shared" si="102"/>
        <v>5</v>
      </c>
      <c r="E74" s="17">
        <f t="shared" si="103"/>
        <v>75</v>
      </c>
      <c r="F74" s="17">
        <f t="shared" si="104"/>
        <v>136</v>
      </c>
      <c r="G74" s="17">
        <v>0</v>
      </c>
      <c r="H74" s="17">
        <f t="shared" si="105"/>
        <v>17</v>
      </c>
      <c r="I74" s="17">
        <v>2</v>
      </c>
      <c r="L74" s="19" t="str">
        <f t="shared" si="106"/>
        <v>C75H136O17P2</v>
      </c>
      <c r="M74" s="19">
        <f t="shared" si="107"/>
        <v>1370.9252266000001</v>
      </c>
      <c r="N74" s="19">
        <f t="shared" si="108"/>
        <v>1371.9325012000002</v>
      </c>
      <c r="O74" s="46">
        <f t="shared" si="109"/>
        <v>1353.9213812000003</v>
      </c>
      <c r="P74" s="46">
        <f t="shared" si="110"/>
        <v>1388.9590466000002</v>
      </c>
      <c r="Q74" s="46">
        <f t="shared" si="111"/>
        <v>1393.9144466</v>
      </c>
      <c r="R74" s="46">
        <f t="shared" si="112"/>
        <v>1409.8883866000001</v>
      </c>
      <c r="S74" s="46">
        <f t="shared" si="113"/>
        <v>1377.9406866000002</v>
      </c>
      <c r="T74" s="19">
        <f t="shared" si="114"/>
        <v>1369.917952</v>
      </c>
      <c r="U74" s="19">
        <f t="shared" si="115"/>
        <v>1415.9234466</v>
      </c>
      <c r="V74" s="19">
        <f t="shared" si="116"/>
        <v>1429.9390966000001</v>
      </c>
      <c r="W74" s="46">
        <f t="shared" si="87"/>
        <v>684.45533869999997</v>
      </c>
      <c r="Y74" s="46">
        <f t="shared" si="149"/>
        <v>703.49643330000004</v>
      </c>
      <c r="Z74" s="46">
        <f t="shared" si="150"/>
        <v>708.45183330000009</v>
      </c>
      <c r="AA74" s="46">
        <f t="shared" si="151"/>
        <v>724.42577330000006</v>
      </c>
      <c r="AB74" s="46">
        <f t="shared" si="152"/>
        <v>697.46086060000005</v>
      </c>
      <c r="AC74" s="46">
        <f t="shared" si="148"/>
        <v>705.44783060000009</v>
      </c>
    </row>
    <row r="75" spans="1:29" x14ac:dyDescent="0.25">
      <c r="A75" s="20" t="s">
        <v>251</v>
      </c>
      <c r="B75" s="17" t="str">
        <f t="shared" si="100"/>
        <v>CL 66:4</v>
      </c>
      <c r="C75" s="1" t="str">
        <f t="shared" si="101"/>
        <v>66</v>
      </c>
      <c r="D75" s="1" t="str">
        <f t="shared" si="102"/>
        <v>4</v>
      </c>
      <c r="E75" s="17">
        <f t="shared" si="103"/>
        <v>75</v>
      </c>
      <c r="F75" s="17">
        <f t="shared" si="104"/>
        <v>138</v>
      </c>
      <c r="G75" s="17">
        <v>0</v>
      </c>
      <c r="H75" s="17">
        <f t="shared" si="105"/>
        <v>17</v>
      </c>
      <c r="I75" s="17">
        <v>2</v>
      </c>
      <c r="L75" s="19" t="str">
        <f t="shared" si="106"/>
        <v>C75H138O17P2</v>
      </c>
      <c r="M75" s="19">
        <f t="shared" si="107"/>
        <v>1372.9408758</v>
      </c>
      <c r="N75" s="19">
        <f t="shared" si="108"/>
        <v>1373.9481504</v>
      </c>
      <c r="O75" s="46">
        <f t="shared" si="109"/>
        <v>1355.9370304000001</v>
      </c>
      <c r="P75" s="46">
        <f t="shared" si="110"/>
        <v>1390.9746958000001</v>
      </c>
      <c r="Q75" s="46">
        <f t="shared" si="111"/>
        <v>1395.9300957999999</v>
      </c>
      <c r="R75" s="46">
        <f t="shared" si="112"/>
        <v>1411.9040358</v>
      </c>
      <c r="S75" s="46">
        <f t="shared" si="113"/>
        <v>1379.9563358</v>
      </c>
      <c r="T75" s="19">
        <f t="shared" si="114"/>
        <v>1371.9336011999999</v>
      </c>
      <c r="U75" s="19">
        <f t="shared" si="115"/>
        <v>1417.9390957999999</v>
      </c>
      <c r="V75" s="19">
        <f t="shared" si="116"/>
        <v>1431.9547458</v>
      </c>
      <c r="W75" s="46">
        <f t="shared" si="87"/>
        <v>685.46316329999991</v>
      </c>
      <c r="Y75" s="46">
        <f t="shared" si="149"/>
        <v>704.50425789999997</v>
      </c>
      <c r="Z75" s="46">
        <f t="shared" si="150"/>
        <v>709.45965790000002</v>
      </c>
      <c r="AA75" s="46">
        <f t="shared" si="151"/>
        <v>725.4335979</v>
      </c>
      <c r="AB75" s="46">
        <f t="shared" si="152"/>
        <v>698.46868519999998</v>
      </c>
      <c r="AC75" s="46">
        <f t="shared" si="148"/>
        <v>706.45565520000002</v>
      </c>
    </row>
    <row r="76" spans="1:29" x14ac:dyDescent="0.25">
      <c r="A76" s="20" t="s">
        <v>250</v>
      </c>
      <c r="B76" s="17" t="str">
        <f t="shared" si="100"/>
        <v>CL 66:3</v>
      </c>
      <c r="C76" s="1" t="str">
        <f t="shared" si="101"/>
        <v>66</v>
      </c>
      <c r="D76" s="1" t="str">
        <f t="shared" si="102"/>
        <v>3</v>
      </c>
      <c r="E76" s="17">
        <f t="shared" si="103"/>
        <v>75</v>
      </c>
      <c r="F76" s="17">
        <f t="shared" si="104"/>
        <v>140</v>
      </c>
      <c r="G76" s="17">
        <v>0</v>
      </c>
      <c r="H76" s="17">
        <f t="shared" si="105"/>
        <v>17</v>
      </c>
      <c r="I76" s="17">
        <v>2</v>
      </c>
      <c r="L76" s="19" t="str">
        <f t="shared" si="106"/>
        <v>C75H140O17P2</v>
      </c>
      <c r="M76" s="19">
        <f t="shared" si="107"/>
        <v>1374.9565250000001</v>
      </c>
      <c r="N76" s="19">
        <f t="shared" si="108"/>
        <v>1375.9637996000001</v>
      </c>
      <c r="O76" s="46">
        <f t="shared" si="109"/>
        <v>1357.9526796000002</v>
      </c>
      <c r="P76" s="46">
        <f t="shared" si="110"/>
        <v>1392.9903450000002</v>
      </c>
      <c r="Q76" s="46">
        <f t="shared" si="111"/>
        <v>1397.945745</v>
      </c>
      <c r="R76" s="46">
        <f t="shared" si="112"/>
        <v>1413.9196850000001</v>
      </c>
      <c r="S76" s="46">
        <f t="shared" si="113"/>
        <v>1381.9719850000001</v>
      </c>
      <c r="T76" s="19">
        <f t="shared" si="114"/>
        <v>1373.9492504</v>
      </c>
      <c r="U76" s="19">
        <f t="shared" si="115"/>
        <v>1419.954745</v>
      </c>
      <c r="V76" s="19">
        <f t="shared" si="116"/>
        <v>1433.9703950000001</v>
      </c>
      <c r="W76" s="46">
        <f t="shared" si="87"/>
        <v>686.47098789999995</v>
      </c>
      <c r="Y76" s="46">
        <f t="shared" si="149"/>
        <v>705.51208250000002</v>
      </c>
      <c r="Z76" s="46">
        <f t="shared" si="150"/>
        <v>710.46748250000007</v>
      </c>
      <c r="AA76" s="46">
        <f t="shared" si="151"/>
        <v>726.44142250000004</v>
      </c>
      <c r="AB76" s="46">
        <f t="shared" si="152"/>
        <v>699.47650980000003</v>
      </c>
      <c r="AC76" s="46">
        <f t="shared" si="148"/>
        <v>707.46347980000007</v>
      </c>
    </row>
    <row r="77" spans="1:29" x14ac:dyDescent="0.25">
      <c r="A77" s="20" t="s">
        <v>216</v>
      </c>
      <c r="B77" s="17" t="str">
        <f>IF(ISNUMBER(SEARCH("[",A77)),IF(ISNUMBER(SEARCH("/",A77)),CONCATENATE(MID(A77,1,2)," ",(SUM(MID(A77,FIND("[",A77)+1,FIND(":",A77)-FIND("[",A77)-1),MID(A77,FIND("/",A77)+1,FIND(":",A77,FIND("/",A77))-FIND("/",A77)-1),MID(A77,FIND("[",A77,FIND("[",A77)+1)+1,(FIND(":",A77,FIND("[",A77))-FIND("[",A77)-1)),MID(A77,FIND("/",A77,FIND("/",A77)+1)+1,FIND(":",A77,FIND("/",A77,FIND("[",A77,FIND("[",A77)+1)+1))-FIND("/",A77,FIND("[",A77,FIND("[",A77)+1)+1)-1))),":",SUM(MID(A77,FIND(":",A77)+1,FIND("/",A77)-FIND(":",A77)-1),MID(A77,FIND(":",A77,FIND("/",A77))+1,FIND("]",A77)-FIND(":",A77,FIND("/",A77))-1),MID(A77,FIND(":",A77,FIND("[",A77,FIND("[",A77)+1))+1,(FIND("/",A77,FIND("[",A77,FIND("[",A77)+1)+1)-FIND(":",A77,FIND("[",A77,FIND("[",A77)+1))-1)),MID(A77,FIND(":",A77,FIND("/",A77,FIND("]",A77)+1))+1,(FIND("]",A77,FIND("[",A77,FIND("[",A77)+1)+1)-FIND(":",A77,FIND("/",A77,FIND("]",A77)+1))-1))),MID(A77,(FIND(")",A77)+1),100)),CONCATENATE(MID(A77,1,2)," ",(SUM(MID(A77,FIND("[",A77)+1,FIND(":",A77)-FIND("[",A77)-1),MID(A77,FIND("_",A77)+1,FIND(":",A77,FIND("_",A77))-FIND("_",A77)-1),MID(A77,FIND("[",A77,FIND("[",A77)+1)+1,(FIND(":",A77,FIND("[",A77))-FIND("[",A77)-1)),MID(A77,FIND("_",A77,FIND("_",A77)+1)+1,FIND(":",A77,FIND("_",A77,FIND("[",A77,FIND("[",A77)+1)+1))-FIND("_",A77,FIND("[",A77,FIND("[",A77)+1)+1)-1))),":",SUM(MID(A77,FIND(":",A77)+1,FIND("_",A77)-FIND(":",A77)-1),MID(A77,FIND(":",A77,FIND("_",A77))+1,FIND("]",A77)-FIND(":",A77,FIND("_",A77))-1),MID(A77,FIND(":",A77,FIND("[",A77,FIND("[",A77)+1))+1,(FIND("_",A77,FIND("[",A77,FIND("[",A77)+1)+1)-FIND(":",A77,FIND("[",A77,FIND("[",A77)+1))-1)),MID(A77,FIND(":",A77,FIND("_",A77,FIND("]",A77)+1))+1,(FIND("]",A77,FIND("[",A77,FIND("[",A77)+1)+1)-FIND(":",A77,FIND("_",A77,FIND("]",A77)+1))-1))),MID(A77,(FIND(")",A77)+1),100))),A77)</f>
        <v>CL 66:2</v>
      </c>
      <c r="C77" s="1" t="str">
        <f>MID(B77,4,FIND(":",B77)-FIND(" ",B77)-1)</f>
        <v>66</v>
      </c>
      <c r="D77" s="1" t="str">
        <f>IF(ISNUMBER(SEARCH("__",B77)),MID(B77,FIND(":",B77)+1,FIND("__",B77)-FIND(":",B77)-1),MID(B77,FIND(":",B77)+1,7))</f>
        <v>2</v>
      </c>
      <c r="E77" s="17">
        <f t="shared" si="103"/>
        <v>75</v>
      </c>
      <c r="F77" s="17">
        <f t="shared" si="104"/>
        <v>142</v>
      </c>
      <c r="G77" s="17">
        <v>0</v>
      </c>
      <c r="H77" s="17">
        <f t="shared" si="105"/>
        <v>17</v>
      </c>
      <c r="I77" s="17">
        <v>2</v>
      </c>
      <c r="L77" s="19" t="str">
        <f t="shared" si="106"/>
        <v>C75H142O17P2</v>
      </c>
      <c r="M77" s="19">
        <f t="shared" si="107"/>
        <v>1376.9721741999999</v>
      </c>
      <c r="N77" s="19">
        <f t="shared" si="108"/>
        <v>1377.9794488</v>
      </c>
      <c r="O77" s="46">
        <f t="shared" si="109"/>
        <v>1359.9683288000001</v>
      </c>
      <c r="P77" s="46">
        <f t="shared" si="110"/>
        <v>1395.0059942</v>
      </c>
      <c r="Q77" s="46">
        <f t="shared" si="111"/>
        <v>1399.9613941999999</v>
      </c>
      <c r="R77" s="46">
        <f t="shared" si="112"/>
        <v>1415.9353341999999</v>
      </c>
      <c r="S77" s="46">
        <f t="shared" si="113"/>
        <v>1383.9876342</v>
      </c>
      <c r="T77" s="19">
        <f t="shared" si="114"/>
        <v>1375.9648995999999</v>
      </c>
      <c r="U77" s="19">
        <f t="shared" si="115"/>
        <v>1421.9703941999999</v>
      </c>
      <c r="V77" s="19">
        <f t="shared" si="116"/>
        <v>1435.9860441999999</v>
      </c>
      <c r="W77" s="46">
        <f t="shared" si="87"/>
        <v>687.47881249999989</v>
      </c>
      <c r="Y77" s="46">
        <f t="shared" si="149"/>
        <v>706.51990709999995</v>
      </c>
      <c r="Z77" s="46">
        <f t="shared" si="150"/>
        <v>711.47530710000001</v>
      </c>
      <c r="AA77" s="46">
        <f t="shared" si="151"/>
        <v>727.44924709999998</v>
      </c>
      <c r="AB77" s="46">
        <f t="shared" si="152"/>
        <v>700.48433439999997</v>
      </c>
      <c r="AC77" s="46">
        <f t="shared" si="148"/>
        <v>708.47130440000001</v>
      </c>
    </row>
    <row r="78" spans="1:29" x14ac:dyDescent="0.25">
      <c r="A78" s="20" t="s">
        <v>186</v>
      </c>
      <c r="B78" s="17" t="str">
        <f>IF(ISNUMBER(SEARCH("[",A78)),IF(ISNUMBER(SEARCH("/",A78)),CONCATENATE(MID(A78,1,2)," ",(SUM(MID(A78,FIND("[",A78)+1,FIND(":",A78)-FIND("[",A78)-1),MID(A78,FIND("/",A78)+1,FIND(":",A78,FIND("/",A78))-FIND("/",A78)-1),MID(A78,FIND("[",A78,FIND("[",A78)+1)+1,(FIND(":",A78,FIND("[",A78))-FIND("[",A78)-1)),MID(A78,FIND("/",A78,FIND("/",A78)+1)+1,FIND(":",A78,FIND("/",A78,FIND("[",A78,FIND("[",A78)+1)+1))-FIND("/",A78,FIND("[",A78,FIND("[",A78)+1)+1)-1))),":",SUM(MID(A78,FIND(":",A78)+1,FIND("/",A78)-FIND(":",A78)-1),MID(A78,FIND(":",A78,FIND("/",A78))+1,FIND("]",A78)-FIND(":",A78,FIND("/",A78))-1),MID(A78,FIND(":",A78,FIND("[",A78,FIND("[",A78)+1))+1,(FIND("/",A78,FIND("[",A78,FIND("[",A78)+1)+1)-FIND(":",A78,FIND("[",A78,FIND("[",A78)+1))-1)),MID(A78,FIND(":",A78,FIND("/",A78,FIND("]",A78)+1))+1,(FIND("]",A78,FIND("[",A78,FIND("[",A78)+1)+1)-FIND(":",A78,FIND("/",A78,FIND("]",A78)+1))-1))),MID(A78,(FIND(")",A78)+1),100)),CONCATENATE(MID(A78,1,2)," ",(SUM(MID(A78,FIND("[",A78)+1,FIND(":",A78)-FIND("[",A78)-1),MID(A78,FIND("_",A78)+1,FIND(":",A78,FIND("_",A78))-FIND("_",A78)-1),MID(A78,FIND("[",A78,FIND("[",A78)+1)+1,(FIND(":",A78,FIND("[",A78))-FIND("[",A78)-1)),MID(A78,FIND("_",A78,FIND("_",A78)+1)+1,FIND(":",A78,FIND("_",A78,FIND("[",A78,FIND("[",A78)+1)+1))-FIND("_",A78,FIND("[",A78,FIND("[",A78)+1)+1)-1))),":",SUM(MID(A78,FIND(":",A78)+1,FIND("_",A78)-FIND(":",A78)-1),MID(A78,FIND(":",A78,FIND("_",A78))+1,FIND("]",A78)-FIND(":",A78,FIND("_",A78))-1),MID(A78,FIND(":",A78,FIND("[",A78,FIND("[",A78)+1))+1,(FIND("_",A78,FIND("[",A78,FIND("[",A78)+1)+1)-FIND(":",A78,FIND("[",A78,FIND("[",A78)+1))-1)),MID(A78,FIND(":",A78,FIND("_",A78,FIND("]",A78)+1))+1,(FIND("]",A78,FIND("[",A78,FIND("[",A78)+1)+1)-FIND(":",A78,FIND("_",A78,FIND("]",A78)+1))-1))),MID(A78,(FIND(")",A78)+1),100))),A78)</f>
        <v>CL 66:1</v>
      </c>
      <c r="C78" s="1" t="str">
        <f>MID(B78,4,FIND(":",B78)-FIND(" ",B78)-1)</f>
        <v>66</v>
      </c>
      <c r="D78" s="1" t="str">
        <f>IF(ISNUMBER(SEARCH("__",B78)),MID(B78,FIND(":",B78)+1,FIND("__",B78)-FIND(":",B78)-1),MID(B78,FIND(":",B78)+1,7))</f>
        <v>1</v>
      </c>
      <c r="E78" s="17">
        <f t="shared" si="103"/>
        <v>75</v>
      </c>
      <c r="F78" s="17">
        <f t="shared" si="104"/>
        <v>144</v>
      </c>
      <c r="G78" s="17">
        <v>0</v>
      </c>
      <c r="H78" s="17">
        <f t="shared" si="105"/>
        <v>17</v>
      </c>
      <c r="I78" s="17">
        <v>2</v>
      </c>
      <c r="L78" s="19" t="str">
        <f t="shared" si="106"/>
        <v>C75H144O17P2</v>
      </c>
      <c r="M78" s="19">
        <f t="shared" si="107"/>
        <v>1378.9878234</v>
      </c>
      <c r="N78" s="19">
        <f t="shared" si="108"/>
        <v>1379.9950980000001</v>
      </c>
      <c r="O78" s="46">
        <f t="shared" si="109"/>
        <v>1361.9839780000002</v>
      </c>
      <c r="P78" s="46">
        <f t="shared" si="110"/>
        <v>1397.0216434000001</v>
      </c>
      <c r="Q78" s="46">
        <f t="shared" si="111"/>
        <v>1401.9770434</v>
      </c>
      <c r="R78" s="46">
        <f t="shared" si="112"/>
        <v>1417.9509834</v>
      </c>
      <c r="S78" s="46">
        <f t="shared" si="113"/>
        <v>1386.0032834000001</v>
      </c>
      <c r="T78" s="19">
        <f t="shared" si="114"/>
        <v>1377.9805488</v>
      </c>
      <c r="U78" s="19">
        <f t="shared" si="115"/>
        <v>1423.9860434</v>
      </c>
      <c r="V78" s="19">
        <f t="shared" si="116"/>
        <v>1438.0016934</v>
      </c>
      <c r="W78" s="46">
        <f t="shared" si="87"/>
        <v>688.48663709999994</v>
      </c>
      <c r="Y78" s="46">
        <f t="shared" si="149"/>
        <v>707.5277317</v>
      </c>
      <c r="Z78" s="46">
        <f t="shared" si="150"/>
        <v>712.48313170000006</v>
      </c>
      <c r="AA78" s="46">
        <f t="shared" si="151"/>
        <v>728.45707170000003</v>
      </c>
      <c r="AB78" s="46">
        <f t="shared" si="152"/>
        <v>701.49215900000002</v>
      </c>
      <c r="AC78" s="46">
        <f t="shared" si="148"/>
        <v>709.47912900000006</v>
      </c>
    </row>
    <row r="79" spans="1:29" x14ac:dyDescent="0.25">
      <c r="A79" s="20" t="s">
        <v>174</v>
      </c>
      <c r="B79" s="17" t="str">
        <f t="shared" si="100"/>
        <v>CL 66:0</v>
      </c>
      <c r="C79" s="1" t="str">
        <f t="shared" si="101"/>
        <v>66</v>
      </c>
      <c r="D79" s="1" t="str">
        <f t="shared" si="102"/>
        <v>0</v>
      </c>
      <c r="E79" s="17">
        <f t="shared" si="103"/>
        <v>75</v>
      </c>
      <c r="F79" s="17">
        <f t="shared" si="104"/>
        <v>146</v>
      </c>
      <c r="G79" s="17">
        <v>0</v>
      </c>
      <c r="H79" s="17">
        <f t="shared" si="105"/>
        <v>17</v>
      </c>
      <c r="I79" s="17">
        <v>2</v>
      </c>
      <c r="L79" s="19" t="str">
        <f t="shared" si="106"/>
        <v>C75H146O17P2</v>
      </c>
      <c r="M79" s="19">
        <f t="shared" si="107"/>
        <v>1381.0034725999999</v>
      </c>
      <c r="N79" s="19">
        <f t="shared" si="108"/>
        <v>1382.0107472</v>
      </c>
      <c r="O79" s="46">
        <f t="shared" si="109"/>
        <v>1363.9996272000001</v>
      </c>
      <c r="P79" s="46">
        <f t="shared" si="110"/>
        <v>1399.0372926</v>
      </c>
      <c r="Q79" s="46">
        <f t="shared" si="111"/>
        <v>1403.9926925999998</v>
      </c>
      <c r="R79" s="46">
        <f t="shared" si="112"/>
        <v>1419.9666325999999</v>
      </c>
      <c r="S79" s="46">
        <f t="shared" si="113"/>
        <v>1388.0189326</v>
      </c>
      <c r="T79" s="19">
        <f t="shared" si="114"/>
        <v>1379.9961979999998</v>
      </c>
      <c r="U79" s="19">
        <f t="shared" si="115"/>
        <v>1426.0016925999998</v>
      </c>
      <c r="V79" s="19">
        <f t="shared" si="116"/>
        <v>1440.0173425999999</v>
      </c>
      <c r="W79" s="46">
        <f t="shared" si="87"/>
        <v>689.49446169999987</v>
      </c>
      <c r="Y79" s="46">
        <f t="shared" si="149"/>
        <v>708.53555629999994</v>
      </c>
      <c r="Z79" s="46">
        <f t="shared" si="150"/>
        <v>713.49095629999999</v>
      </c>
      <c r="AA79" s="46">
        <f t="shared" si="151"/>
        <v>729.46489629999996</v>
      </c>
      <c r="AB79" s="46">
        <f t="shared" si="152"/>
        <v>702.49998359999995</v>
      </c>
      <c r="AC79" s="46">
        <f t="shared" si="148"/>
        <v>710.48695359999999</v>
      </c>
    </row>
    <row r="80" spans="1:29" x14ac:dyDescent="0.25">
      <c r="A80" s="20" t="s">
        <v>254</v>
      </c>
      <c r="B80" s="17" t="str">
        <f t="shared" si="100"/>
        <v>CL 67:5</v>
      </c>
      <c r="C80" s="1" t="str">
        <f t="shared" si="101"/>
        <v>67</v>
      </c>
      <c r="D80" s="1" t="str">
        <f t="shared" si="102"/>
        <v>5</v>
      </c>
      <c r="E80" s="17">
        <f t="shared" si="103"/>
        <v>76</v>
      </c>
      <c r="F80" s="17">
        <f t="shared" si="104"/>
        <v>138</v>
      </c>
      <c r="G80" s="17">
        <v>0</v>
      </c>
      <c r="H80" s="17">
        <f t="shared" si="105"/>
        <v>17</v>
      </c>
      <c r="I80" s="17">
        <v>2</v>
      </c>
      <c r="L80" s="19" t="str">
        <f t="shared" si="106"/>
        <v>C76H138O17P2</v>
      </c>
      <c r="M80" s="19">
        <f t="shared" si="107"/>
        <v>1384.9408758</v>
      </c>
      <c r="N80" s="19">
        <f t="shared" si="108"/>
        <v>1385.9481504</v>
      </c>
      <c r="O80" s="46">
        <f t="shared" si="109"/>
        <v>1367.9370304000001</v>
      </c>
      <c r="P80" s="46">
        <f t="shared" si="110"/>
        <v>1402.9746958000001</v>
      </c>
      <c r="Q80" s="46">
        <f t="shared" si="111"/>
        <v>1407.9300957999999</v>
      </c>
      <c r="R80" s="46">
        <f t="shared" si="112"/>
        <v>1423.9040358</v>
      </c>
      <c r="S80" s="46">
        <f t="shared" si="113"/>
        <v>1391.9563358</v>
      </c>
      <c r="T80" s="19">
        <f t="shared" si="114"/>
        <v>1383.9336011999999</v>
      </c>
      <c r="U80" s="19">
        <f t="shared" si="115"/>
        <v>1429.9390957999999</v>
      </c>
      <c r="V80" s="19">
        <f t="shared" si="116"/>
        <v>1443.9547458</v>
      </c>
      <c r="W80" s="46">
        <f t="shared" si="87"/>
        <v>691.46316329999991</v>
      </c>
      <c r="Y80" s="46">
        <f t="shared" si="149"/>
        <v>710.50425789999997</v>
      </c>
      <c r="Z80" s="46">
        <f t="shared" si="150"/>
        <v>715.45965790000002</v>
      </c>
      <c r="AA80" s="46">
        <f t="shared" si="151"/>
        <v>731.4335979</v>
      </c>
      <c r="AB80" s="46">
        <f t="shared" si="152"/>
        <v>704.46868519999998</v>
      </c>
      <c r="AC80" s="46">
        <f t="shared" si="148"/>
        <v>712.45565520000002</v>
      </c>
    </row>
    <row r="81" spans="1:29" x14ac:dyDescent="0.25">
      <c r="A81" s="20" t="s">
        <v>244</v>
      </c>
      <c r="B81" s="17" t="str">
        <f t="shared" si="100"/>
        <v>CL 67:4</v>
      </c>
      <c r="C81" s="1" t="str">
        <f t="shared" si="101"/>
        <v>67</v>
      </c>
      <c r="D81" s="1" t="str">
        <f t="shared" si="102"/>
        <v>4</v>
      </c>
      <c r="E81" s="17">
        <f t="shared" si="103"/>
        <v>76</v>
      </c>
      <c r="F81" s="17">
        <f t="shared" si="104"/>
        <v>140</v>
      </c>
      <c r="G81" s="17">
        <v>0</v>
      </c>
      <c r="H81" s="17">
        <f t="shared" si="105"/>
        <v>17</v>
      </c>
      <c r="I81" s="17">
        <v>2</v>
      </c>
      <c r="L81" s="19" t="str">
        <f t="shared" si="106"/>
        <v>C76H140O17P2</v>
      </c>
      <c r="M81" s="19">
        <f t="shared" si="107"/>
        <v>1386.9565250000001</v>
      </c>
      <c r="N81" s="19">
        <f t="shared" si="108"/>
        <v>1387.9637996000001</v>
      </c>
      <c r="O81" s="46">
        <f t="shared" si="109"/>
        <v>1369.9526796000002</v>
      </c>
      <c r="P81" s="46">
        <f t="shared" si="110"/>
        <v>1404.9903450000002</v>
      </c>
      <c r="Q81" s="46">
        <f t="shared" si="111"/>
        <v>1409.945745</v>
      </c>
      <c r="R81" s="46">
        <f t="shared" si="112"/>
        <v>1425.9196850000001</v>
      </c>
      <c r="S81" s="46">
        <f t="shared" si="113"/>
        <v>1393.9719850000001</v>
      </c>
      <c r="T81" s="19">
        <f t="shared" si="114"/>
        <v>1385.9492504</v>
      </c>
      <c r="U81" s="19">
        <f t="shared" si="115"/>
        <v>1431.954745</v>
      </c>
      <c r="V81" s="19">
        <f t="shared" si="116"/>
        <v>1445.9703950000001</v>
      </c>
      <c r="W81" s="46">
        <f>(T81-1.0078246+0.00055)/2</f>
        <v>692.47098789999995</v>
      </c>
      <c r="Y81" s="46">
        <f t="shared" si="149"/>
        <v>711.51208250000002</v>
      </c>
      <c r="Z81" s="46">
        <f t="shared" si="150"/>
        <v>716.46748250000007</v>
      </c>
      <c r="AA81" s="46">
        <f t="shared" si="151"/>
        <v>732.44142250000004</v>
      </c>
      <c r="AB81" s="46">
        <f t="shared" si="152"/>
        <v>705.47650980000003</v>
      </c>
      <c r="AC81" s="46">
        <f t="shared" si="148"/>
        <v>713.46347980000007</v>
      </c>
    </row>
    <row r="82" spans="1:29" x14ac:dyDescent="0.25">
      <c r="A82" s="20" t="s">
        <v>241</v>
      </c>
      <c r="B82" s="17" t="str">
        <f t="shared" si="100"/>
        <v>CL 67:3</v>
      </c>
      <c r="C82" s="1" t="str">
        <f t="shared" si="101"/>
        <v>67</v>
      </c>
      <c r="D82" s="1" t="str">
        <f t="shared" si="102"/>
        <v>3</v>
      </c>
      <c r="E82" s="17">
        <f t="shared" si="103"/>
        <v>76</v>
      </c>
      <c r="F82" s="17">
        <f t="shared" si="104"/>
        <v>142</v>
      </c>
      <c r="G82" s="17">
        <v>0</v>
      </c>
      <c r="H82" s="17">
        <f t="shared" si="105"/>
        <v>17</v>
      </c>
      <c r="I82" s="17">
        <v>2</v>
      </c>
      <c r="L82" s="19" t="str">
        <f t="shared" si="106"/>
        <v>C76H142O17P2</v>
      </c>
      <c r="M82" s="19">
        <f t="shared" si="107"/>
        <v>1388.9721741999999</v>
      </c>
      <c r="N82" s="19">
        <f t="shared" si="108"/>
        <v>1389.9794488</v>
      </c>
      <c r="O82" s="46">
        <f t="shared" si="109"/>
        <v>1371.9683288000001</v>
      </c>
      <c r="P82" s="46">
        <f t="shared" si="110"/>
        <v>1407.0059942</v>
      </c>
      <c r="Q82" s="46">
        <f t="shared" si="111"/>
        <v>1411.9613941999999</v>
      </c>
      <c r="R82" s="46">
        <f t="shared" si="112"/>
        <v>1427.9353341999999</v>
      </c>
      <c r="S82" s="46">
        <f t="shared" si="113"/>
        <v>1395.9876342</v>
      </c>
      <c r="T82" s="19">
        <f t="shared" si="114"/>
        <v>1387.9648995999999</v>
      </c>
      <c r="U82" s="19">
        <f t="shared" si="115"/>
        <v>1433.9703941999999</v>
      </c>
      <c r="V82" s="19">
        <f t="shared" si="116"/>
        <v>1447.9860441999999</v>
      </c>
      <c r="W82" s="46">
        <f t="shared" si="87"/>
        <v>693.47881249999989</v>
      </c>
      <c r="Y82" s="46">
        <f t="shared" si="149"/>
        <v>712.51990709999995</v>
      </c>
      <c r="Z82" s="46">
        <f t="shared" si="150"/>
        <v>717.47530710000001</v>
      </c>
      <c r="AA82" s="46">
        <f t="shared" si="151"/>
        <v>733.44924709999998</v>
      </c>
      <c r="AB82" s="46">
        <f t="shared" si="152"/>
        <v>706.48433439999997</v>
      </c>
      <c r="AC82" s="46">
        <f t="shared" si="148"/>
        <v>714.47130440000001</v>
      </c>
    </row>
    <row r="83" spans="1:29" x14ac:dyDescent="0.25">
      <c r="A83" s="20" t="s">
        <v>217</v>
      </c>
      <c r="B83" s="17" t="str">
        <f>IF(ISNUMBER(SEARCH("[",A83)),IF(ISNUMBER(SEARCH("/",A83)),CONCATENATE(MID(A83,1,2)," ",(SUM(MID(A83,FIND("[",A83)+1,FIND(":",A83)-FIND("[",A83)-1),MID(A83,FIND("/",A83)+1,FIND(":",A83,FIND("/",A83))-FIND("/",A83)-1),MID(A83,FIND("[",A83,FIND("[",A83)+1)+1,(FIND(":",A83,FIND("[",A83))-FIND("[",A83)-1)),MID(A83,FIND("/",A83,FIND("/",A83)+1)+1,FIND(":",A83,FIND("/",A83,FIND("[",A83,FIND("[",A83)+1)+1))-FIND("/",A83,FIND("[",A83,FIND("[",A83)+1)+1)-1))),":",SUM(MID(A83,FIND(":",A83)+1,FIND("/",A83)-FIND(":",A83)-1),MID(A83,FIND(":",A83,FIND("/",A83))+1,FIND("]",A83)-FIND(":",A83,FIND("/",A83))-1),MID(A83,FIND(":",A83,FIND("[",A83,FIND("[",A83)+1))+1,(FIND("/",A83,FIND("[",A83,FIND("[",A83)+1)+1)-FIND(":",A83,FIND("[",A83,FIND("[",A83)+1))-1)),MID(A83,FIND(":",A83,FIND("/",A83,FIND("]",A83)+1))+1,(FIND("]",A83,FIND("[",A83,FIND("[",A83)+1)+1)-FIND(":",A83,FIND("/",A83,FIND("]",A83)+1))-1))),MID(A83,(FIND(")",A83)+1),100)),CONCATENATE(MID(A83,1,2)," ",(SUM(MID(A83,FIND("[",A83)+1,FIND(":",A83)-FIND("[",A83)-1),MID(A83,FIND("_",A83)+1,FIND(":",A83,FIND("_",A83))-FIND("_",A83)-1),MID(A83,FIND("[",A83,FIND("[",A83)+1)+1,(FIND(":",A83,FIND("[",A83))-FIND("[",A83)-1)),MID(A83,FIND("_",A83,FIND("_",A83)+1)+1,FIND(":",A83,FIND("_",A83,FIND("[",A83,FIND("[",A83)+1)+1))-FIND("_",A83,FIND("[",A83,FIND("[",A83)+1)+1)-1))),":",SUM(MID(A83,FIND(":",A83)+1,FIND("_",A83)-FIND(":",A83)-1),MID(A83,FIND(":",A83,FIND("_",A83))+1,FIND("]",A83)-FIND(":",A83,FIND("_",A83))-1),MID(A83,FIND(":",A83,FIND("[",A83,FIND("[",A83)+1))+1,(FIND("_",A83,FIND("[",A83,FIND("[",A83)+1)+1)-FIND(":",A83,FIND("[",A83,FIND("[",A83)+1))-1)),MID(A83,FIND(":",A83,FIND("_",A83,FIND("]",A83)+1))+1,(FIND("]",A83,FIND("[",A83,FIND("[",A83)+1)+1)-FIND(":",A83,FIND("_",A83,FIND("]",A83)+1))-1))),MID(A83,(FIND(")",A83)+1),100))),A83)</f>
        <v>CL 67:2</v>
      </c>
      <c r="C83" s="1" t="str">
        <f>MID(B83,4,FIND(":",B83)-FIND(" ",B83)-1)</f>
        <v>67</v>
      </c>
      <c r="D83" s="1" t="str">
        <f>IF(ISNUMBER(SEARCH("__",B83)),MID(B83,FIND(":",B83)+1,FIND("__",B83)-FIND(":",B83)-1),MID(B83,FIND(":",B83)+1,7))</f>
        <v>2</v>
      </c>
      <c r="E83" s="17">
        <f t="shared" si="103"/>
        <v>76</v>
      </c>
      <c r="F83" s="17">
        <f t="shared" si="104"/>
        <v>144</v>
      </c>
      <c r="G83" s="17">
        <v>0</v>
      </c>
      <c r="H83" s="17">
        <f t="shared" si="105"/>
        <v>17</v>
      </c>
      <c r="I83" s="17">
        <v>2</v>
      </c>
      <c r="L83" s="19" t="str">
        <f t="shared" si="106"/>
        <v>C76H144O17P2</v>
      </c>
      <c r="M83" s="19">
        <f t="shared" si="107"/>
        <v>1390.9878234</v>
      </c>
      <c r="N83" s="19">
        <f t="shared" si="108"/>
        <v>1391.9950980000001</v>
      </c>
      <c r="O83" s="46">
        <f t="shared" si="109"/>
        <v>1373.9839780000002</v>
      </c>
      <c r="P83" s="46">
        <f t="shared" si="110"/>
        <v>1409.0216434000001</v>
      </c>
      <c r="Q83" s="46">
        <f t="shared" si="111"/>
        <v>1413.9770434</v>
      </c>
      <c r="R83" s="46">
        <f t="shared" si="112"/>
        <v>1429.9509834</v>
      </c>
      <c r="S83" s="46">
        <f t="shared" si="113"/>
        <v>1398.0032834000001</v>
      </c>
      <c r="T83" s="19">
        <f>M83-1.0078246+0.00055</f>
        <v>1389.9805488</v>
      </c>
      <c r="U83" s="19">
        <f t="shared" si="115"/>
        <v>1435.9860434</v>
      </c>
      <c r="V83" s="19">
        <f t="shared" si="116"/>
        <v>1450.0016934</v>
      </c>
      <c r="W83" s="46">
        <f t="shared" si="87"/>
        <v>694.48663709999994</v>
      </c>
      <c r="Y83" s="46">
        <f t="shared" si="149"/>
        <v>713.5277317</v>
      </c>
      <c r="Z83" s="46">
        <f t="shared" si="150"/>
        <v>718.48313170000006</v>
      </c>
      <c r="AA83" s="46">
        <f t="shared" si="151"/>
        <v>734.45707170000003</v>
      </c>
      <c r="AB83" s="46">
        <f t="shared" si="152"/>
        <v>707.49215900000002</v>
      </c>
      <c r="AC83" s="46">
        <f t="shared" si="148"/>
        <v>715.47912900000006</v>
      </c>
    </row>
    <row r="84" spans="1:29" x14ac:dyDescent="0.25">
      <c r="A84" s="20" t="s">
        <v>185</v>
      </c>
      <c r="B84" s="17" t="str">
        <f>IF(ISNUMBER(SEARCH("[",A84)),IF(ISNUMBER(SEARCH("/",A84)),CONCATENATE(MID(A84,1,2)," ",(SUM(MID(A84,FIND("[",A84)+1,FIND(":",A84)-FIND("[",A84)-1),MID(A84,FIND("/",A84)+1,FIND(":",A84,FIND("/",A84))-FIND("/",A84)-1),MID(A84,FIND("[",A84,FIND("[",A84)+1)+1,(FIND(":",A84,FIND("[",A84))-FIND("[",A84)-1)),MID(A84,FIND("/",A84,FIND("/",A84)+1)+1,FIND(":",A84,FIND("/",A84,FIND("[",A84,FIND("[",A84)+1)+1))-FIND("/",A84,FIND("[",A84,FIND("[",A84)+1)+1)-1))),":",SUM(MID(A84,FIND(":",A84)+1,FIND("/",A84)-FIND(":",A84)-1),MID(A84,FIND(":",A84,FIND("/",A84))+1,FIND("]",A84)-FIND(":",A84,FIND("/",A84))-1),MID(A84,FIND(":",A84,FIND("[",A84,FIND("[",A84)+1))+1,(FIND("/",A84,FIND("[",A84,FIND("[",A84)+1)+1)-FIND(":",A84,FIND("[",A84,FIND("[",A84)+1))-1)),MID(A84,FIND(":",A84,FIND("/",A84,FIND("]",A84)+1))+1,(FIND("]",A84,FIND("[",A84,FIND("[",A84)+1)+1)-FIND(":",A84,FIND("/",A84,FIND("]",A84)+1))-1))),MID(A84,(FIND(")",A84)+1),100)),CONCATENATE(MID(A84,1,2)," ",(SUM(MID(A84,FIND("[",A84)+1,FIND(":",A84)-FIND("[",A84)-1),MID(A84,FIND("_",A84)+1,FIND(":",A84,FIND("_",A84))-FIND("_",A84)-1),MID(A84,FIND("[",A84,FIND("[",A84)+1)+1,(FIND(":",A84,FIND("[",A84))-FIND("[",A84)-1)),MID(A84,FIND("_",A84,FIND("_",A84)+1)+1,FIND(":",A84,FIND("_",A84,FIND("[",A84,FIND("[",A84)+1)+1))-FIND("_",A84,FIND("[",A84,FIND("[",A84)+1)+1)-1))),":",SUM(MID(A84,FIND(":",A84)+1,FIND("_",A84)-FIND(":",A84)-1),MID(A84,FIND(":",A84,FIND("_",A84))+1,FIND("]",A84)-FIND(":",A84,FIND("_",A84))-1),MID(A84,FIND(":",A84,FIND("[",A84,FIND("[",A84)+1))+1,(FIND("_",A84,FIND("[",A84,FIND("[",A84)+1)+1)-FIND(":",A84,FIND("[",A84,FIND("[",A84)+1))-1)),MID(A84,FIND(":",A84,FIND("_",A84,FIND("]",A84)+1))+1,(FIND("]",A84,FIND("[",A84,FIND("[",A84)+1)+1)-FIND(":",A84,FIND("_",A84,FIND("]",A84)+1))-1))),MID(A84,(FIND(")",A84)+1),100))),A84)</f>
        <v>CL 67:1</v>
      </c>
      <c r="C84" s="1" t="str">
        <f>MID(B84,4,FIND(":",B84)-FIND(" ",B84)-1)</f>
        <v>67</v>
      </c>
      <c r="D84" s="1" t="str">
        <f>IF(ISNUMBER(SEARCH("__",B84)),MID(B84,FIND(":",B84)+1,FIND("__",B84)-FIND(":",B84)-1),MID(B84,FIND(":",B84)+1,7))</f>
        <v>1</v>
      </c>
      <c r="E84" s="17">
        <f t="shared" si="103"/>
        <v>76</v>
      </c>
      <c r="F84" s="17">
        <f t="shared" si="104"/>
        <v>146</v>
      </c>
      <c r="G84" s="17">
        <v>0</v>
      </c>
      <c r="H84" s="17">
        <f t="shared" si="105"/>
        <v>17</v>
      </c>
      <c r="I84" s="17">
        <v>2</v>
      </c>
      <c r="L84" s="19" t="str">
        <f t="shared" si="106"/>
        <v>C76H146O17P2</v>
      </c>
      <c r="M84" s="19">
        <f t="shared" si="107"/>
        <v>1393.0034725999999</v>
      </c>
      <c r="N84" s="19">
        <f t="shared" si="108"/>
        <v>1394.0107472</v>
      </c>
      <c r="O84" s="46">
        <f t="shared" si="109"/>
        <v>1375.9996272000001</v>
      </c>
      <c r="P84" s="46">
        <f t="shared" si="110"/>
        <v>1411.0372926</v>
      </c>
      <c r="Q84" s="46">
        <f t="shared" si="111"/>
        <v>1415.9926925999998</v>
      </c>
      <c r="R84" s="46">
        <f t="shared" si="112"/>
        <v>1431.9666325999999</v>
      </c>
      <c r="S84" s="46">
        <f t="shared" si="113"/>
        <v>1400.0189326</v>
      </c>
      <c r="T84" s="19">
        <f t="shared" si="114"/>
        <v>1391.9961979999998</v>
      </c>
      <c r="U84" s="19">
        <f t="shared" si="115"/>
        <v>1438.0016925999998</v>
      </c>
      <c r="V84" s="19">
        <f t="shared" si="116"/>
        <v>1452.0173425999999</v>
      </c>
      <c r="W84" s="46">
        <f t="shared" si="87"/>
        <v>695.49446169999987</v>
      </c>
      <c r="Y84" s="46">
        <f t="shared" si="149"/>
        <v>714.53555629999994</v>
      </c>
      <c r="Z84" s="46">
        <f t="shared" si="150"/>
        <v>719.49095629999999</v>
      </c>
      <c r="AA84" s="46">
        <f t="shared" si="151"/>
        <v>735.46489629999996</v>
      </c>
      <c r="AB84" s="46">
        <f t="shared" si="152"/>
        <v>708.49998359999995</v>
      </c>
      <c r="AC84" s="46">
        <f t="shared" si="148"/>
        <v>716.48695359999999</v>
      </c>
    </row>
    <row r="85" spans="1:29" x14ac:dyDescent="0.25">
      <c r="A85" s="20" t="s">
        <v>175</v>
      </c>
      <c r="B85" s="17" t="str">
        <f t="shared" si="100"/>
        <v>CL 67:0</v>
      </c>
      <c r="C85" s="1" t="str">
        <f t="shared" si="101"/>
        <v>67</v>
      </c>
      <c r="D85" s="1" t="str">
        <f t="shared" si="102"/>
        <v>0</v>
      </c>
      <c r="E85" s="17">
        <f t="shared" si="103"/>
        <v>76</v>
      </c>
      <c r="F85" s="17">
        <f t="shared" si="104"/>
        <v>148</v>
      </c>
      <c r="G85" s="17">
        <v>0</v>
      </c>
      <c r="H85" s="17">
        <f t="shared" si="105"/>
        <v>17</v>
      </c>
      <c r="I85" s="17">
        <v>2</v>
      </c>
      <c r="L85" s="19" t="str">
        <f t="shared" si="106"/>
        <v>C76H148O17P2</v>
      </c>
      <c r="M85" s="19">
        <f t="shared" si="107"/>
        <v>1395.0191218</v>
      </c>
      <c r="N85" s="19">
        <f t="shared" si="108"/>
        <v>1396.0263964000001</v>
      </c>
      <c r="O85" s="46">
        <f t="shared" si="109"/>
        <v>1378.0152764000002</v>
      </c>
      <c r="P85" s="46">
        <f t="shared" si="110"/>
        <v>1413.0529418000001</v>
      </c>
      <c r="Q85" s="46">
        <f t="shared" si="111"/>
        <v>1418.0083417999999</v>
      </c>
      <c r="R85" s="46">
        <f t="shared" si="112"/>
        <v>1433.9822818</v>
      </c>
      <c r="S85" s="46">
        <f t="shared" si="113"/>
        <v>1402.0345818000001</v>
      </c>
      <c r="T85" s="19">
        <f t="shared" si="114"/>
        <v>1394.0118471999999</v>
      </c>
      <c r="U85" s="19">
        <f t="shared" si="115"/>
        <v>1440.0173417999999</v>
      </c>
      <c r="V85" s="19">
        <f t="shared" si="116"/>
        <v>1454.0329918</v>
      </c>
      <c r="W85" s="46">
        <f t="shared" si="87"/>
        <v>696.50228629999992</v>
      </c>
      <c r="Y85" s="46">
        <f t="shared" si="149"/>
        <v>715.54338089999999</v>
      </c>
      <c r="Z85" s="46">
        <f t="shared" si="150"/>
        <v>720.49878090000004</v>
      </c>
      <c r="AA85" s="46">
        <f t="shared" si="151"/>
        <v>736.47272090000001</v>
      </c>
      <c r="AB85" s="46">
        <f t="shared" si="152"/>
        <v>709.5078082</v>
      </c>
      <c r="AC85" s="46">
        <f t="shared" si="148"/>
        <v>717.49477820000004</v>
      </c>
    </row>
    <row r="86" spans="1:29" x14ac:dyDescent="0.25">
      <c r="A86" s="20" t="s">
        <v>258</v>
      </c>
      <c r="B86" s="17" t="str">
        <f t="shared" si="100"/>
        <v>CL 68:5</v>
      </c>
      <c r="C86" s="1" t="str">
        <f t="shared" si="101"/>
        <v>68</v>
      </c>
      <c r="D86" s="1" t="str">
        <f t="shared" si="102"/>
        <v>5</v>
      </c>
      <c r="E86" s="17">
        <f t="shared" si="103"/>
        <v>77</v>
      </c>
      <c r="F86" s="17">
        <f t="shared" si="104"/>
        <v>140</v>
      </c>
      <c r="G86" s="17">
        <v>0</v>
      </c>
      <c r="H86" s="17">
        <f t="shared" si="105"/>
        <v>17</v>
      </c>
      <c r="I86" s="17">
        <v>2</v>
      </c>
      <c r="L86" s="19" t="str">
        <f t="shared" si="106"/>
        <v>C77H140O17P2</v>
      </c>
      <c r="M86" s="19">
        <f t="shared" si="107"/>
        <v>1398.9565250000001</v>
      </c>
      <c r="N86" s="19">
        <f t="shared" si="108"/>
        <v>1399.9637996000001</v>
      </c>
      <c r="O86" s="46">
        <f t="shared" si="109"/>
        <v>1381.9526796000002</v>
      </c>
      <c r="P86" s="46">
        <f t="shared" si="110"/>
        <v>1416.9903450000002</v>
      </c>
      <c r="Q86" s="46">
        <f t="shared" si="111"/>
        <v>1421.945745</v>
      </c>
      <c r="R86" s="46">
        <f t="shared" si="112"/>
        <v>1437.9196850000001</v>
      </c>
      <c r="S86" s="46">
        <f t="shared" si="113"/>
        <v>1405.9719850000001</v>
      </c>
      <c r="T86" s="19">
        <f t="shared" si="114"/>
        <v>1397.9492504</v>
      </c>
      <c r="U86" s="19">
        <f t="shared" si="115"/>
        <v>1443.954745</v>
      </c>
      <c r="V86" s="19">
        <f t="shared" si="116"/>
        <v>1457.9703950000001</v>
      </c>
      <c r="W86" s="46">
        <f t="shared" si="87"/>
        <v>698.47098789999995</v>
      </c>
      <c r="Y86" s="46">
        <f t="shared" si="149"/>
        <v>717.51208250000002</v>
      </c>
      <c r="Z86" s="46">
        <f t="shared" si="150"/>
        <v>722.46748250000007</v>
      </c>
      <c r="AA86" s="46">
        <f t="shared" si="151"/>
        <v>738.44142250000004</v>
      </c>
      <c r="AB86" s="46">
        <f t="shared" si="152"/>
        <v>711.47650980000003</v>
      </c>
      <c r="AC86" s="46">
        <f t="shared" si="148"/>
        <v>719.46347980000007</v>
      </c>
    </row>
    <row r="87" spans="1:29" x14ac:dyDescent="0.25">
      <c r="A87" s="20" t="s">
        <v>257</v>
      </c>
      <c r="B87" s="17" t="str">
        <f t="shared" si="100"/>
        <v>CL 68:4</v>
      </c>
      <c r="C87" s="1" t="str">
        <f t="shared" si="101"/>
        <v>68</v>
      </c>
      <c r="D87" s="1" t="str">
        <f t="shared" si="102"/>
        <v>4</v>
      </c>
      <c r="E87" s="17">
        <f t="shared" si="103"/>
        <v>77</v>
      </c>
      <c r="F87" s="17">
        <f t="shared" si="104"/>
        <v>142</v>
      </c>
      <c r="G87" s="17">
        <v>0</v>
      </c>
      <c r="H87" s="17">
        <f t="shared" si="105"/>
        <v>17</v>
      </c>
      <c r="I87" s="17">
        <v>2</v>
      </c>
      <c r="L87" s="19" t="str">
        <f t="shared" si="106"/>
        <v>C77H142O17P2</v>
      </c>
      <c r="M87" s="19">
        <f t="shared" si="107"/>
        <v>1400.9721741999999</v>
      </c>
      <c r="N87" s="19">
        <f t="shared" si="108"/>
        <v>1401.9794488</v>
      </c>
      <c r="O87" s="46">
        <f t="shared" si="109"/>
        <v>1383.9683288000001</v>
      </c>
      <c r="P87" s="46">
        <f t="shared" si="110"/>
        <v>1419.0059942</v>
      </c>
      <c r="Q87" s="46">
        <f t="shared" si="111"/>
        <v>1423.9613941999999</v>
      </c>
      <c r="R87" s="46">
        <f t="shared" si="112"/>
        <v>1439.9353341999999</v>
      </c>
      <c r="S87" s="46">
        <f t="shared" si="113"/>
        <v>1407.9876342</v>
      </c>
      <c r="T87" s="19">
        <f t="shared" si="114"/>
        <v>1399.9648995999999</v>
      </c>
      <c r="U87" s="19">
        <f t="shared" si="115"/>
        <v>1445.9703941999999</v>
      </c>
      <c r="V87" s="19">
        <f t="shared" si="116"/>
        <v>1459.9860441999999</v>
      </c>
      <c r="W87" s="46">
        <f t="shared" si="87"/>
        <v>699.47881249999989</v>
      </c>
      <c r="Y87" s="46">
        <f t="shared" si="149"/>
        <v>718.51990709999995</v>
      </c>
      <c r="Z87" s="46">
        <f t="shared" si="150"/>
        <v>723.47530710000001</v>
      </c>
      <c r="AA87" s="46">
        <f t="shared" si="151"/>
        <v>739.44924709999998</v>
      </c>
      <c r="AB87" s="46">
        <f t="shared" si="152"/>
        <v>712.48433439999997</v>
      </c>
      <c r="AC87" s="46">
        <f t="shared" si="148"/>
        <v>720.47130440000001</v>
      </c>
    </row>
    <row r="88" spans="1:29" x14ac:dyDescent="0.25">
      <c r="A88" s="20" t="s">
        <v>238</v>
      </c>
      <c r="B88" s="17" t="str">
        <f t="shared" si="100"/>
        <v>CL 68:3</v>
      </c>
      <c r="C88" s="1" t="str">
        <f t="shared" si="101"/>
        <v>68</v>
      </c>
      <c r="D88" s="1" t="str">
        <f t="shared" si="102"/>
        <v>3</v>
      </c>
      <c r="E88" s="17">
        <f t="shared" si="103"/>
        <v>77</v>
      </c>
      <c r="F88" s="17">
        <f t="shared" si="104"/>
        <v>144</v>
      </c>
      <c r="G88" s="17">
        <v>0</v>
      </c>
      <c r="H88" s="17">
        <f t="shared" si="105"/>
        <v>17</v>
      </c>
      <c r="I88" s="17">
        <v>2</v>
      </c>
      <c r="L88" s="19" t="str">
        <f t="shared" si="106"/>
        <v>C77H144O17P2</v>
      </c>
      <c r="M88" s="19">
        <f t="shared" si="107"/>
        <v>1402.9878234</v>
      </c>
      <c r="N88" s="19">
        <f t="shared" si="108"/>
        <v>1403.9950980000001</v>
      </c>
      <c r="O88" s="46">
        <f t="shared" si="109"/>
        <v>1385.9839780000002</v>
      </c>
      <c r="P88" s="46">
        <f t="shared" si="110"/>
        <v>1421.0216434000001</v>
      </c>
      <c r="Q88" s="46">
        <f t="shared" si="111"/>
        <v>1425.9770434</v>
      </c>
      <c r="R88" s="46">
        <f t="shared" si="112"/>
        <v>1441.9509834</v>
      </c>
      <c r="S88" s="46">
        <f t="shared" si="113"/>
        <v>1410.0032834000001</v>
      </c>
      <c r="T88" s="19">
        <f t="shared" si="114"/>
        <v>1401.9805488</v>
      </c>
      <c r="U88" s="19">
        <f t="shared" si="115"/>
        <v>1447.9860434</v>
      </c>
      <c r="V88" s="19">
        <f t="shared" si="116"/>
        <v>1462.0016934</v>
      </c>
      <c r="W88" s="46">
        <f t="shared" si="87"/>
        <v>700.48663709999994</v>
      </c>
      <c r="Y88" s="46">
        <f t="shared" si="149"/>
        <v>719.5277317</v>
      </c>
      <c r="Z88" s="46">
        <f t="shared" si="150"/>
        <v>724.48313170000006</v>
      </c>
      <c r="AA88" s="46">
        <f t="shared" si="151"/>
        <v>740.45707170000003</v>
      </c>
      <c r="AB88" s="46">
        <f t="shared" si="152"/>
        <v>713.49215900000002</v>
      </c>
      <c r="AC88" s="46">
        <f t="shared" si="148"/>
        <v>721.47912900000006</v>
      </c>
    </row>
    <row r="89" spans="1:29" x14ac:dyDescent="0.25">
      <c r="A89" s="20" t="s">
        <v>115</v>
      </c>
      <c r="B89" s="17" t="str">
        <f>IF(ISNUMBER(SEARCH("[",A89)),IF(ISNUMBER(SEARCH("/",A89)),CONCATENATE(MID(A89,1,2)," ",(SUM(MID(A89,FIND("[",A89)+1,FIND(":",A89)-FIND("[",A89)-1),MID(A89,FIND("/",A89)+1,FIND(":",A89,FIND("/",A89))-FIND("/",A89)-1),MID(A89,FIND("[",A89,FIND("[",A89)+1)+1,(FIND(":",A89,FIND("[",A89))-FIND("[",A89)-1)),MID(A89,FIND("/",A89,FIND("/",A89)+1)+1,FIND(":",A89,FIND("/",A89,FIND("[",A89,FIND("[",A89)+1)+1))-FIND("/",A89,FIND("[",A89,FIND("[",A89)+1)+1)-1))),":",SUM(MID(A89,FIND(":",A89)+1,FIND("/",A89)-FIND(":",A89)-1),MID(A89,FIND(":",A89,FIND("/",A89))+1,FIND("]",A89)-FIND(":",A89,FIND("/",A89))-1),MID(A89,FIND(":",A89,FIND("[",A89,FIND("[",A89)+1))+1,(FIND("/",A89,FIND("[",A89,FIND("[",A89)+1)+1)-FIND(":",A89,FIND("[",A89,FIND("[",A89)+1))-1)),MID(A89,FIND(":",A89,FIND("/",A89,FIND("]",A89)+1))+1,(FIND("]",A89,FIND("[",A89,FIND("[",A89)+1)+1)-FIND(":",A89,FIND("/",A89,FIND("]",A89)+1))-1))),MID(A89,(FIND(")",A89)+1),100)),CONCATENATE(MID(A89,1,2)," ",(SUM(MID(A89,FIND("[",A89)+1,FIND(":",A89)-FIND("[",A89)-1),MID(A89,FIND("_",A89)+1,FIND(":",A89,FIND("_",A89))-FIND("_",A89)-1),MID(A89,FIND("[",A89,FIND("[",A89)+1)+1,(FIND(":",A89,FIND("[",A89))-FIND("[",A89)-1)),MID(A89,FIND("_",A89,FIND("_",A89)+1)+1,FIND(":",A89,FIND("_",A89,FIND("[",A89,FIND("[",A89)+1)+1))-FIND("_",A89,FIND("[",A89,FIND("[",A89)+1)+1)-1))),":",SUM(MID(A89,FIND(":",A89)+1,FIND("_",A89)-FIND(":",A89)-1),MID(A89,FIND(":",A89,FIND("_",A89))+1,FIND("]",A89)-FIND(":",A89,FIND("_",A89))-1),MID(A89,FIND(":",A89,FIND("[",A89,FIND("[",A89)+1))+1,(FIND("_",A89,FIND("[",A89,FIND("[",A89)+1)+1)-FIND(":",A89,FIND("[",A89,FIND("[",A89)+1))-1)),MID(A89,FIND(":",A89,FIND("_",A89,FIND("]",A89)+1))+1,(FIND("]",A89,FIND("[",A89,FIND("[",A89)+1)+1)-FIND(":",A89,FIND("_",A89,FIND("]",A89)+1))-1))),MID(A89,(FIND(")",A89)+1),100))),A89)</f>
        <v>CL 68:2</v>
      </c>
      <c r="C89" s="1" t="str">
        <f>MID(B89,4,FIND(":",B89)-FIND(" ",B89)-1)</f>
        <v>68</v>
      </c>
      <c r="D89" s="1" t="str">
        <f>IF(ISNUMBER(SEARCH("__",B89)),MID(B89,FIND(":",B89)+1,FIND("__",B89)-FIND(":",B89)-1),MID(B89,FIND(":",B89)+1,7))</f>
        <v>2</v>
      </c>
      <c r="E89" s="17">
        <f t="shared" si="103"/>
        <v>77</v>
      </c>
      <c r="F89" s="17">
        <f t="shared" si="104"/>
        <v>146</v>
      </c>
      <c r="G89" s="17">
        <v>0</v>
      </c>
      <c r="H89" s="17">
        <f t="shared" si="105"/>
        <v>17</v>
      </c>
      <c r="I89" s="17">
        <v>2</v>
      </c>
      <c r="L89" s="19" t="str">
        <f t="shared" si="106"/>
        <v>C77H146O17P2</v>
      </c>
      <c r="M89" s="19">
        <f t="shared" si="107"/>
        <v>1405.0034725999999</v>
      </c>
      <c r="N89" s="19">
        <f t="shared" si="108"/>
        <v>1406.0107472</v>
      </c>
      <c r="O89" s="46">
        <f t="shared" si="109"/>
        <v>1387.9996272000001</v>
      </c>
      <c r="P89" s="46">
        <f t="shared" si="110"/>
        <v>1423.0372926</v>
      </c>
      <c r="Q89" s="46">
        <f t="shared" si="111"/>
        <v>1427.9926925999998</v>
      </c>
      <c r="R89" s="46">
        <f t="shared" si="112"/>
        <v>1443.9666325999999</v>
      </c>
      <c r="S89" s="46">
        <f t="shared" si="113"/>
        <v>1412.0189326</v>
      </c>
      <c r="T89" s="19">
        <f t="shared" si="114"/>
        <v>1403.9961979999998</v>
      </c>
      <c r="U89" s="19">
        <f t="shared" si="115"/>
        <v>1450.0016925999998</v>
      </c>
      <c r="V89" s="19">
        <f t="shared" si="116"/>
        <v>1464.0173425999999</v>
      </c>
      <c r="W89" s="46">
        <f t="shared" si="87"/>
        <v>701.49446169999987</v>
      </c>
      <c r="Y89" s="46">
        <f t="shared" si="149"/>
        <v>720.53555629999994</v>
      </c>
      <c r="Z89" s="46">
        <f t="shared" si="150"/>
        <v>725.49095629999999</v>
      </c>
      <c r="AA89" s="46">
        <f t="shared" si="151"/>
        <v>741.46489629999996</v>
      </c>
      <c r="AB89" s="46">
        <f t="shared" si="152"/>
        <v>714.49998359999995</v>
      </c>
      <c r="AC89" s="46">
        <f t="shared" si="148"/>
        <v>722.48695359999999</v>
      </c>
    </row>
    <row r="90" spans="1:29" x14ac:dyDescent="0.25">
      <c r="A90" s="20" t="s">
        <v>203</v>
      </c>
      <c r="B90" s="17" t="str">
        <f>IF(ISNUMBER(SEARCH("[",A90)),IF(ISNUMBER(SEARCH("/",A90)),CONCATENATE(MID(A90,1,2)," ",(SUM(MID(A90,FIND("[",A90)+1,FIND(":",A90)-FIND("[",A90)-1),MID(A90,FIND("/",A90)+1,FIND(":",A90,FIND("/",A90))-FIND("/",A90)-1),MID(A90,FIND("[",A90,FIND("[",A90)+1)+1,(FIND(":",A90,FIND("[",A90))-FIND("[",A90)-1)),MID(A90,FIND("/",A90,FIND("/",A90)+1)+1,FIND(":",A90,FIND("/",A90,FIND("[",A90,FIND("[",A90)+1)+1))-FIND("/",A90,FIND("[",A90,FIND("[",A90)+1)+1)-1))),":",SUM(MID(A90,FIND(":",A90)+1,FIND("/",A90)-FIND(":",A90)-1),MID(A90,FIND(":",A90,FIND("/",A90))+1,FIND("]",A90)-FIND(":",A90,FIND("/",A90))-1),MID(A90,FIND(":",A90,FIND("[",A90,FIND("[",A90)+1))+1,(FIND("/",A90,FIND("[",A90,FIND("[",A90)+1)+1)-FIND(":",A90,FIND("[",A90,FIND("[",A90)+1))-1)),MID(A90,FIND(":",A90,FIND("/",A90,FIND("]",A90)+1))+1,(FIND("]",A90,FIND("[",A90,FIND("[",A90)+1)+1)-FIND(":",A90,FIND("/",A90,FIND("]",A90)+1))-1))),MID(A90,(FIND(")",A90)+1),100)),CONCATENATE(MID(A90,1,2)," ",(SUM(MID(A90,FIND("[",A90)+1,FIND(":",A90)-FIND("[",A90)-1),MID(A90,FIND("_",A90)+1,FIND(":",A90,FIND("_",A90))-FIND("_",A90)-1),MID(A90,FIND("[",A90,FIND("[",A90)+1)+1,(FIND(":",A90,FIND("[",A90))-FIND("[",A90)-1)),MID(A90,FIND("_",A90,FIND("_",A90)+1)+1,FIND(":",A90,FIND("_",A90,FIND("[",A90,FIND("[",A90)+1)+1))-FIND("_",A90,FIND("[",A90,FIND("[",A90)+1)+1)-1))),":",SUM(MID(A90,FIND(":",A90)+1,FIND("_",A90)-FIND(":",A90)-1),MID(A90,FIND(":",A90,FIND("_",A90))+1,FIND("]",A90)-FIND(":",A90,FIND("_",A90))-1),MID(A90,FIND(":",A90,FIND("[",A90,FIND("[",A90)+1))+1,(FIND("_",A90,FIND("[",A90,FIND("[",A90)+1)+1)-FIND(":",A90,FIND("[",A90,FIND("[",A90)+1))-1)),MID(A90,FIND(":",A90,FIND("_",A90,FIND("]",A90)+1))+1,(FIND("]",A90,FIND("[",A90,FIND("[",A90)+1)+1)-FIND(":",A90,FIND("_",A90,FIND("]",A90)+1))-1))),MID(A90,(FIND(")",A90)+1),100))),A90)</f>
        <v>CL 68:1</v>
      </c>
      <c r="C90" s="1" t="str">
        <f>MID(B90,4,FIND(":",B90)-FIND(" ",B90)-1)</f>
        <v>68</v>
      </c>
      <c r="D90" s="1" t="str">
        <f>IF(ISNUMBER(SEARCH("__",B90)),MID(B90,FIND(":",B90)+1,FIND("__",B90)-FIND(":",B90)-1),MID(B90,FIND(":",B90)+1,7))</f>
        <v>1</v>
      </c>
      <c r="E90" s="17">
        <f t="shared" si="103"/>
        <v>77</v>
      </c>
      <c r="F90" s="17">
        <f t="shared" si="104"/>
        <v>148</v>
      </c>
      <c r="G90" s="17">
        <v>0</v>
      </c>
      <c r="H90" s="17">
        <f t="shared" si="105"/>
        <v>17</v>
      </c>
      <c r="I90" s="17">
        <v>2</v>
      </c>
      <c r="L90" s="19" t="str">
        <f t="shared" si="106"/>
        <v>C77H148O17P2</v>
      </c>
      <c r="M90" s="19">
        <f t="shared" si="107"/>
        <v>1407.0191218</v>
      </c>
      <c r="N90" s="19">
        <f t="shared" si="108"/>
        <v>1408.0263964000001</v>
      </c>
      <c r="O90" s="46">
        <f t="shared" si="109"/>
        <v>1390.0152764000002</v>
      </c>
      <c r="P90" s="46">
        <f t="shared" si="110"/>
        <v>1425.0529418000001</v>
      </c>
      <c r="Q90" s="46">
        <f t="shared" si="111"/>
        <v>1430.0083417999999</v>
      </c>
      <c r="R90" s="46">
        <f t="shared" si="112"/>
        <v>1445.9822818</v>
      </c>
      <c r="S90" s="46">
        <f t="shared" si="113"/>
        <v>1414.0345818000001</v>
      </c>
      <c r="T90" s="19">
        <f t="shared" si="114"/>
        <v>1406.0118471999999</v>
      </c>
      <c r="U90" s="19">
        <f t="shared" si="115"/>
        <v>1452.0173417999999</v>
      </c>
      <c r="V90" s="19">
        <f t="shared" si="116"/>
        <v>1466.0329918</v>
      </c>
      <c r="W90" s="46">
        <f t="shared" si="87"/>
        <v>702.50228629999992</v>
      </c>
      <c r="Y90" s="46">
        <f t="shared" si="149"/>
        <v>721.54338089999999</v>
      </c>
      <c r="Z90" s="46">
        <f t="shared" si="150"/>
        <v>726.49878090000004</v>
      </c>
      <c r="AA90" s="46">
        <f t="shared" si="151"/>
        <v>742.47272090000001</v>
      </c>
      <c r="AB90" s="46">
        <f t="shared" si="152"/>
        <v>715.5078082</v>
      </c>
      <c r="AC90" s="46">
        <f>($M90+1.0078246+38.96371-(2*0.00055))/2</f>
        <v>723.49477820000004</v>
      </c>
    </row>
    <row r="91" spans="1:29" x14ac:dyDescent="0.25">
      <c r="A91" s="20" t="s">
        <v>176</v>
      </c>
      <c r="B91" s="17" t="str">
        <f t="shared" si="100"/>
        <v>CL 68:0</v>
      </c>
      <c r="C91" s="1" t="str">
        <f t="shared" si="101"/>
        <v>68</v>
      </c>
      <c r="D91" s="1" t="str">
        <f t="shared" si="102"/>
        <v>0</v>
      </c>
      <c r="E91" s="17">
        <f t="shared" si="103"/>
        <v>77</v>
      </c>
      <c r="F91" s="17">
        <f t="shared" si="104"/>
        <v>150</v>
      </c>
      <c r="G91" s="17">
        <v>0</v>
      </c>
      <c r="H91" s="17">
        <f t="shared" si="105"/>
        <v>17</v>
      </c>
      <c r="I91" s="17">
        <v>2</v>
      </c>
      <c r="L91" s="19" t="str">
        <f t="shared" si="106"/>
        <v>C77H150O17P2</v>
      </c>
      <c r="M91" s="19">
        <f t="shared" si="107"/>
        <v>1409.0347710000001</v>
      </c>
      <c r="N91" s="19">
        <f t="shared" si="108"/>
        <v>1410.0420456000002</v>
      </c>
      <c r="O91" s="46">
        <f t="shared" si="109"/>
        <v>1392.0309256000003</v>
      </c>
      <c r="P91" s="46">
        <f t="shared" si="110"/>
        <v>1427.0685910000002</v>
      </c>
      <c r="Q91" s="46">
        <f t="shared" si="111"/>
        <v>1432.023991</v>
      </c>
      <c r="R91" s="46">
        <f t="shared" si="112"/>
        <v>1447.9979310000001</v>
      </c>
      <c r="S91" s="46">
        <f t="shared" si="113"/>
        <v>1416.0502310000002</v>
      </c>
      <c r="T91" s="19">
        <f t="shared" si="114"/>
        <v>1408.0274964</v>
      </c>
      <c r="U91" s="19">
        <f t="shared" si="115"/>
        <v>1454.032991</v>
      </c>
      <c r="V91" s="19">
        <f t="shared" si="116"/>
        <v>1468.0486410000001</v>
      </c>
      <c r="W91" s="46">
        <f t="shared" si="87"/>
        <v>703.51011089999997</v>
      </c>
      <c r="Y91" s="46">
        <f t="shared" si="149"/>
        <v>722.55120550000004</v>
      </c>
      <c r="Z91" s="46">
        <f t="shared" si="150"/>
        <v>727.50660550000009</v>
      </c>
      <c r="AA91" s="46">
        <f t="shared" si="151"/>
        <v>743.48054550000006</v>
      </c>
      <c r="AB91" s="46">
        <f t="shared" si="152"/>
        <v>716.51563280000005</v>
      </c>
      <c r="AC91" s="46">
        <f t="shared" ref="AC91:AC121" si="153">($M91+1.0078246+38.96371-(2*0.00055))/2</f>
        <v>724.50260280000009</v>
      </c>
    </row>
    <row r="92" spans="1:29" x14ac:dyDescent="0.25">
      <c r="A92" s="20" t="s">
        <v>642</v>
      </c>
      <c r="B92" s="17" t="str">
        <f t="shared" si="100"/>
        <v>CL 69:6</v>
      </c>
      <c r="C92" s="1" t="str">
        <f t="shared" si="101"/>
        <v>69</v>
      </c>
      <c r="D92" s="1" t="str">
        <f t="shared" si="102"/>
        <v>6</v>
      </c>
      <c r="E92" s="17">
        <f t="shared" si="103"/>
        <v>78</v>
      </c>
      <c r="F92" s="17">
        <f t="shared" si="104"/>
        <v>140</v>
      </c>
      <c r="G92" s="17">
        <v>0</v>
      </c>
      <c r="H92" s="17">
        <f t="shared" si="105"/>
        <v>17</v>
      </c>
      <c r="I92" s="17">
        <v>2</v>
      </c>
      <c r="L92" s="19" t="str">
        <f t="shared" si="106"/>
        <v>C78H140O17P2</v>
      </c>
      <c r="M92" s="19">
        <f t="shared" si="107"/>
        <v>1410.9565250000001</v>
      </c>
      <c r="N92" s="19">
        <f t="shared" si="108"/>
        <v>1411.9637996000001</v>
      </c>
      <c r="O92" s="46">
        <f t="shared" si="109"/>
        <v>1393.9526796000002</v>
      </c>
      <c r="P92" s="46">
        <f t="shared" si="110"/>
        <v>1428.9903450000002</v>
      </c>
      <c r="Q92" s="46">
        <f t="shared" si="111"/>
        <v>1433.945745</v>
      </c>
      <c r="R92" s="46">
        <f t="shared" si="112"/>
        <v>1449.9196850000001</v>
      </c>
      <c r="S92" s="46">
        <f t="shared" si="113"/>
        <v>1417.9719850000001</v>
      </c>
      <c r="T92" s="19">
        <f t="shared" si="114"/>
        <v>1409.9492504</v>
      </c>
      <c r="U92" s="19">
        <f t="shared" si="115"/>
        <v>1455.954745</v>
      </c>
      <c r="V92" s="19">
        <f t="shared" si="116"/>
        <v>1469.9703950000001</v>
      </c>
      <c r="W92" s="46">
        <f t="shared" ref="W92" si="154">(T92-1.0078246+0.00055)/2</f>
        <v>704.47098789999995</v>
      </c>
      <c r="Y92" s="46">
        <f t="shared" si="149"/>
        <v>723.51208250000002</v>
      </c>
      <c r="Z92" s="46">
        <f t="shared" si="150"/>
        <v>728.46748250000007</v>
      </c>
      <c r="AA92" s="46">
        <f t="shared" si="151"/>
        <v>744.44142250000004</v>
      </c>
      <c r="AB92" s="46">
        <f t="shared" si="152"/>
        <v>717.47650980000003</v>
      </c>
      <c r="AC92" s="46">
        <f t="shared" si="153"/>
        <v>725.46347980000007</v>
      </c>
    </row>
    <row r="93" spans="1:29" x14ac:dyDescent="0.25">
      <c r="A93" s="20" t="s">
        <v>259</v>
      </c>
      <c r="B93" s="17" t="str">
        <f t="shared" si="100"/>
        <v>CL 69:5</v>
      </c>
      <c r="C93" s="1" t="str">
        <f t="shared" si="101"/>
        <v>69</v>
      </c>
      <c r="D93" s="1" t="str">
        <f t="shared" si="102"/>
        <v>5</v>
      </c>
      <c r="E93" s="17">
        <f t="shared" si="103"/>
        <v>78</v>
      </c>
      <c r="F93" s="17">
        <f t="shared" si="104"/>
        <v>142</v>
      </c>
      <c r="G93" s="17">
        <v>0</v>
      </c>
      <c r="H93" s="17">
        <f t="shared" si="105"/>
        <v>17</v>
      </c>
      <c r="I93" s="17">
        <v>2</v>
      </c>
      <c r="L93" s="19" t="str">
        <f t="shared" si="106"/>
        <v>C78H142O17P2</v>
      </c>
      <c r="M93" s="19">
        <f t="shared" si="107"/>
        <v>1412.9721741999999</v>
      </c>
      <c r="N93" s="19">
        <f t="shared" si="108"/>
        <v>1413.9794488</v>
      </c>
      <c r="O93" s="46">
        <f t="shared" si="109"/>
        <v>1395.9683288000001</v>
      </c>
      <c r="P93" s="46">
        <f t="shared" si="110"/>
        <v>1431.0059942</v>
      </c>
      <c r="Q93" s="46">
        <f t="shared" si="111"/>
        <v>1435.9613941999999</v>
      </c>
      <c r="R93" s="46">
        <f t="shared" si="112"/>
        <v>1451.9353341999999</v>
      </c>
      <c r="S93" s="46">
        <f t="shared" si="113"/>
        <v>1419.9876342</v>
      </c>
      <c r="T93" s="19">
        <f t="shared" si="114"/>
        <v>1411.9648995999999</v>
      </c>
      <c r="U93" s="19">
        <f t="shared" si="115"/>
        <v>1457.9703941999999</v>
      </c>
      <c r="V93" s="19">
        <f t="shared" si="116"/>
        <v>1471.9860441999999</v>
      </c>
      <c r="W93" s="46">
        <f t="shared" si="87"/>
        <v>705.47881249999989</v>
      </c>
      <c r="Y93" s="46">
        <f t="shared" si="149"/>
        <v>724.51990709999995</v>
      </c>
      <c r="Z93" s="46">
        <f t="shared" si="150"/>
        <v>729.47530710000001</v>
      </c>
      <c r="AA93" s="46">
        <f t="shared" si="151"/>
        <v>745.44924709999998</v>
      </c>
      <c r="AB93" s="46">
        <f t="shared" si="152"/>
        <v>718.48433439999997</v>
      </c>
      <c r="AC93" s="46">
        <f t="shared" si="153"/>
        <v>726.47130440000001</v>
      </c>
    </row>
    <row r="94" spans="1:29" x14ac:dyDescent="0.25">
      <c r="A94" s="20" t="s">
        <v>245</v>
      </c>
      <c r="B94" s="17" t="str">
        <f t="shared" si="100"/>
        <v>CL 69:4</v>
      </c>
      <c r="C94" s="1" t="str">
        <f t="shared" si="101"/>
        <v>69</v>
      </c>
      <c r="D94" s="1" t="str">
        <f t="shared" si="102"/>
        <v>4</v>
      </c>
      <c r="E94" s="17">
        <f t="shared" si="103"/>
        <v>78</v>
      </c>
      <c r="F94" s="17">
        <f t="shared" si="104"/>
        <v>144</v>
      </c>
      <c r="G94" s="17">
        <v>0</v>
      </c>
      <c r="H94" s="17">
        <f t="shared" si="105"/>
        <v>17</v>
      </c>
      <c r="I94" s="17">
        <v>2</v>
      </c>
      <c r="L94" s="19" t="str">
        <f t="shared" si="106"/>
        <v>C78H144O17P2</v>
      </c>
      <c r="M94" s="19">
        <f t="shared" si="107"/>
        <v>1414.9878234</v>
      </c>
      <c r="N94" s="19">
        <f t="shared" si="108"/>
        <v>1415.9950980000001</v>
      </c>
      <c r="O94" s="46">
        <f t="shared" si="109"/>
        <v>1397.9839780000002</v>
      </c>
      <c r="P94" s="46">
        <f t="shared" si="110"/>
        <v>1433.0216434000001</v>
      </c>
      <c r="Q94" s="46">
        <f t="shared" si="111"/>
        <v>1437.9770434</v>
      </c>
      <c r="R94" s="46">
        <f t="shared" si="112"/>
        <v>1453.9509834</v>
      </c>
      <c r="S94" s="46">
        <f t="shared" si="113"/>
        <v>1422.0032834000001</v>
      </c>
      <c r="T94" s="19">
        <f t="shared" si="114"/>
        <v>1413.9805488</v>
      </c>
      <c r="U94" s="19">
        <f t="shared" si="115"/>
        <v>1459.9860434</v>
      </c>
      <c r="V94" s="19">
        <f t="shared" si="116"/>
        <v>1474.0016934</v>
      </c>
      <c r="W94" s="46">
        <f t="shared" si="87"/>
        <v>706.48663709999994</v>
      </c>
      <c r="Y94" s="46">
        <f t="shared" si="149"/>
        <v>725.5277317</v>
      </c>
      <c r="Z94" s="46">
        <f t="shared" si="150"/>
        <v>730.48313170000006</v>
      </c>
      <c r="AA94" s="46">
        <f t="shared" si="151"/>
        <v>746.45707170000003</v>
      </c>
      <c r="AB94" s="46">
        <f t="shared" si="152"/>
        <v>719.49215900000002</v>
      </c>
      <c r="AC94" s="46">
        <f t="shared" si="153"/>
        <v>727.47912900000006</v>
      </c>
    </row>
    <row r="95" spans="1:29" x14ac:dyDescent="0.25">
      <c r="A95" s="20" t="s">
        <v>239</v>
      </c>
      <c r="B95" s="17" t="str">
        <f t="shared" si="100"/>
        <v>CL 69:3</v>
      </c>
      <c r="C95" s="1" t="str">
        <f t="shared" si="101"/>
        <v>69</v>
      </c>
      <c r="D95" s="1" t="str">
        <f t="shared" si="102"/>
        <v>3</v>
      </c>
      <c r="E95" s="17">
        <f t="shared" si="103"/>
        <v>78</v>
      </c>
      <c r="F95" s="17">
        <f t="shared" si="104"/>
        <v>146</v>
      </c>
      <c r="G95" s="17">
        <v>0</v>
      </c>
      <c r="H95" s="17">
        <f t="shared" si="105"/>
        <v>17</v>
      </c>
      <c r="I95" s="17">
        <v>2</v>
      </c>
      <c r="L95" s="19" t="str">
        <f t="shared" si="106"/>
        <v>C78H146O17P2</v>
      </c>
      <c r="M95" s="19">
        <f t="shared" si="107"/>
        <v>1417.0034725999999</v>
      </c>
      <c r="N95" s="19">
        <f t="shared" si="108"/>
        <v>1418.0107472</v>
      </c>
      <c r="O95" s="46">
        <f t="shared" si="109"/>
        <v>1399.9996272000001</v>
      </c>
      <c r="P95" s="46">
        <f t="shared" si="110"/>
        <v>1435.0372926</v>
      </c>
      <c r="Q95" s="46">
        <f t="shared" si="111"/>
        <v>1439.9926925999998</v>
      </c>
      <c r="R95" s="46">
        <f t="shared" si="112"/>
        <v>1455.9666325999999</v>
      </c>
      <c r="S95" s="46">
        <f t="shared" si="113"/>
        <v>1424.0189326</v>
      </c>
      <c r="T95" s="19">
        <f t="shared" si="114"/>
        <v>1415.9961979999998</v>
      </c>
      <c r="U95" s="19">
        <f t="shared" si="115"/>
        <v>1462.0016925999998</v>
      </c>
      <c r="V95" s="19">
        <f t="shared" si="116"/>
        <v>1476.0173425999999</v>
      </c>
      <c r="W95" s="46">
        <f t="shared" si="87"/>
        <v>707.49446169999987</v>
      </c>
      <c r="Y95" s="46">
        <f t="shared" si="149"/>
        <v>726.53555629999994</v>
      </c>
      <c r="Z95" s="46">
        <f t="shared" si="150"/>
        <v>731.49095629999999</v>
      </c>
      <c r="AA95" s="46">
        <f t="shared" si="151"/>
        <v>747.46489629999996</v>
      </c>
      <c r="AB95" s="46">
        <f t="shared" si="152"/>
        <v>720.49998359999995</v>
      </c>
      <c r="AC95" s="46">
        <f t="shared" si="153"/>
        <v>728.48695359999999</v>
      </c>
    </row>
    <row r="96" spans="1:29" x14ac:dyDescent="0.25">
      <c r="A96" s="20" t="s">
        <v>218</v>
      </c>
      <c r="B96" s="17" t="str">
        <f>IF(ISNUMBER(SEARCH("[",A96)),IF(ISNUMBER(SEARCH("/",A96)),CONCATENATE(MID(A96,1,2)," ",(SUM(MID(A96,FIND("[",A96)+1,FIND(":",A96)-FIND("[",A96)-1),MID(A96,FIND("/",A96)+1,FIND(":",A96,FIND("/",A96))-FIND("/",A96)-1),MID(A96,FIND("[",A96,FIND("[",A96)+1)+1,(FIND(":",A96,FIND("[",A96))-FIND("[",A96)-1)),MID(A96,FIND("/",A96,FIND("/",A96)+1)+1,FIND(":",A96,FIND("/",A96,FIND("[",A96,FIND("[",A96)+1)+1))-FIND("/",A96,FIND("[",A96,FIND("[",A96)+1)+1)-1))),":",SUM(MID(A96,FIND(":",A96)+1,FIND("/",A96)-FIND(":",A96)-1),MID(A96,FIND(":",A96,FIND("/",A96))+1,FIND("]",A96)-FIND(":",A96,FIND("/",A96))-1),MID(A96,FIND(":",A96,FIND("[",A96,FIND("[",A96)+1))+1,(FIND("/",A96,FIND("[",A96,FIND("[",A96)+1)+1)-FIND(":",A96,FIND("[",A96,FIND("[",A96)+1))-1)),MID(A96,FIND(":",A96,FIND("/",A96,FIND("]",A96)+1))+1,(FIND("]",A96,FIND("[",A96,FIND("[",A96)+1)+1)-FIND(":",A96,FIND("/",A96,FIND("]",A96)+1))-1))),MID(A96,(FIND(")",A96)+1),100)),CONCATENATE(MID(A96,1,2)," ",(SUM(MID(A96,FIND("[",A96)+1,FIND(":",A96)-FIND("[",A96)-1),MID(A96,FIND("_",A96)+1,FIND(":",A96,FIND("_",A96))-FIND("_",A96)-1),MID(A96,FIND("[",A96,FIND("[",A96)+1)+1,(FIND(":",A96,FIND("[",A96))-FIND("[",A96)-1)),MID(A96,FIND("_",A96,FIND("_",A96)+1)+1,FIND(":",A96,FIND("_",A96,FIND("[",A96,FIND("[",A96)+1)+1))-FIND("_",A96,FIND("[",A96,FIND("[",A96)+1)+1)-1))),":",SUM(MID(A96,FIND(":",A96)+1,FIND("_",A96)-FIND(":",A96)-1),MID(A96,FIND(":",A96,FIND("_",A96))+1,FIND("]",A96)-FIND(":",A96,FIND("_",A96))-1),MID(A96,FIND(":",A96,FIND("[",A96,FIND("[",A96)+1))+1,(FIND("_",A96,FIND("[",A96,FIND("[",A96)+1)+1)-FIND(":",A96,FIND("[",A96,FIND("[",A96)+1))-1)),MID(A96,FIND(":",A96,FIND("_",A96,FIND("]",A96)+1))+1,(FIND("]",A96,FIND("[",A96,FIND("[",A96)+1)+1)-FIND(":",A96,FIND("_",A96,FIND("]",A96)+1))-1))),MID(A96,(FIND(")",A96)+1),100))),A96)</f>
        <v>CL 69:2</v>
      </c>
      <c r="C96" s="1" t="str">
        <f>MID(B96,4,FIND(":",B96)-FIND(" ",B96)-1)</f>
        <v>69</v>
      </c>
      <c r="D96" s="1" t="str">
        <f>IF(ISNUMBER(SEARCH("__",B96)),MID(B96,FIND(":",B96)+1,FIND("__",B96)-FIND(":",B96)-1),MID(B96,FIND(":",B96)+1,7))</f>
        <v>2</v>
      </c>
      <c r="E96" s="17">
        <f t="shared" si="103"/>
        <v>78</v>
      </c>
      <c r="F96" s="17">
        <f t="shared" si="104"/>
        <v>148</v>
      </c>
      <c r="G96" s="17">
        <v>0</v>
      </c>
      <c r="H96" s="17">
        <f t="shared" si="105"/>
        <v>17</v>
      </c>
      <c r="I96" s="17">
        <v>2</v>
      </c>
      <c r="L96" s="19" t="str">
        <f t="shared" si="106"/>
        <v>C78H148O17P2</v>
      </c>
      <c r="M96" s="19">
        <f t="shared" si="107"/>
        <v>1419.0191218</v>
      </c>
      <c r="N96" s="19">
        <f t="shared" si="108"/>
        <v>1420.0263964000001</v>
      </c>
      <c r="O96" s="46">
        <f t="shared" si="109"/>
        <v>1402.0152764000002</v>
      </c>
      <c r="P96" s="46">
        <f t="shared" si="110"/>
        <v>1437.0529418000001</v>
      </c>
      <c r="Q96" s="46">
        <f t="shared" si="111"/>
        <v>1442.0083417999999</v>
      </c>
      <c r="R96" s="46">
        <f t="shared" si="112"/>
        <v>1457.9822818</v>
      </c>
      <c r="S96" s="46">
        <f t="shared" si="113"/>
        <v>1426.0345818000001</v>
      </c>
      <c r="T96" s="19">
        <f t="shared" si="114"/>
        <v>1418.0118471999999</v>
      </c>
      <c r="U96" s="19">
        <f t="shared" si="115"/>
        <v>1464.0173417999999</v>
      </c>
      <c r="V96" s="19">
        <f t="shared" si="116"/>
        <v>1478.0329918</v>
      </c>
      <c r="W96" s="46">
        <f t="shared" si="87"/>
        <v>708.50228629999992</v>
      </c>
      <c r="Y96" s="46">
        <f t="shared" si="149"/>
        <v>727.54338089999999</v>
      </c>
      <c r="Z96" s="46">
        <f t="shared" si="150"/>
        <v>732.49878090000004</v>
      </c>
      <c r="AA96" s="46">
        <f t="shared" si="151"/>
        <v>748.47272090000001</v>
      </c>
      <c r="AB96" s="46">
        <f t="shared" si="152"/>
        <v>721.5078082</v>
      </c>
      <c r="AC96" s="46">
        <f t="shared" si="153"/>
        <v>729.49477820000004</v>
      </c>
    </row>
    <row r="97" spans="1:29" x14ac:dyDescent="0.25">
      <c r="A97" s="20" t="s">
        <v>204</v>
      </c>
      <c r="B97" s="17" t="str">
        <f>IF(ISNUMBER(SEARCH("[",A97)),IF(ISNUMBER(SEARCH("/",A97)),CONCATENATE(MID(A97,1,2)," ",(SUM(MID(A97,FIND("[",A97)+1,FIND(":",A97)-FIND("[",A97)-1),MID(A97,FIND("/",A97)+1,FIND(":",A97,FIND("/",A97))-FIND("/",A97)-1),MID(A97,FIND("[",A97,FIND("[",A97)+1)+1,(FIND(":",A97,FIND("[",A97))-FIND("[",A97)-1)),MID(A97,FIND("/",A97,FIND("/",A97)+1)+1,FIND(":",A97,FIND("/",A97,FIND("[",A97,FIND("[",A97)+1)+1))-FIND("/",A97,FIND("[",A97,FIND("[",A97)+1)+1)-1))),":",SUM(MID(A97,FIND(":",A97)+1,FIND("/",A97)-FIND(":",A97)-1),MID(A97,FIND(":",A97,FIND("/",A97))+1,FIND("]",A97)-FIND(":",A97,FIND("/",A97))-1),MID(A97,FIND(":",A97,FIND("[",A97,FIND("[",A97)+1))+1,(FIND("/",A97,FIND("[",A97,FIND("[",A97)+1)+1)-FIND(":",A97,FIND("[",A97,FIND("[",A97)+1))-1)),MID(A97,FIND(":",A97,FIND("/",A97,FIND("]",A97)+1))+1,(FIND("]",A97,FIND("[",A97,FIND("[",A97)+1)+1)-FIND(":",A97,FIND("/",A97,FIND("]",A97)+1))-1))),MID(A97,(FIND(")",A97)+1),100)),CONCATENATE(MID(A97,1,2)," ",(SUM(MID(A97,FIND("[",A97)+1,FIND(":",A97)-FIND("[",A97)-1),MID(A97,FIND("_",A97)+1,FIND(":",A97,FIND("_",A97))-FIND("_",A97)-1),MID(A97,FIND("[",A97,FIND("[",A97)+1)+1,(FIND(":",A97,FIND("[",A97))-FIND("[",A97)-1)),MID(A97,FIND("_",A97,FIND("_",A97)+1)+1,FIND(":",A97,FIND("_",A97,FIND("[",A97,FIND("[",A97)+1)+1))-FIND("_",A97,FIND("[",A97,FIND("[",A97)+1)+1)-1))),":",SUM(MID(A97,FIND(":",A97)+1,FIND("_",A97)-FIND(":",A97)-1),MID(A97,FIND(":",A97,FIND("_",A97))+1,FIND("]",A97)-FIND(":",A97,FIND("_",A97))-1),MID(A97,FIND(":",A97,FIND("[",A97,FIND("[",A97)+1))+1,(FIND("_",A97,FIND("[",A97,FIND("[",A97)+1)+1)-FIND(":",A97,FIND("[",A97,FIND("[",A97)+1))-1)),MID(A97,FIND(":",A97,FIND("_",A97,FIND("]",A97)+1))+1,(FIND("]",A97,FIND("[",A97,FIND("[",A97)+1)+1)-FIND(":",A97,FIND("_",A97,FIND("]",A97)+1))-1))),MID(A97,(FIND(")",A97)+1),100))),A97)</f>
        <v>CL 69:1</v>
      </c>
      <c r="C97" s="1" t="str">
        <f>MID(B97,4,FIND(":",B97)-FIND(" ",B97)-1)</f>
        <v>69</v>
      </c>
      <c r="D97" s="1" t="str">
        <f>IF(ISNUMBER(SEARCH("__",B97)),MID(B97,FIND(":",B97)+1,FIND("__",B97)-FIND(":",B97)-1),MID(B97,FIND(":",B97)+1,7))</f>
        <v>1</v>
      </c>
      <c r="E97" s="17">
        <f t="shared" si="103"/>
        <v>78</v>
      </c>
      <c r="F97" s="17">
        <f t="shared" si="104"/>
        <v>150</v>
      </c>
      <c r="G97" s="17">
        <v>0</v>
      </c>
      <c r="H97" s="17">
        <f t="shared" si="105"/>
        <v>17</v>
      </c>
      <c r="I97" s="17">
        <v>2</v>
      </c>
      <c r="L97" s="19" t="str">
        <f t="shared" si="106"/>
        <v>C78H150O17P2</v>
      </c>
      <c r="M97" s="19">
        <f t="shared" si="107"/>
        <v>1421.0347710000001</v>
      </c>
      <c r="N97" s="19">
        <f t="shared" si="108"/>
        <v>1422.0420456000002</v>
      </c>
      <c r="O97" s="46">
        <f t="shared" si="109"/>
        <v>1404.0309256000003</v>
      </c>
      <c r="P97" s="46">
        <f t="shared" si="110"/>
        <v>1439.0685910000002</v>
      </c>
      <c r="Q97" s="46">
        <f t="shared" si="111"/>
        <v>1444.023991</v>
      </c>
      <c r="R97" s="46">
        <f t="shared" si="112"/>
        <v>1459.9979310000001</v>
      </c>
      <c r="S97" s="46">
        <f t="shared" si="113"/>
        <v>1428.0502310000002</v>
      </c>
      <c r="T97" s="19">
        <f t="shared" si="114"/>
        <v>1420.0274964</v>
      </c>
      <c r="U97" s="19">
        <f t="shared" si="115"/>
        <v>1466.032991</v>
      </c>
      <c r="V97" s="19">
        <f t="shared" si="116"/>
        <v>1480.0486410000001</v>
      </c>
      <c r="W97" s="46">
        <f t="shared" si="87"/>
        <v>709.51011089999997</v>
      </c>
      <c r="Y97" s="46">
        <f t="shared" si="149"/>
        <v>728.55120550000004</v>
      </c>
      <c r="Z97" s="46">
        <f t="shared" si="150"/>
        <v>733.50660550000009</v>
      </c>
      <c r="AA97" s="46">
        <f t="shared" si="151"/>
        <v>749.48054550000006</v>
      </c>
      <c r="AB97" s="46">
        <f t="shared" si="152"/>
        <v>722.51563280000005</v>
      </c>
      <c r="AC97" s="46">
        <f t="shared" si="153"/>
        <v>730.50260280000009</v>
      </c>
    </row>
    <row r="98" spans="1:29" x14ac:dyDescent="0.25">
      <c r="A98" s="20" t="s">
        <v>177</v>
      </c>
      <c r="B98" s="17" t="str">
        <f t="shared" si="100"/>
        <v>CL 69:0</v>
      </c>
      <c r="C98" s="1" t="str">
        <f t="shared" si="101"/>
        <v>69</v>
      </c>
      <c r="D98" s="1" t="str">
        <f t="shared" si="102"/>
        <v>0</v>
      </c>
      <c r="E98" s="17">
        <f t="shared" si="103"/>
        <v>78</v>
      </c>
      <c r="F98" s="17">
        <f t="shared" si="104"/>
        <v>152</v>
      </c>
      <c r="G98" s="17">
        <v>0</v>
      </c>
      <c r="H98" s="17">
        <f t="shared" si="105"/>
        <v>17</v>
      </c>
      <c r="I98" s="17">
        <v>2</v>
      </c>
      <c r="L98" s="19" t="str">
        <f t="shared" si="106"/>
        <v>C78H152O17P2</v>
      </c>
      <c r="M98" s="19">
        <f t="shared" si="107"/>
        <v>1423.0504202</v>
      </c>
      <c r="N98" s="19">
        <f t="shared" si="108"/>
        <v>1424.0576948</v>
      </c>
      <c r="O98" s="46">
        <f t="shared" si="109"/>
        <v>1406.0465748000001</v>
      </c>
      <c r="P98" s="46">
        <f t="shared" si="110"/>
        <v>1441.0842402000001</v>
      </c>
      <c r="Q98" s="46">
        <f t="shared" si="111"/>
        <v>1446.0396401999999</v>
      </c>
      <c r="R98" s="46">
        <f t="shared" si="112"/>
        <v>1462.0135802</v>
      </c>
      <c r="S98" s="46">
        <f t="shared" si="113"/>
        <v>1430.0658802</v>
      </c>
      <c r="T98" s="19">
        <f t="shared" si="114"/>
        <v>1422.0431455999999</v>
      </c>
      <c r="U98" s="19">
        <f t="shared" si="115"/>
        <v>1468.0486401999999</v>
      </c>
      <c r="V98" s="19">
        <f t="shared" si="116"/>
        <v>1482.0642902</v>
      </c>
      <c r="W98" s="46">
        <f t="shared" si="87"/>
        <v>710.51793549999991</v>
      </c>
      <c r="Y98" s="46">
        <f t="shared" si="149"/>
        <v>729.55903009999997</v>
      </c>
      <c r="Z98" s="46">
        <f t="shared" si="150"/>
        <v>734.51443010000003</v>
      </c>
      <c r="AA98" s="46">
        <f t="shared" si="151"/>
        <v>750.4883701</v>
      </c>
      <c r="AB98" s="46">
        <f t="shared" si="152"/>
        <v>723.52345739999998</v>
      </c>
      <c r="AC98" s="46">
        <f t="shared" si="153"/>
        <v>731.51042740000003</v>
      </c>
    </row>
    <row r="99" spans="1:29" x14ac:dyDescent="0.25">
      <c r="A99" s="20" t="s">
        <v>262</v>
      </c>
      <c r="B99" s="17" t="str">
        <f t="shared" si="100"/>
        <v>CL 70:5</v>
      </c>
      <c r="C99" s="1" t="str">
        <f t="shared" si="101"/>
        <v>70</v>
      </c>
      <c r="D99" s="1" t="str">
        <f t="shared" si="102"/>
        <v>5</v>
      </c>
      <c r="E99" s="17">
        <f t="shared" si="103"/>
        <v>79</v>
      </c>
      <c r="F99" s="17">
        <f t="shared" si="104"/>
        <v>144</v>
      </c>
      <c r="G99" s="17">
        <v>0</v>
      </c>
      <c r="H99" s="17">
        <f t="shared" si="105"/>
        <v>17</v>
      </c>
      <c r="I99" s="17">
        <v>2</v>
      </c>
      <c r="L99" s="19" t="str">
        <f t="shared" si="106"/>
        <v>C79H144O17P2</v>
      </c>
      <c r="M99" s="19">
        <f t="shared" si="107"/>
        <v>1426.9878234</v>
      </c>
      <c r="N99" s="19">
        <f t="shared" si="108"/>
        <v>1427.9950980000001</v>
      </c>
      <c r="O99" s="46">
        <f t="shared" si="109"/>
        <v>1409.9839780000002</v>
      </c>
      <c r="P99" s="46">
        <f t="shared" si="110"/>
        <v>1445.0216434000001</v>
      </c>
      <c r="Q99" s="46">
        <f t="shared" si="111"/>
        <v>1449.9770434</v>
      </c>
      <c r="R99" s="46">
        <f t="shared" si="112"/>
        <v>1465.9509834</v>
      </c>
      <c r="S99" s="46">
        <f t="shared" si="113"/>
        <v>1434.0032834000001</v>
      </c>
      <c r="T99" s="19">
        <f t="shared" si="114"/>
        <v>1425.9805488</v>
      </c>
      <c r="U99" s="19">
        <f t="shared" si="115"/>
        <v>1471.9860434</v>
      </c>
      <c r="V99" s="19">
        <f t="shared" si="116"/>
        <v>1486.0016934</v>
      </c>
      <c r="W99" s="46">
        <f t="shared" si="87"/>
        <v>712.48663709999994</v>
      </c>
      <c r="Y99" s="46">
        <f t="shared" si="149"/>
        <v>731.5277317</v>
      </c>
      <c r="Z99" s="46">
        <f t="shared" si="150"/>
        <v>736.48313170000006</v>
      </c>
      <c r="AA99" s="46">
        <f t="shared" si="151"/>
        <v>752.45707170000003</v>
      </c>
      <c r="AB99" s="46">
        <f t="shared" si="152"/>
        <v>725.49215900000002</v>
      </c>
      <c r="AC99" s="46">
        <f t="shared" si="153"/>
        <v>733.47912900000006</v>
      </c>
    </row>
    <row r="100" spans="1:29" x14ac:dyDescent="0.25">
      <c r="A100" s="20" t="s">
        <v>261</v>
      </c>
      <c r="B100" s="17" t="str">
        <f t="shared" si="100"/>
        <v>CL 70:4</v>
      </c>
      <c r="C100" s="1" t="str">
        <f t="shared" si="101"/>
        <v>70</v>
      </c>
      <c r="D100" s="1" t="str">
        <f t="shared" si="102"/>
        <v>4</v>
      </c>
      <c r="E100" s="17">
        <f t="shared" si="103"/>
        <v>79</v>
      </c>
      <c r="F100" s="17">
        <f t="shared" si="104"/>
        <v>146</v>
      </c>
      <c r="G100" s="17">
        <v>0</v>
      </c>
      <c r="H100" s="17">
        <f t="shared" si="105"/>
        <v>17</v>
      </c>
      <c r="I100" s="17">
        <v>2</v>
      </c>
      <c r="L100" s="19" t="str">
        <f t="shared" si="106"/>
        <v>C79H146O17P2</v>
      </c>
      <c r="M100" s="19">
        <f t="shared" si="107"/>
        <v>1429.0034725999999</v>
      </c>
      <c r="N100" s="19">
        <f t="shared" si="108"/>
        <v>1430.0107472</v>
      </c>
      <c r="O100" s="46">
        <f t="shared" si="109"/>
        <v>1411.9996272000001</v>
      </c>
      <c r="P100" s="46">
        <f t="shared" si="110"/>
        <v>1447.0372926</v>
      </c>
      <c r="Q100" s="46">
        <f t="shared" si="111"/>
        <v>1451.9926925999998</v>
      </c>
      <c r="R100" s="46">
        <f t="shared" si="112"/>
        <v>1467.9666325999999</v>
      </c>
      <c r="S100" s="46">
        <f t="shared" si="113"/>
        <v>1436.0189326</v>
      </c>
      <c r="T100" s="19">
        <f t="shared" si="114"/>
        <v>1427.9961979999998</v>
      </c>
      <c r="U100" s="19">
        <f t="shared" si="115"/>
        <v>1474.0016925999998</v>
      </c>
      <c r="V100" s="19">
        <f t="shared" si="116"/>
        <v>1488.0173425999999</v>
      </c>
      <c r="W100" s="46">
        <f t="shared" si="87"/>
        <v>713.49446169999987</v>
      </c>
      <c r="Y100" s="46">
        <f t="shared" si="149"/>
        <v>732.53555629999994</v>
      </c>
      <c r="Z100" s="46">
        <f t="shared" si="150"/>
        <v>737.49095629999999</v>
      </c>
      <c r="AA100" s="46">
        <f t="shared" si="151"/>
        <v>753.46489629999996</v>
      </c>
      <c r="AB100" s="46">
        <f t="shared" si="152"/>
        <v>726.49998359999995</v>
      </c>
      <c r="AC100" s="46">
        <f t="shared" si="153"/>
        <v>734.48695359999999</v>
      </c>
    </row>
    <row r="101" spans="1:29" x14ac:dyDescent="0.25">
      <c r="A101" s="20" t="s">
        <v>240</v>
      </c>
      <c r="B101" s="17" t="str">
        <f t="shared" si="100"/>
        <v>CL 70:3</v>
      </c>
      <c r="C101" s="1" t="str">
        <f t="shared" si="101"/>
        <v>70</v>
      </c>
      <c r="D101" s="1" t="str">
        <f t="shared" si="102"/>
        <v>3</v>
      </c>
      <c r="E101" s="17">
        <f t="shared" si="103"/>
        <v>79</v>
      </c>
      <c r="F101" s="17">
        <f t="shared" si="104"/>
        <v>148</v>
      </c>
      <c r="G101" s="17">
        <v>0</v>
      </c>
      <c r="H101" s="17">
        <f t="shared" si="105"/>
        <v>17</v>
      </c>
      <c r="I101" s="17">
        <v>2</v>
      </c>
      <c r="L101" s="19" t="str">
        <f t="shared" si="106"/>
        <v>C79H148O17P2</v>
      </c>
      <c r="M101" s="19">
        <f t="shared" si="107"/>
        <v>1431.0191218</v>
      </c>
      <c r="N101" s="19">
        <f t="shared" si="108"/>
        <v>1432.0263964000001</v>
      </c>
      <c r="O101" s="46">
        <f t="shared" si="109"/>
        <v>1414.0152764000002</v>
      </c>
      <c r="P101" s="46">
        <f t="shared" si="110"/>
        <v>1449.0529418000001</v>
      </c>
      <c r="Q101" s="46">
        <f t="shared" si="111"/>
        <v>1454.0083417999999</v>
      </c>
      <c r="R101" s="46">
        <f t="shared" si="112"/>
        <v>1469.9822818</v>
      </c>
      <c r="S101" s="46">
        <f t="shared" si="113"/>
        <v>1438.0345818000001</v>
      </c>
      <c r="T101" s="19">
        <f t="shared" si="114"/>
        <v>1430.0118471999999</v>
      </c>
      <c r="U101" s="19">
        <f t="shared" si="115"/>
        <v>1476.0173417999999</v>
      </c>
      <c r="V101" s="19">
        <f t="shared" si="116"/>
        <v>1490.0329918</v>
      </c>
      <c r="W101" s="46">
        <f t="shared" si="87"/>
        <v>714.50228629999992</v>
      </c>
      <c r="Y101" s="46">
        <f t="shared" si="149"/>
        <v>733.54338089999999</v>
      </c>
      <c r="Z101" s="46">
        <f t="shared" si="150"/>
        <v>738.49878090000004</v>
      </c>
      <c r="AA101" s="46">
        <f t="shared" si="151"/>
        <v>754.47272090000001</v>
      </c>
      <c r="AB101" s="46">
        <f t="shared" si="152"/>
        <v>727.5078082</v>
      </c>
      <c r="AC101" s="46">
        <f t="shared" si="153"/>
        <v>735.49477820000004</v>
      </c>
    </row>
    <row r="102" spans="1:29" x14ac:dyDescent="0.25">
      <c r="A102" s="20" t="s">
        <v>219</v>
      </c>
      <c r="B102" s="17" t="str">
        <f>IF(ISNUMBER(SEARCH("[",A102)),IF(ISNUMBER(SEARCH("/",A102)),CONCATENATE(MID(A102,1,2)," ",(SUM(MID(A102,FIND("[",A102)+1,FIND(":",A102)-FIND("[",A102)-1),MID(A102,FIND("/",A102)+1,FIND(":",A102,FIND("/",A102))-FIND("/",A102)-1),MID(A102,FIND("[",A102,FIND("[",A102)+1)+1,(FIND(":",A102,FIND("[",A102))-FIND("[",A102)-1)),MID(A102,FIND("/",A102,FIND("/",A102)+1)+1,FIND(":",A102,FIND("/",A102,FIND("[",A102,FIND("[",A102)+1)+1))-FIND("/",A102,FIND("[",A102,FIND("[",A102)+1)+1)-1))),":",SUM(MID(A102,FIND(":",A102)+1,FIND("/",A102)-FIND(":",A102)-1),MID(A102,FIND(":",A102,FIND("/",A102))+1,FIND("]",A102)-FIND(":",A102,FIND("/",A102))-1),MID(A102,FIND(":",A102,FIND("[",A102,FIND("[",A102)+1))+1,(FIND("/",A102,FIND("[",A102,FIND("[",A102)+1)+1)-FIND(":",A102,FIND("[",A102,FIND("[",A102)+1))-1)),MID(A102,FIND(":",A102,FIND("/",A102,FIND("]",A102)+1))+1,(FIND("]",A102,FIND("[",A102,FIND("[",A102)+1)+1)-FIND(":",A102,FIND("/",A102,FIND("]",A102)+1))-1))),MID(A102,(FIND(")",A102)+1),100)),CONCATENATE(MID(A102,1,2)," ",(SUM(MID(A102,FIND("[",A102)+1,FIND(":",A102)-FIND("[",A102)-1),MID(A102,FIND("_",A102)+1,FIND(":",A102,FIND("_",A102))-FIND("_",A102)-1),MID(A102,FIND("[",A102,FIND("[",A102)+1)+1,(FIND(":",A102,FIND("[",A102))-FIND("[",A102)-1)),MID(A102,FIND("_",A102,FIND("_",A102)+1)+1,FIND(":",A102,FIND("_",A102,FIND("[",A102,FIND("[",A102)+1)+1))-FIND("_",A102,FIND("[",A102,FIND("[",A102)+1)+1)-1))),":",SUM(MID(A102,FIND(":",A102)+1,FIND("_",A102)-FIND(":",A102)-1),MID(A102,FIND(":",A102,FIND("_",A102))+1,FIND("]",A102)-FIND(":",A102,FIND("_",A102))-1),MID(A102,FIND(":",A102,FIND("[",A102,FIND("[",A102)+1))+1,(FIND("_",A102,FIND("[",A102,FIND("[",A102)+1)+1)-FIND(":",A102,FIND("[",A102,FIND("[",A102)+1))-1)),MID(A102,FIND(":",A102,FIND("_",A102,FIND("]",A102)+1))+1,(FIND("]",A102,FIND("[",A102,FIND("[",A102)+1)+1)-FIND(":",A102,FIND("_",A102,FIND("]",A102)+1))-1))),MID(A102,(FIND(")",A102)+1),100))),A102)</f>
        <v>CL 70:2</v>
      </c>
      <c r="C102" s="1" t="str">
        <f>MID(B102,4,FIND(":",B102)-FIND(" ",B102)-1)</f>
        <v>70</v>
      </c>
      <c r="D102" s="1" t="str">
        <f>IF(ISNUMBER(SEARCH("__",B102)),MID(B102,FIND(":",B102)+1,FIND("__",B102)-FIND(":",B102)-1),MID(B102,FIND(":",B102)+1,7))</f>
        <v>2</v>
      </c>
      <c r="E102" s="17">
        <f t="shared" si="103"/>
        <v>79</v>
      </c>
      <c r="F102" s="17">
        <f t="shared" si="104"/>
        <v>150</v>
      </c>
      <c r="G102" s="17">
        <v>0</v>
      </c>
      <c r="H102" s="17">
        <f t="shared" si="105"/>
        <v>17</v>
      </c>
      <c r="I102" s="17">
        <v>2</v>
      </c>
      <c r="L102" s="19" t="str">
        <f t="shared" si="106"/>
        <v>C79H150O17P2</v>
      </c>
      <c r="M102" s="19">
        <f t="shared" si="107"/>
        <v>1433.0347710000001</v>
      </c>
      <c r="N102" s="19">
        <f t="shared" si="108"/>
        <v>1434.0420456000002</v>
      </c>
      <c r="O102" s="46">
        <f t="shared" si="109"/>
        <v>1416.0309256000003</v>
      </c>
      <c r="P102" s="46">
        <f t="shared" si="110"/>
        <v>1451.0685910000002</v>
      </c>
      <c r="Q102" s="46">
        <f t="shared" si="111"/>
        <v>1456.023991</v>
      </c>
      <c r="R102" s="46">
        <f t="shared" si="112"/>
        <v>1471.9979310000001</v>
      </c>
      <c r="S102" s="46">
        <f t="shared" si="113"/>
        <v>1440.0502310000002</v>
      </c>
      <c r="T102" s="19">
        <f t="shared" si="114"/>
        <v>1432.0274964</v>
      </c>
      <c r="U102" s="19">
        <f t="shared" si="115"/>
        <v>1478.032991</v>
      </c>
      <c r="V102" s="19">
        <f t="shared" si="116"/>
        <v>1492.0486410000001</v>
      </c>
      <c r="W102" s="46">
        <f t="shared" si="87"/>
        <v>715.51011089999997</v>
      </c>
      <c r="Y102" s="46">
        <f t="shared" si="149"/>
        <v>734.55120550000004</v>
      </c>
      <c r="Z102" s="46">
        <f t="shared" si="150"/>
        <v>739.50660550000009</v>
      </c>
      <c r="AA102" s="46">
        <f t="shared" si="151"/>
        <v>755.48054550000006</v>
      </c>
      <c r="AB102" s="46">
        <f t="shared" si="152"/>
        <v>728.51563280000005</v>
      </c>
      <c r="AC102" s="46">
        <f t="shared" si="153"/>
        <v>736.50260280000009</v>
      </c>
    </row>
    <row r="103" spans="1:29" x14ac:dyDescent="0.25">
      <c r="A103" s="20" t="s">
        <v>205</v>
      </c>
      <c r="B103" s="17" t="str">
        <f>IF(ISNUMBER(SEARCH("[",A103)),IF(ISNUMBER(SEARCH("/",A103)),CONCATENATE(MID(A103,1,2)," ",(SUM(MID(A103,FIND("[",A103)+1,FIND(":",A103)-FIND("[",A103)-1),MID(A103,FIND("/",A103)+1,FIND(":",A103,FIND("/",A103))-FIND("/",A103)-1),MID(A103,FIND("[",A103,FIND("[",A103)+1)+1,(FIND(":",A103,FIND("[",A103))-FIND("[",A103)-1)),MID(A103,FIND("/",A103,FIND("/",A103)+1)+1,FIND(":",A103,FIND("/",A103,FIND("[",A103,FIND("[",A103)+1)+1))-FIND("/",A103,FIND("[",A103,FIND("[",A103)+1)+1)-1))),":",SUM(MID(A103,FIND(":",A103)+1,FIND("/",A103)-FIND(":",A103)-1),MID(A103,FIND(":",A103,FIND("/",A103))+1,FIND("]",A103)-FIND(":",A103,FIND("/",A103))-1),MID(A103,FIND(":",A103,FIND("[",A103,FIND("[",A103)+1))+1,(FIND("/",A103,FIND("[",A103,FIND("[",A103)+1)+1)-FIND(":",A103,FIND("[",A103,FIND("[",A103)+1))-1)),MID(A103,FIND(":",A103,FIND("/",A103,FIND("]",A103)+1))+1,(FIND("]",A103,FIND("[",A103,FIND("[",A103)+1)+1)-FIND(":",A103,FIND("/",A103,FIND("]",A103)+1))-1))),MID(A103,(FIND(")",A103)+1),100)),CONCATENATE(MID(A103,1,2)," ",(SUM(MID(A103,FIND("[",A103)+1,FIND(":",A103)-FIND("[",A103)-1),MID(A103,FIND("_",A103)+1,FIND(":",A103,FIND("_",A103))-FIND("_",A103)-1),MID(A103,FIND("[",A103,FIND("[",A103)+1)+1,(FIND(":",A103,FIND("[",A103))-FIND("[",A103)-1)),MID(A103,FIND("_",A103,FIND("_",A103)+1)+1,FIND(":",A103,FIND("_",A103,FIND("[",A103,FIND("[",A103)+1)+1))-FIND("_",A103,FIND("[",A103,FIND("[",A103)+1)+1)-1))),":",SUM(MID(A103,FIND(":",A103)+1,FIND("_",A103)-FIND(":",A103)-1),MID(A103,FIND(":",A103,FIND("_",A103))+1,FIND("]",A103)-FIND(":",A103,FIND("_",A103))-1),MID(A103,FIND(":",A103,FIND("[",A103,FIND("[",A103)+1))+1,(FIND("_",A103,FIND("[",A103,FIND("[",A103)+1)+1)-FIND(":",A103,FIND("[",A103,FIND("[",A103)+1))-1)),MID(A103,FIND(":",A103,FIND("_",A103,FIND("]",A103)+1))+1,(FIND("]",A103,FIND("[",A103,FIND("[",A103)+1)+1)-FIND(":",A103,FIND("_",A103,FIND("]",A103)+1))-1))),MID(A103,(FIND(")",A103)+1),100))),A103)</f>
        <v>CL 70:1</v>
      </c>
      <c r="C103" s="1" t="str">
        <f>MID(B103,4,FIND(":",B103)-FIND(" ",B103)-1)</f>
        <v>70</v>
      </c>
      <c r="D103" s="1" t="str">
        <f>IF(ISNUMBER(SEARCH("__",B103)),MID(B103,FIND(":",B103)+1,FIND("__",B103)-FIND(":",B103)-1),MID(B103,FIND(":",B103)+1,7))</f>
        <v>1</v>
      </c>
      <c r="E103" s="17">
        <f t="shared" si="103"/>
        <v>79</v>
      </c>
      <c r="F103" s="17">
        <f t="shared" si="104"/>
        <v>152</v>
      </c>
      <c r="G103" s="17">
        <v>0</v>
      </c>
      <c r="H103" s="17">
        <f t="shared" si="105"/>
        <v>17</v>
      </c>
      <c r="I103" s="17">
        <v>2</v>
      </c>
      <c r="L103" s="19" t="str">
        <f t="shared" si="106"/>
        <v>C79H152O17P2</v>
      </c>
      <c r="M103" s="19">
        <f t="shared" si="107"/>
        <v>1435.0504202</v>
      </c>
      <c r="N103" s="19">
        <f t="shared" si="108"/>
        <v>1436.0576948</v>
      </c>
      <c r="O103" s="46">
        <f t="shared" si="109"/>
        <v>1418.0465748000001</v>
      </c>
      <c r="P103" s="46">
        <f t="shared" si="110"/>
        <v>1453.0842402000001</v>
      </c>
      <c r="Q103" s="46">
        <f t="shared" si="111"/>
        <v>1458.0396401999999</v>
      </c>
      <c r="R103" s="46">
        <f t="shared" si="112"/>
        <v>1474.0135802</v>
      </c>
      <c r="S103" s="46">
        <f t="shared" si="113"/>
        <v>1442.0658802</v>
      </c>
      <c r="T103" s="19">
        <f t="shared" si="114"/>
        <v>1434.0431455999999</v>
      </c>
      <c r="U103" s="19">
        <f t="shared" si="115"/>
        <v>1480.0486401999999</v>
      </c>
      <c r="V103" s="19">
        <f t="shared" si="116"/>
        <v>1494.0642902</v>
      </c>
      <c r="W103" s="46">
        <f t="shared" si="87"/>
        <v>716.51793549999991</v>
      </c>
      <c r="Y103" s="46">
        <f t="shared" si="149"/>
        <v>735.55903009999997</v>
      </c>
      <c r="Z103" s="46">
        <f t="shared" si="150"/>
        <v>740.51443010000003</v>
      </c>
      <c r="AA103" s="46">
        <f t="shared" si="151"/>
        <v>756.4883701</v>
      </c>
      <c r="AB103" s="46">
        <f t="shared" si="152"/>
        <v>729.52345739999998</v>
      </c>
      <c r="AC103" s="46">
        <f t="shared" si="153"/>
        <v>737.51042740000003</v>
      </c>
    </row>
    <row r="104" spans="1:29" x14ac:dyDescent="0.25">
      <c r="A104" s="20" t="s">
        <v>178</v>
      </c>
      <c r="B104" s="17" t="str">
        <f t="shared" si="100"/>
        <v>CL 70:0</v>
      </c>
      <c r="C104" s="1" t="str">
        <f t="shared" si="101"/>
        <v>70</v>
      </c>
      <c r="D104" s="1" t="str">
        <f t="shared" si="102"/>
        <v>0</v>
      </c>
      <c r="E104" s="17">
        <f t="shared" si="103"/>
        <v>79</v>
      </c>
      <c r="F104" s="17">
        <f t="shared" si="104"/>
        <v>154</v>
      </c>
      <c r="G104" s="17">
        <v>0</v>
      </c>
      <c r="H104" s="17">
        <f t="shared" si="105"/>
        <v>17</v>
      </c>
      <c r="I104" s="17">
        <v>2</v>
      </c>
      <c r="L104" s="19" t="str">
        <f t="shared" si="106"/>
        <v>C79H154O17P2</v>
      </c>
      <c r="M104" s="19">
        <f t="shared" si="107"/>
        <v>1437.0660694000001</v>
      </c>
      <c r="N104" s="19">
        <f t="shared" si="108"/>
        <v>1438.0733440000001</v>
      </c>
      <c r="O104" s="46">
        <f t="shared" si="109"/>
        <v>1420.0622240000002</v>
      </c>
      <c r="P104" s="46">
        <f t="shared" si="110"/>
        <v>1455.0998894000002</v>
      </c>
      <c r="Q104" s="46">
        <f t="shared" si="111"/>
        <v>1460.0552894</v>
      </c>
      <c r="R104" s="46">
        <f t="shared" si="112"/>
        <v>1476.0292294000001</v>
      </c>
      <c r="S104" s="46">
        <f t="shared" si="113"/>
        <v>1444.0815294000001</v>
      </c>
      <c r="T104" s="19">
        <f t="shared" si="114"/>
        <v>1436.0587948</v>
      </c>
      <c r="U104" s="19">
        <f t="shared" si="115"/>
        <v>1482.0642894</v>
      </c>
      <c r="V104" s="19">
        <f t="shared" si="116"/>
        <v>1496.0799394000001</v>
      </c>
      <c r="W104" s="46">
        <f t="shared" si="87"/>
        <v>717.52576009999996</v>
      </c>
      <c r="Y104" s="46">
        <f t="shared" si="149"/>
        <v>736.56685470000002</v>
      </c>
      <c r="Z104" s="46">
        <f t="shared" si="150"/>
        <v>741.52225470000008</v>
      </c>
      <c r="AA104" s="46">
        <f t="shared" si="151"/>
        <v>757.49619470000005</v>
      </c>
      <c r="AB104" s="46">
        <f t="shared" si="152"/>
        <v>730.53128200000003</v>
      </c>
      <c r="AC104" s="46">
        <f t="shared" si="153"/>
        <v>738.51825200000007</v>
      </c>
    </row>
    <row r="105" spans="1:29" x14ac:dyDescent="0.25">
      <c r="A105" s="20" t="s">
        <v>243</v>
      </c>
      <c r="B105" s="17" t="str">
        <f t="shared" si="100"/>
        <v>CL 71:3</v>
      </c>
      <c r="C105" s="1" t="str">
        <f t="shared" si="101"/>
        <v>71</v>
      </c>
      <c r="D105" s="1" t="str">
        <f t="shared" si="102"/>
        <v>3</v>
      </c>
      <c r="E105" s="17">
        <f t="shared" si="103"/>
        <v>80</v>
      </c>
      <c r="F105" s="17">
        <f t="shared" si="104"/>
        <v>150</v>
      </c>
      <c r="G105" s="17">
        <v>0</v>
      </c>
      <c r="H105" s="17">
        <f t="shared" si="105"/>
        <v>17</v>
      </c>
      <c r="I105" s="17">
        <v>2</v>
      </c>
      <c r="L105" s="19" t="str">
        <f t="shared" si="106"/>
        <v>C80H150O17P2</v>
      </c>
      <c r="M105" s="19">
        <f t="shared" si="107"/>
        <v>1445.0347710000001</v>
      </c>
      <c r="N105" s="19">
        <f t="shared" si="108"/>
        <v>1446.0420456000002</v>
      </c>
      <c r="O105" s="46">
        <f t="shared" si="109"/>
        <v>1428.0309256000003</v>
      </c>
      <c r="P105" s="46">
        <f t="shared" si="110"/>
        <v>1463.0685910000002</v>
      </c>
      <c r="Q105" s="46">
        <f t="shared" si="111"/>
        <v>1468.023991</v>
      </c>
      <c r="R105" s="46">
        <f t="shared" si="112"/>
        <v>1483.9979310000001</v>
      </c>
      <c r="S105" s="46">
        <f t="shared" si="113"/>
        <v>1452.0502310000002</v>
      </c>
      <c r="T105" s="19">
        <f t="shared" si="114"/>
        <v>1444.0274964</v>
      </c>
      <c r="U105" s="19">
        <f t="shared" si="115"/>
        <v>1490.032991</v>
      </c>
      <c r="V105" s="19">
        <f t="shared" si="116"/>
        <v>1504.0486410000001</v>
      </c>
      <c r="W105" s="46">
        <f t="shared" si="87"/>
        <v>721.51011089999997</v>
      </c>
      <c r="Y105" s="46">
        <f t="shared" si="149"/>
        <v>740.55120550000004</v>
      </c>
      <c r="Z105" s="46">
        <f t="shared" si="150"/>
        <v>745.50660550000009</v>
      </c>
      <c r="AA105" s="46">
        <f t="shared" si="151"/>
        <v>761.48054550000006</v>
      </c>
      <c r="AB105" s="46">
        <f t="shared" si="152"/>
        <v>734.51563280000005</v>
      </c>
      <c r="AC105" s="46">
        <f t="shared" si="153"/>
        <v>742.50260280000009</v>
      </c>
    </row>
    <row r="106" spans="1:29" x14ac:dyDescent="0.25">
      <c r="A106" s="20" t="s">
        <v>220</v>
      </c>
      <c r="B106" s="17" t="str">
        <f>IF(ISNUMBER(SEARCH("[",A106)),IF(ISNUMBER(SEARCH("/",A106)),CONCATENATE(MID(A106,1,2)," ",(SUM(MID(A106,FIND("[",A106)+1,FIND(":",A106)-FIND("[",A106)-1),MID(A106,FIND("/",A106)+1,FIND(":",A106,FIND("/",A106))-FIND("/",A106)-1),MID(A106,FIND("[",A106,FIND("[",A106)+1)+1,(FIND(":",A106,FIND("[",A106))-FIND("[",A106)-1)),MID(A106,FIND("/",A106,FIND("/",A106)+1)+1,FIND(":",A106,FIND("/",A106,FIND("[",A106,FIND("[",A106)+1)+1))-FIND("/",A106,FIND("[",A106,FIND("[",A106)+1)+1)-1))),":",SUM(MID(A106,FIND(":",A106)+1,FIND("/",A106)-FIND(":",A106)-1),MID(A106,FIND(":",A106,FIND("/",A106))+1,FIND("]",A106)-FIND(":",A106,FIND("/",A106))-1),MID(A106,FIND(":",A106,FIND("[",A106,FIND("[",A106)+1))+1,(FIND("/",A106,FIND("[",A106,FIND("[",A106)+1)+1)-FIND(":",A106,FIND("[",A106,FIND("[",A106)+1))-1)),MID(A106,FIND(":",A106,FIND("/",A106,FIND("]",A106)+1))+1,(FIND("]",A106,FIND("[",A106,FIND("[",A106)+1)+1)-FIND(":",A106,FIND("/",A106,FIND("]",A106)+1))-1))),MID(A106,(FIND(")",A106)+1),100)),CONCATENATE(MID(A106,1,2)," ",(SUM(MID(A106,FIND("[",A106)+1,FIND(":",A106)-FIND("[",A106)-1),MID(A106,FIND("_",A106)+1,FIND(":",A106,FIND("_",A106))-FIND("_",A106)-1),MID(A106,FIND("[",A106,FIND("[",A106)+1)+1,(FIND(":",A106,FIND("[",A106))-FIND("[",A106)-1)),MID(A106,FIND("_",A106,FIND("_",A106)+1)+1,FIND(":",A106,FIND("_",A106,FIND("[",A106,FIND("[",A106)+1)+1))-FIND("_",A106,FIND("[",A106,FIND("[",A106)+1)+1)-1))),":",SUM(MID(A106,FIND(":",A106)+1,FIND("_",A106)-FIND(":",A106)-1),MID(A106,FIND(":",A106,FIND("_",A106))+1,FIND("]",A106)-FIND(":",A106,FIND("_",A106))-1),MID(A106,FIND(":",A106,FIND("[",A106,FIND("[",A106)+1))+1,(FIND("_",A106,FIND("[",A106,FIND("[",A106)+1)+1)-FIND(":",A106,FIND("[",A106,FIND("[",A106)+1))-1)),MID(A106,FIND(":",A106,FIND("_",A106,FIND("]",A106)+1))+1,(FIND("]",A106,FIND("[",A106,FIND("[",A106)+1)+1)-FIND(":",A106,FIND("_",A106,FIND("]",A106)+1))-1))),MID(A106,(FIND(")",A106)+1),100))),A106)</f>
        <v>CL 71:2</v>
      </c>
      <c r="C106" s="1" t="str">
        <f>MID(B106,4,FIND(":",B106)-FIND(" ",B106)-1)</f>
        <v>71</v>
      </c>
      <c r="D106" s="1" t="str">
        <f>IF(ISNUMBER(SEARCH("__",B106)),MID(B106,FIND(":",B106)+1,FIND("__",B106)-FIND(":",B106)-1),MID(B106,FIND(":",B106)+1,7))</f>
        <v>2</v>
      </c>
      <c r="E106" s="17">
        <f t="shared" si="103"/>
        <v>80</v>
      </c>
      <c r="F106" s="17">
        <f t="shared" si="104"/>
        <v>152</v>
      </c>
      <c r="G106" s="17">
        <v>0</v>
      </c>
      <c r="H106" s="17">
        <f t="shared" si="105"/>
        <v>17</v>
      </c>
      <c r="I106" s="17">
        <v>2</v>
      </c>
      <c r="L106" s="19" t="str">
        <f t="shared" si="106"/>
        <v>C80H152O17P2</v>
      </c>
      <c r="M106" s="19">
        <f t="shared" si="107"/>
        <v>1447.0504202</v>
      </c>
      <c r="N106" s="19">
        <f t="shared" si="108"/>
        <v>1448.0576948</v>
      </c>
      <c r="O106" s="46">
        <f t="shared" si="109"/>
        <v>1430.0465748000001</v>
      </c>
      <c r="P106" s="46">
        <f t="shared" si="110"/>
        <v>1465.0842402000001</v>
      </c>
      <c r="Q106" s="46">
        <f t="shared" si="111"/>
        <v>1470.0396401999999</v>
      </c>
      <c r="R106" s="46">
        <f t="shared" si="112"/>
        <v>1486.0135802</v>
      </c>
      <c r="S106" s="46">
        <f t="shared" si="113"/>
        <v>1454.0658802</v>
      </c>
      <c r="T106" s="19">
        <f t="shared" si="114"/>
        <v>1446.0431455999999</v>
      </c>
      <c r="U106" s="19">
        <f t="shared" si="115"/>
        <v>1492.0486401999999</v>
      </c>
      <c r="V106" s="19">
        <f t="shared" si="116"/>
        <v>1506.0642902</v>
      </c>
      <c r="W106" s="46">
        <f t="shared" si="87"/>
        <v>722.51793549999991</v>
      </c>
      <c r="Y106" s="46">
        <f t="shared" si="149"/>
        <v>741.55903009999997</v>
      </c>
      <c r="Z106" s="46">
        <f t="shared" si="150"/>
        <v>746.51443010000003</v>
      </c>
      <c r="AA106" s="46">
        <f t="shared" si="151"/>
        <v>762.4883701</v>
      </c>
      <c r="AB106" s="46">
        <f t="shared" si="152"/>
        <v>735.52345739999998</v>
      </c>
      <c r="AC106" s="46">
        <f t="shared" si="153"/>
        <v>743.51042740000003</v>
      </c>
    </row>
    <row r="107" spans="1:29" x14ac:dyDescent="0.25">
      <c r="A107" s="20" t="s">
        <v>206</v>
      </c>
      <c r="B107" s="17" t="str">
        <f>IF(ISNUMBER(SEARCH("[",A107)),IF(ISNUMBER(SEARCH("/",A107)),CONCATENATE(MID(A107,1,2)," ",(SUM(MID(A107,FIND("[",A107)+1,FIND(":",A107)-FIND("[",A107)-1),MID(A107,FIND("/",A107)+1,FIND(":",A107,FIND("/",A107))-FIND("/",A107)-1),MID(A107,FIND("[",A107,FIND("[",A107)+1)+1,(FIND(":",A107,FIND("[",A107))-FIND("[",A107)-1)),MID(A107,FIND("/",A107,FIND("/",A107)+1)+1,FIND(":",A107,FIND("/",A107,FIND("[",A107,FIND("[",A107)+1)+1))-FIND("/",A107,FIND("[",A107,FIND("[",A107)+1)+1)-1))),":",SUM(MID(A107,FIND(":",A107)+1,FIND("/",A107)-FIND(":",A107)-1),MID(A107,FIND(":",A107,FIND("/",A107))+1,FIND("]",A107)-FIND(":",A107,FIND("/",A107))-1),MID(A107,FIND(":",A107,FIND("[",A107,FIND("[",A107)+1))+1,(FIND("/",A107,FIND("[",A107,FIND("[",A107)+1)+1)-FIND(":",A107,FIND("[",A107,FIND("[",A107)+1))-1)),MID(A107,FIND(":",A107,FIND("/",A107,FIND("]",A107)+1))+1,(FIND("]",A107,FIND("[",A107,FIND("[",A107)+1)+1)-FIND(":",A107,FIND("/",A107,FIND("]",A107)+1))-1))),MID(A107,(FIND(")",A107)+1),100)),CONCATENATE(MID(A107,1,2)," ",(SUM(MID(A107,FIND("[",A107)+1,FIND(":",A107)-FIND("[",A107)-1),MID(A107,FIND("_",A107)+1,FIND(":",A107,FIND("_",A107))-FIND("_",A107)-1),MID(A107,FIND("[",A107,FIND("[",A107)+1)+1,(FIND(":",A107,FIND("[",A107))-FIND("[",A107)-1)),MID(A107,FIND("_",A107,FIND("_",A107)+1)+1,FIND(":",A107,FIND("_",A107,FIND("[",A107,FIND("[",A107)+1)+1))-FIND("_",A107,FIND("[",A107,FIND("[",A107)+1)+1)-1))),":",SUM(MID(A107,FIND(":",A107)+1,FIND("_",A107)-FIND(":",A107)-1),MID(A107,FIND(":",A107,FIND("_",A107))+1,FIND("]",A107)-FIND(":",A107,FIND("_",A107))-1),MID(A107,FIND(":",A107,FIND("[",A107,FIND("[",A107)+1))+1,(FIND("_",A107,FIND("[",A107,FIND("[",A107)+1)+1)-FIND(":",A107,FIND("[",A107,FIND("[",A107)+1))-1)),MID(A107,FIND(":",A107,FIND("_",A107,FIND("]",A107)+1))+1,(FIND("]",A107,FIND("[",A107,FIND("[",A107)+1)+1)-FIND(":",A107,FIND("_",A107,FIND("]",A107)+1))-1))),MID(A107,(FIND(")",A107)+1),100))),A107)</f>
        <v>CL 71:1</v>
      </c>
      <c r="C107" s="1" t="str">
        <f>MID(B107,4,FIND(":",B107)-FIND(" ",B107)-1)</f>
        <v>71</v>
      </c>
      <c r="D107" s="1" t="str">
        <f>IF(ISNUMBER(SEARCH("__",B107)),MID(B107,FIND(":",B107)+1,FIND("__",B107)-FIND(":",B107)-1),MID(B107,FIND(":",B107)+1,7))</f>
        <v>1</v>
      </c>
      <c r="E107" s="17">
        <f t="shared" si="103"/>
        <v>80</v>
      </c>
      <c r="F107" s="17">
        <f t="shared" si="104"/>
        <v>154</v>
      </c>
      <c r="G107" s="17">
        <v>0</v>
      </c>
      <c r="H107" s="17">
        <f t="shared" si="105"/>
        <v>17</v>
      </c>
      <c r="I107" s="17">
        <v>2</v>
      </c>
      <c r="L107" s="19" t="str">
        <f t="shared" si="106"/>
        <v>C80H154O17P2</v>
      </c>
      <c r="M107" s="19">
        <f t="shared" si="107"/>
        <v>1449.0660694000001</v>
      </c>
      <c r="N107" s="19">
        <f t="shared" si="108"/>
        <v>1450.0733440000001</v>
      </c>
      <c r="O107" s="46">
        <f t="shared" si="109"/>
        <v>1432.0622240000002</v>
      </c>
      <c r="P107" s="46">
        <f t="shared" si="110"/>
        <v>1467.0998894000002</v>
      </c>
      <c r="Q107" s="46">
        <f t="shared" si="111"/>
        <v>1472.0552894</v>
      </c>
      <c r="R107" s="46">
        <f t="shared" si="112"/>
        <v>1488.0292294000001</v>
      </c>
      <c r="S107" s="46">
        <f t="shared" si="113"/>
        <v>1456.0815294000001</v>
      </c>
      <c r="T107" s="19">
        <f t="shared" si="114"/>
        <v>1448.0587948</v>
      </c>
      <c r="U107" s="19">
        <f t="shared" si="115"/>
        <v>1494.0642894</v>
      </c>
      <c r="V107" s="19">
        <f t="shared" si="116"/>
        <v>1508.0799394000001</v>
      </c>
      <c r="W107" s="46">
        <f t="shared" si="87"/>
        <v>723.52576009999996</v>
      </c>
      <c r="Y107" s="46">
        <f t="shared" si="149"/>
        <v>742.56685470000002</v>
      </c>
      <c r="Z107" s="46">
        <f t="shared" si="150"/>
        <v>747.52225470000008</v>
      </c>
      <c r="AA107" s="46">
        <f t="shared" si="151"/>
        <v>763.49619470000005</v>
      </c>
      <c r="AB107" s="46">
        <f t="shared" si="152"/>
        <v>736.53128200000003</v>
      </c>
      <c r="AC107" s="46">
        <f t="shared" si="153"/>
        <v>744.51825200000007</v>
      </c>
    </row>
    <row r="108" spans="1:29" x14ac:dyDescent="0.25">
      <c r="A108" s="20" t="s">
        <v>179</v>
      </c>
      <c r="B108" s="17" t="str">
        <f t="shared" si="100"/>
        <v>CL 71:0</v>
      </c>
      <c r="C108" s="1" t="str">
        <f t="shared" si="101"/>
        <v>71</v>
      </c>
      <c r="D108" s="1" t="str">
        <f t="shared" si="102"/>
        <v>0</v>
      </c>
      <c r="E108" s="17">
        <f t="shared" si="103"/>
        <v>80</v>
      </c>
      <c r="F108" s="17">
        <f t="shared" si="104"/>
        <v>156</v>
      </c>
      <c r="G108" s="17">
        <v>0</v>
      </c>
      <c r="H108" s="17">
        <f t="shared" si="105"/>
        <v>17</v>
      </c>
      <c r="I108" s="17">
        <v>2</v>
      </c>
      <c r="L108" s="19" t="str">
        <f t="shared" si="106"/>
        <v>C80H156O17P2</v>
      </c>
      <c r="M108" s="19">
        <f t="shared" si="107"/>
        <v>1451.0817185999999</v>
      </c>
      <c r="N108" s="19">
        <f t="shared" si="108"/>
        <v>1452.0889932</v>
      </c>
      <c r="O108" s="46">
        <f t="shared" si="109"/>
        <v>1434.0778732000001</v>
      </c>
      <c r="P108" s="46">
        <f t="shared" si="110"/>
        <v>1469.1155386</v>
      </c>
      <c r="Q108" s="46">
        <f t="shared" si="111"/>
        <v>1474.0709385999999</v>
      </c>
      <c r="R108" s="46">
        <f t="shared" si="112"/>
        <v>1490.0448785999999</v>
      </c>
      <c r="S108" s="46">
        <f t="shared" si="113"/>
        <v>1458.0971786</v>
      </c>
      <c r="T108" s="19">
        <f t="shared" si="114"/>
        <v>1450.0744439999999</v>
      </c>
      <c r="U108" s="19">
        <f t="shared" si="115"/>
        <v>1496.0799385999999</v>
      </c>
      <c r="V108" s="19">
        <f t="shared" si="116"/>
        <v>1510.0955885999999</v>
      </c>
      <c r="W108" s="46">
        <f t="shared" si="87"/>
        <v>724.53358469999989</v>
      </c>
      <c r="Y108" s="46">
        <f t="shared" si="149"/>
        <v>743.57467929999996</v>
      </c>
      <c r="Z108" s="46">
        <f t="shared" si="150"/>
        <v>748.53007930000001</v>
      </c>
      <c r="AA108" s="46">
        <f t="shared" si="151"/>
        <v>764.50401929999998</v>
      </c>
      <c r="AB108" s="46">
        <f t="shared" si="152"/>
        <v>737.53910659999997</v>
      </c>
      <c r="AC108" s="46">
        <f t="shared" si="153"/>
        <v>745.52607660000001</v>
      </c>
    </row>
    <row r="109" spans="1:29" x14ac:dyDescent="0.25">
      <c r="A109" s="20" t="s">
        <v>462</v>
      </c>
      <c r="B109" s="17" t="str">
        <f t="shared" si="100"/>
        <v>CL 72:8</v>
      </c>
      <c r="C109" s="1" t="str">
        <f t="shared" si="101"/>
        <v>72</v>
      </c>
      <c r="D109" s="1" t="str">
        <f t="shared" si="102"/>
        <v>8</v>
      </c>
      <c r="E109" s="17">
        <f t="shared" si="103"/>
        <v>81</v>
      </c>
      <c r="F109" s="17">
        <f t="shared" si="104"/>
        <v>142</v>
      </c>
      <c r="G109" s="17">
        <v>0</v>
      </c>
      <c r="H109" s="17">
        <f t="shared" si="105"/>
        <v>17</v>
      </c>
      <c r="I109" s="17">
        <v>2</v>
      </c>
      <c r="L109" s="19" t="str">
        <f t="shared" si="106"/>
        <v>C81H142O17P2</v>
      </c>
      <c r="M109" s="19">
        <f t="shared" si="107"/>
        <v>1448.9721741999999</v>
      </c>
      <c r="N109" s="19">
        <f t="shared" si="108"/>
        <v>1449.9794488</v>
      </c>
      <c r="O109" s="46">
        <f t="shared" si="109"/>
        <v>1431.9683288000001</v>
      </c>
      <c r="P109" s="46">
        <f t="shared" si="110"/>
        <v>1467.0059942</v>
      </c>
      <c r="Q109" s="46">
        <f t="shared" si="111"/>
        <v>1471.9613941999999</v>
      </c>
      <c r="R109" s="46">
        <f t="shared" si="112"/>
        <v>1487.9353341999999</v>
      </c>
      <c r="S109" s="46">
        <f t="shared" si="113"/>
        <v>1455.9876342</v>
      </c>
      <c r="T109" s="19">
        <f t="shared" si="114"/>
        <v>1447.9648995999999</v>
      </c>
      <c r="U109" s="19">
        <f t="shared" si="115"/>
        <v>1493.9703941999999</v>
      </c>
      <c r="V109" s="19">
        <f t="shared" si="116"/>
        <v>1507.9860441999999</v>
      </c>
      <c r="W109" s="46">
        <f t="shared" si="87"/>
        <v>723.47881249999989</v>
      </c>
      <c r="Y109" s="46">
        <f t="shared" si="149"/>
        <v>742.51990709999995</v>
      </c>
      <c r="Z109" s="46">
        <f t="shared" si="150"/>
        <v>747.47530710000001</v>
      </c>
      <c r="AA109" s="46">
        <f t="shared" si="151"/>
        <v>763.44924709999998</v>
      </c>
      <c r="AB109" s="46">
        <f t="shared" si="152"/>
        <v>736.48433439999997</v>
      </c>
      <c r="AC109" s="46">
        <f t="shared" si="153"/>
        <v>744.47130440000001</v>
      </c>
    </row>
    <row r="110" spans="1:29" x14ac:dyDescent="0.25">
      <c r="A110" s="20" t="s">
        <v>463</v>
      </c>
      <c r="B110" s="17" t="str">
        <f t="shared" si="100"/>
        <v>CL 72:7</v>
      </c>
      <c r="C110" s="1" t="str">
        <f t="shared" si="101"/>
        <v>72</v>
      </c>
      <c r="D110" s="1" t="str">
        <f t="shared" si="102"/>
        <v>7</v>
      </c>
      <c r="E110" s="17">
        <f t="shared" si="103"/>
        <v>81</v>
      </c>
      <c r="F110" s="17">
        <f t="shared" si="104"/>
        <v>144</v>
      </c>
      <c r="G110" s="17">
        <v>0</v>
      </c>
      <c r="H110" s="17">
        <f t="shared" si="105"/>
        <v>17</v>
      </c>
      <c r="I110" s="17">
        <v>2</v>
      </c>
      <c r="L110" s="19" t="str">
        <f t="shared" si="106"/>
        <v>C81H144O17P2</v>
      </c>
      <c r="M110" s="19">
        <f t="shared" si="107"/>
        <v>1450.9878234</v>
      </c>
      <c r="N110" s="19">
        <f t="shared" si="108"/>
        <v>1451.9950980000001</v>
      </c>
      <c r="O110" s="46">
        <f t="shared" si="109"/>
        <v>1433.9839780000002</v>
      </c>
      <c r="P110" s="46">
        <f t="shared" si="110"/>
        <v>1469.0216434000001</v>
      </c>
      <c r="Q110" s="46">
        <f t="shared" si="111"/>
        <v>1473.9770434</v>
      </c>
      <c r="R110" s="46">
        <f t="shared" si="112"/>
        <v>1489.9509834</v>
      </c>
      <c r="S110" s="46">
        <f t="shared" si="113"/>
        <v>1458.0032834000001</v>
      </c>
      <c r="T110" s="19">
        <f t="shared" si="114"/>
        <v>1449.9805488</v>
      </c>
      <c r="U110" s="19">
        <f t="shared" si="115"/>
        <v>1495.9860434</v>
      </c>
      <c r="V110" s="19">
        <f t="shared" si="116"/>
        <v>1510.0016934</v>
      </c>
      <c r="W110" s="46">
        <f t="shared" si="87"/>
        <v>724.48663709999994</v>
      </c>
      <c r="Y110" s="46">
        <f t="shared" si="149"/>
        <v>743.5277317</v>
      </c>
      <c r="Z110" s="46">
        <f t="shared" si="150"/>
        <v>748.48313170000006</v>
      </c>
      <c r="AA110" s="46">
        <f t="shared" si="151"/>
        <v>764.45707170000003</v>
      </c>
      <c r="AB110" s="46">
        <f t="shared" si="152"/>
        <v>737.49215900000002</v>
      </c>
      <c r="AC110" s="46">
        <f t="shared" si="153"/>
        <v>745.47912900000006</v>
      </c>
    </row>
    <row r="111" spans="1:29" x14ac:dyDescent="0.25">
      <c r="A111" s="20" t="s">
        <v>464</v>
      </c>
      <c r="B111" s="17" t="str">
        <f t="shared" si="100"/>
        <v>CL 72:6</v>
      </c>
      <c r="C111" s="1" t="str">
        <f t="shared" si="101"/>
        <v>72</v>
      </c>
      <c r="D111" s="1" t="str">
        <f t="shared" si="102"/>
        <v>6</v>
      </c>
      <c r="E111" s="17">
        <f t="shared" si="103"/>
        <v>81</v>
      </c>
      <c r="F111" s="17">
        <f t="shared" si="104"/>
        <v>146</v>
      </c>
      <c r="G111" s="17">
        <v>0</v>
      </c>
      <c r="H111" s="17">
        <f t="shared" si="105"/>
        <v>17</v>
      </c>
      <c r="I111" s="17">
        <v>2</v>
      </c>
      <c r="L111" s="19" t="str">
        <f t="shared" si="106"/>
        <v>C81H146O17P2</v>
      </c>
      <c r="M111" s="19">
        <f t="shared" si="107"/>
        <v>1453.0034725999999</v>
      </c>
      <c r="N111" s="19">
        <f t="shared" si="108"/>
        <v>1454.0107472</v>
      </c>
      <c r="O111" s="46">
        <f t="shared" si="109"/>
        <v>1435.9996272000001</v>
      </c>
      <c r="P111" s="46">
        <f t="shared" si="110"/>
        <v>1471.0372926</v>
      </c>
      <c r="Q111" s="46">
        <f t="shared" si="111"/>
        <v>1475.9926925999998</v>
      </c>
      <c r="R111" s="46">
        <f t="shared" si="112"/>
        <v>1491.9666325999999</v>
      </c>
      <c r="S111" s="46">
        <f t="shared" si="113"/>
        <v>1460.0189326</v>
      </c>
      <c r="T111" s="19">
        <f t="shared" si="114"/>
        <v>1451.9961979999998</v>
      </c>
      <c r="U111" s="19">
        <f t="shared" si="115"/>
        <v>1498.0016925999998</v>
      </c>
      <c r="V111" s="19">
        <f t="shared" si="116"/>
        <v>1512.0173425999999</v>
      </c>
      <c r="W111" s="46">
        <f t="shared" si="87"/>
        <v>725.49446169999987</v>
      </c>
      <c r="Y111" s="46">
        <f t="shared" si="149"/>
        <v>744.53555629999994</v>
      </c>
      <c r="Z111" s="46">
        <f t="shared" si="150"/>
        <v>749.49095629999999</v>
      </c>
      <c r="AA111" s="46">
        <f t="shared" si="151"/>
        <v>765.46489629999996</v>
      </c>
      <c r="AB111" s="46">
        <f t="shared" si="152"/>
        <v>738.49998359999995</v>
      </c>
      <c r="AC111" s="46">
        <f t="shared" si="153"/>
        <v>746.48695359999999</v>
      </c>
    </row>
    <row r="112" spans="1:29" x14ac:dyDescent="0.25">
      <c r="A112" s="20" t="s">
        <v>465</v>
      </c>
      <c r="B112" s="17" t="str">
        <f t="shared" si="100"/>
        <v>CL 72:5</v>
      </c>
      <c r="C112" s="1" t="str">
        <f t="shared" si="101"/>
        <v>72</v>
      </c>
      <c r="D112" s="1" t="str">
        <f t="shared" si="102"/>
        <v>5</v>
      </c>
      <c r="E112" s="17">
        <f t="shared" si="103"/>
        <v>81</v>
      </c>
      <c r="F112" s="17">
        <f t="shared" si="104"/>
        <v>148</v>
      </c>
      <c r="G112" s="17">
        <v>0</v>
      </c>
      <c r="H112" s="17">
        <f t="shared" si="105"/>
        <v>17</v>
      </c>
      <c r="I112" s="17">
        <v>2</v>
      </c>
      <c r="L112" s="19" t="str">
        <f t="shared" si="106"/>
        <v>C81H148O17P2</v>
      </c>
      <c r="M112" s="19">
        <f t="shared" si="107"/>
        <v>1455.0191218</v>
      </c>
      <c r="N112" s="19">
        <f t="shared" si="108"/>
        <v>1456.0263964000001</v>
      </c>
      <c r="O112" s="46">
        <f t="shared" si="109"/>
        <v>1438.0152764000002</v>
      </c>
      <c r="P112" s="46">
        <f t="shared" si="110"/>
        <v>1473.0529418000001</v>
      </c>
      <c r="Q112" s="46">
        <f t="shared" si="111"/>
        <v>1478.0083417999999</v>
      </c>
      <c r="R112" s="46">
        <f t="shared" si="112"/>
        <v>1493.9822818</v>
      </c>
      <c r="S112" s="46">
        <f t="shared" si="113"/>
        <v>1462.0345818000001</v>
      </c>
      <c r="T112" s="19">
        <f t="shared" si="114"/>
        <v>1454.0118471999999</v>
      </c>
      <c r="U112" s="19">
        <f t="shared" si="115"/>
        <v>1500.0173417999999</v>
      </c>
      <c r="V112" s="19">
        <f t="shared" si="116"/>
        <v>1514.0329918</v>
      </c>
      <c r="W112" s="46">
        <f t="shared" si="87"/>
        <v>726.50228629999992</v>
      </c>
      <c r="Y112" s="46">
        <f t="shared" si="149"/>
        <v>745.54338089999999</v>
      </c>
      <c r="Z112" s="46">
        <f t="shared" si="150"/>
        <v>750.49878090000004</v>
      </c>
      <c r="AA112" s="46">
        <f t="shared" si="151"/>
        <v>766.47272090000001</v>
      </c>
      <c r="AB112" s="46">
        <f t="shared" si="152"/>
        <v>739.5078082</v>
      </c>
      <c r="AC112" s="46">
        <f t="shared" si="153"/>
        <v>747.49477820000004</v>
      </c>
    </row>
    <row r="113" spans="1:29" x14ac:dyDescent="0.25">
      <c r="A113" s="20" t="s">
        <v>247</v>
      </c>
      <c r="B113" s="17" t="str">
        <f t="shared" si="100"/>
        <v>CL 72:4</v>
      </c>
      <c r="C113" s="1" t="str">
        <f t="shared" si="101"/>
        <v>72</v>
      </c>
      <c r="D113" s="1" t="str">
        <f t="shared" si="102"/>
        <v>4</v>
      </c>
      <c r="E113" s="17">
        <f t="shared" si="103"/>
        <v>81</v>
      </c>
      <c r="F113" s="17">
        <f t="shared" si="104"/>
        <v>150</v>
      </c>
      <c r="G113" s="17">
        <v>0</v>
      </c>
      <c r="H113" s="17">
        <f t="shared" si="105"/>
        <v>17</v>
      </c>
      <c r="I113" s="17">
        <v>2</v>
      </c>
      <c r="L113" s="19" t="str">
        <f t="shared" si="106"/>
        <v>C81H150O17P2</v>
      </c>
      <c r="M113" s="19">
        <f t="shared" si="107"/>
        <v>1457.0347710000001</v>
      </c>
      <c r="N113" s="19">
        <f t="shared" si="108"/>
        <v>1458.0420456000002</v>
      </c>
      <c r="O113" s="46">
        <f t="shared" si="109"/>
        <v>1440.0309256000003</v>
      </c>
      <c r="P113" s="46">
        <f t="shared" si="110"/>
        <v>1475.0685910000002</v>
      </c>
      <c r="Q113" s="46">
        <f t="shared" si="111"/>
        <v>1480.023991</v>
      </c>
      <c r="R113" s="46">
        <f t="shared" si="112"/>
        <v>1495.9979310000001</v>
      </c>
      <c r="S113" s="46">
        <f t="shared" si="113"/>
        <v>1464.0502310000002</v>
      </c>
      <c r="T113" s="19">
        <f t="shared" si="114"/>
        <v>1456.0274964</v>
      </c>
      <c r="U113" s="19">
        <f t="shared" si="115"/>
        <v>1502.032991</v>
      </c>
      <c r="V113" s="19">
        <f t="shared" si="116"/>
        <v>1516.0486410000001</v>
      </c>
      <c r="W113" s="46">
        <f t="shared" si="87"/>
        <v>727.51011089999997</v>
      </c>
      <c r="Y113" s="46">
        <f t="shared" si="149"/>
        <v>746.55120550000004</v>
      </c>
      <c r="Z113" s="46">
        <f t="shared" si="150"/>
        <v>751.50660550000009</v>
      </c>
      <c r="AA113" s="46">
        <f t="shared" si="151"/>
        <v>767.48054550000006</v>
      </c>
      <c r="AB113" s="46">
        <f t="shared" si="152"/>
        <v>740.51563280000005</v>
      </c>
      <c r="AC113" s="46">
        <f t="shared" si="153"/>
        <v>748.50260280000009</v>
      </c>
    </row>
    <row r="114" spans="1:29" x14ac:dyDescent="0.25">
      <c r="A114" s="20" t="s">
        <v>246</v>
      </c>
      <c r="B114" s="17" t="str">
        <f t="shared" si="100"/>
        <v>CL 72:3</v>
      </c>
      <c r="C114" s="1" t="str">
        <f t="shared" si="101"/>
        <v>72</v>
      </c>
      <c r="D114" s="1" t="str">
        <f t="shared" si="102"/>
        <v>3</v>
      </c>
      <c r="E114" s="17">
        <f t="shared" si="103"/>
        <v>81</v>
      </c>
      <c r="F114" s="17">
        <f t="shared" si="104"/>
        <v>152</v>
      </c>
      <c r="G114" s="17">
        <v>0</v>
      </c>
      <c r="H114" s="17">
        <f t="shared" si="105"/>
        <v>17</v>
      </c>
      <c r="I114" s="17">
        <v>2</v>
      </c>
      <c r="L114" s="19" t="str">
        <f t="shared" si="106"/>
        <v>C81H152O17P2</v>
      </c>
      <c r="M114" s="19">
        <f t="shared" si="107"/>
        <v>1459.0504202</v>
      </c>
      <c r="N114" s="19">
        <f t="shared" si="108"/>
        <v>1460.0576948</v>
      </c>
      <c r="O114" s="46">
        <f t="shared" si="109"/>
        <v>1442.0465748000001</v>
      </c>
      <c r="P114" s="46">
        <f t="shared" si="110"/>
        <v>1477.0842402000001</v>
      </c>
      <c r="Q114" s="46">
        <f t="shared" si="111"/>
        <v>1482.0396401999999</v>
      </c>
      <c r="R114" s="46">
        <f t="shared" si="112"/>
        <v>1498.0135802</v>
      </c>
      <c r="S114" s="46">
        <f t="shared" si="113"/>
        <v>1466.0658802</v>
      </c>
      <c r="T114" s="19">
        <f t="shared" si="114"/>
        <v>1458.0431455999999</v>
      </c>
      <c r="U114" s="19">
        <f t="shared" si="115"/>
        <v>1504.0486401999999</v>
      </c>
      <c r="V114" s="19">
        <f t="shared" si="116"/>
        <v>1518.0642902</v>
      </c>
      <c r="W114" s="46">
        <f t="shared" si="87"/>
        <v>728.51793549999991</v>
      </c>
      <c r="Y114" s="46">
        <f t="shared" si="149"/>
        <v>747.55903009999997</v>
      </c>
      <c r="Z114" s="46">
        <f t="shared" si="150"/>
        <v>752.51443010000003</v>
      </c>
      <c r="AA114" s="46">
        <f t="shared" si="151"/>
        <v>768.4883701</v>
      </c>
      <c r="AB114" s="46">
        <f t="shared" si="152"/>
        <v>741.52345739999998</v>
      </c>
      <c r="AC114" s="46">
        <f t="shared" si="153"/>
        <v>749.51042740000003</v>
      </c>
    </row>
    <row r="115" spans="1:29" x14ac:dyDescent="0.25">
      <c r="A115" s="20" t="s">
        <v>221</v>
      </c>
      <c r="B115" s="17" t="str">
        <f>IF(ISNUMBER(SEARCH("[",A115)),IF(ISNUMBER(SEARCH("/",A115)),CONCATENATE(MID(A115,1,2)," ",(SUM(MID(A115,FIND("[",A115)+1,FIND(":",A115)-FIND("[",A115)-1),MID(A115,FIND("/",A115)+1,FIND(":",A115,FIND("/",A115))-FIND("/",A115)-1),MID(A115,FIND("[",A115,FIND("[",A115)+1)+1,(FIND(":",A115,FIND("[",A115))-FIND("[",A115)-1)),MID(A115,FIND("/",A115,FIND("/",A115)+1)+1,FIND(":",A115,FIND("/",A115,FIND("[",A115,FIND("[",A115)+1)+1))-FIND("/",A115,FIND("[",A115,FIND("[",A115)+1)+1)-1))),":",SUM(MID(A115,FIND(":",A115)+1,FIND("/",A115)-FIND(":",A115)-1),MID(A115,FIND(":",A115,FIND("/",A115))+1,FIND("]",A115)-FIND(":",A115,FIND("/",A115))-1),MID(A115,FIND(":",A115,FIND("[",A115,FIND("[",A115)+1))+1,(FIND("/",A115,FIND("[",A115,FIND("[",A115)+1)+1)-FIND(":",A115,FIND("[",A115,FIND("[",A115)+1))-1)),MID(A115,FIND(":",A115,FIND("/",A115,FIND("]",A115)+1))+1,(FIND("]",A115,FIND("[",A115,FIND("[",A115)+1)+1)-FIND(":",A115,FIND("/",A115,FIND("]",A115)+1))-1))),MID(A115,(FIND(")",A115)+1),100)),CONCATENATE(MID(A115,1,2)," ",(SUM(MID(A115,FIND("[",A115)+1,FIND(":",A115)-FIND("[",A115)-1),MID(A115,FIND("_",A115)+1,FIND(":",A115,FIND("_",A115))-FIND("_",A115)-1),MID(A115,FIND("[",A115,FIND("[",A115)+1)+1,(FIND(":",A115,FIND("[",A115))-FIND("[",A115)-1)),MID(A115,FIND("_",A115,FIND("_",A115)+1)+1,FIND(":",A115,FIND("_",A115,FIND("[",A115,FIND("[",A115)+1)+1))-FIND("_",A115,FIND("[",A115,FIND("[",A115)+1)+1)-1))),":",SUM(MID(A115,FIND(":",A115)+1,FIND("_",A115)-FIND(":",A115)-1),MID(A115,FIND(":",A115,FIND("_",A115))+1,FIND("]",A115)-FIND(":",A115,FIND("_",A115))-1),MID(A115,FIND(":",A115,FIND("[",A115,FIND("[",A115)+1))+1,(FIND("_",A115,FIND("[",A115,FIND("[",A115)+1)+1)-FIND(":",A115,FIND("[",A115,FIND("[",A115)+1))-1)),MID(A115,FIND(":",A115,FIND("_",A115,FIND("]",A115)+1))+1,(FIND("]",A115,FIND("[",A115,FIND("[",A115)+1)+1)-FIND(":",A115,FIND("_",A115,FIND("]",A115)+1))-1))),MID(A115,(FIND(")",A115)+1),100))),A115)</f>
        <v>CL 72:2</v>
      </c>
      <c r="C115" s="1" t="str">
        <f>MID(B115,4,FIND(":",B115)-FIND(" ",B115)-1)</f>
        <v>72</v>
      </c>
      <c r="D115" s="1" t="str">
        <f>IF(ISNUMBER(SEARCH("__",B115)),MID(B115,FIND(":",B115)+1,FIND("__",B115)-FIND(":",B115)-1),MID(B115,FIND(":",B115)+1,7))</f>
        <v>2</v>
      </c>
      <c r="E115" s="17">
        <f t="shared" si="103"/>
        <v>81</v>
      </c>
      <c r="F115" s="17">
        <f t="shared" si="104"/>
        <v>154</v>
      </c>
      <c r="G115" s="17">
        <v>0</v>
      </c>
      <c r="H115" s="17">
        <f t="shared" si="105"/>
        <v>17</v>
      </c>
      <c r="I115" s="17">
        <v>2</v>
      </c>
      <c r="L115" s="19" t="str">
        <f t="shared" si="106"/>
        <v>C81H154O17P2</v>
      </c>
      <c r="M115" s="19">
        <f t="shared" si="107"/>
        <v>1461.0660694000001</v>
      </c>
      <c r="N115" s="19">
        <f t="shared" si="108"/>
        <v>1462.0733440000001</v>
      </c>
      <c r="O115" s="46">
        <f t="shared" si="109"/>
        <v>1444.0622240000002</v>
      </c>
      <c r="P115" s="46">
        <f t="shared" si="110"/>
        <v>1479.0998894000002</v>
      </c>
      <c r="Q115" s="46">
        <f t="shared" si="111"/>
        <v>1484.0552894</v>
      </c>
      <c r="R115" s="46">
        <f t="shared" si="112"/>
        <v>1500.0292294000001</v>
      </c>
      <c r="S115" s="46">
        <f t="shared" si="113"/>
        <v>1468.0815294000001</v>
      </c>
      <c r="T115" s="19">
        <f t="shared" si="114"/>
        <v>1460.0587948</v>
      </c>
      <c r="U115" s="19">
        <f t="shared" si="115"/>
        <v>1506.0642894</v>
      </c>
      <c r="V115" s="19">
        <f t="shared" si="116"/>
        <v>1520.0799394000001</v>
      </c>
      <c r="W115" s="46">
        <f t="shared" si="87"/>
        <v>729.52576009999996</v>
      </c>
      <c r="Y115" s="46">
        <f t="shared" si="149"/>
        <v>748.56685470000002</v>
      </c>
      <c r="Z115" s="46">
        <f t="shared" si="150"/>
        <v>753.52225470000008</v>
      </c>
      <c r="AA115" s="46">
        <f t="shared" si="151"/>
        <v>769.49619470000005</v>
      </c>
      <c r="AB115" s="46">
        <f t="shared" si="152"/>
        <v>742.53128200000003</v>
      </c>
      <c r="AC115" s="46">
        <f t="shared" si="153"/>
        <v>750.51825200000007</v>
      </c>
    </row>
    <row r="116" spans="1:29" x14ac:dyDescent="0.25">
      <c r="A116" s="20" t="s">
        <v>207</v>
      </c>
      <c r="B116" s="17" t="str">
        <f>IF(ISNUMBER(SEARCH("[",A116)),IF(ISNUMBER(SEARCH("/",A116)),CONCATENATE(MID(A116,1,2)," ",(SUM(MID(A116,FIND("[",A116)+1,FIND(":",A116)-FIND("[",A116)-1),MID(A116,FIND("/",A116)+1,FIND(":",A116,FIND("/",A116))-FIND("/",A116)-1),MID(A116,FIND("[",A116,FIND("[",A116)+1)+1,(FIND(":",A116,FIND("[",A116))-FIND("[",A116)-1)),MID(A116,FIND("/",A116,FIND("/",A116)+1)+1,FIND(":",A116,FIND("/",A116,FIND("[",A116,FIND("[",A116)+1)+1))-FIND("/",A116,FIND("[",A116,FIND("[",A116)+1)+1)-1))),":",SUM(MID(A116,FIND(":",A116)+1,FIND("/",A116)-FIND(":",A116)-1),MID(A116,FIND(":",A116,FIND("/",A116))+1,FIND("]",A116)-FIND(":",A116,FIND("/",A116))-1),MID(A116,FIND(":",A116,FIND("[",A116,FIND("[",A116)+1))+1,(FIND("/",A116,FIND("[",A116,FIND("[",A116)+1)+1)-FIND(":",A116,FIND("[",A116,FIND("[",A116)+1))-1)),MID(A116,FIND(":",A116,FIND("/",A116,FIND("]",A116)+1))+1,(FIND("]",A116,FIND("[",A116,FIND("[",A116)+1)+1)-FIND(":",A116,FIND("/",A116,FIND("]",A116)+1))-1))),MID(A116,(FIND(")",A116)+1),100)),CONCATENATE(MID(A116,1,2)," ",(SUM(MID(A116,FIND("[",A116)+1,FIND(":",A116)-FIND("[",A116)-1),MID(A116,FIND("_",A116)+1,FIND(":",A116,FIND("_",A116))-FIND("_",A116)-1),MID(A116,FIND("[",A116,FIND("[",A116)+1)+1,(FIND(":",A116,FIND("[",A116))-FIND("[",A116)-1)),MID(A116,FIND("_",A116,FIND("_",A116)+1)+1,FIND(":",A116,FIND("_",A116,FIND("[",A116,FIND("[",A116)+1)+1))-FIND("_",A116,FIND("[",A116,FIND("[",A116)+1)+1)-1))),":",SUM(MID(A116,FIND(":",A116)+1,FIND("_",A116)-FIND(":",A116)-1),MID(A116,FIND(":",A116,FIND("_",A116))+1,FIND("]",A116)-FIND(":",A116,FIND("_",A116))-1),MID(A116,FIND(":",A116,FIND("[",A116,FIND("[",A116)+1))+1,(FIND("_",A116,FIND("[",A116,FIND("[",A116)+1)+1)-FIND(":",A116,FIND("[",A116,FIND("[",A116)+1))-1)),MID(A116,FIND(":",A116,FIND("_",A116,FIND("]",A116)+1))+1,(FIND("]",A116,FIND("[",A116,FIND("[",A116)+1)+1)-FIND(":",A116,FIND("_",A116,FIND("]",A116)+1))-1))),MID(A116,(FIND(")",A116)+1),100))),A116)</f>
        <v>CL 72:1</v>
      </c>
      <c r="C116" s="1" t="str">
        <f>MID(B116,4,FIND(":",B116)-FIND(" ",B116)-1)</f>
        <v>72</v>
      </c>
      <c r="D116" s="1" t="str">
        <f>IF(ISNUMBER(SEARCH("__",B116)),MID(B116,FIND(":",B116)+1,FIND("__",B116)-FIND(":",B116)-1),MID(B116,FIND(":",B116)+1,7))</f>
        <v>1</v>
      </c>
      <c r="E116" s="17">
        <f t="shared" si="103"/>
        <v>81</v>
      </c>
      <c r="F116" s="17">
        <f t="shared" si="104"/>
        <v>156</v>
      </c>
      <c r="G116" s="17">
        <v>0</v>
      </c>
      <c r="H116" s="17">
        <f t="shared" si="105"/>
        <v>17</v>
      </c>
      <c r="I116" s="17">
        <v>2</v>
      </c>
      <c r="L116" s="19" t="str">
        <f t="shared" si="106"/>
        <v>C81H156O17P2</v>
      </c>
      <c r="M116" s="19">
        <f t="shared" si="107"/>
        <v>1463.0817185999999</v>
      </c>
      <c r="N116" s="19">
        <f t="shared" si="108"/>
        <v>1464.0889932</v>
      </c>
      <c r="O116" s="46">
        <f t="shared" si="109"/>
        <v>1446.0778732000001</v>
      </c>
      <c r="P116" s="46">
        <f t="shared" si="110"/>
        <v>1481.1155386</v>
      </c>
      <c r="Q116" s="46">
        <f t="shared" si="111"/>
        <v>1486.0709385999999</v>
      </c>
      <c r="R116" s="46">
        <f t="shared" si="112"/>
        <v>1502.0448785999999</v>
      </c>
      <c r="S116" s="46">
        <f t="shared" si="113"/>
        <v>1470.0971786</v>
      </c>
      <c r="T116" s="19">
        <f t="shared" si="114"/>
        <v>1462.0744439999999</v>
      </c>
      <c r="U116" s="19">
        <f t="shared" si="115"/>
        <v>1508.0799385999999</v>
      </c>
      <c r="V116" s="19">
        <f t="shared" si="116"/>
        <v>1522.0955885999999</v>
      </c>
      <c r="W116" s="46">
        <f t="shared" si="87"/>
        <v>730.53358469999989</v>
      </c>
      <c r="Y116" s="46">
        <f t="shared" si="149"/>
        <v>749.57467929999996</v>
      </c>
      <c r="Z116" s="46">
        <f t="shared" si="150"/>
        <v>754.53007930000001</v>
      </c>
      <c r="AA116" s="46">
        <f t="shared" si="151"/>
        <v>770.50401929999998</v>
      </c>
      <c r="AB116" s="46">
        <f t="shared" si="152"/>
        <v>743.53910659999997</v>
      </c>
      <c r="AC116" s="46">
        <f t="shared" si="153"/>
        <v>751.52607660000001</v>
      </c>
    </row>
    <row r="117" spans="1:29" x14ac:dyDescent="0.25">
      <c r="A117" s="20" t="s">
        <v>180</v>
      </c>
      <c r="B117" s="17" t="str">
        <f t="shared" si="100"/>
        <v>CL 72:0</v>
      </c>
      <c r="C117" s="1" t="str">
        <f t="shared" si="101"/>
        <v>72</v>
      </c>
      <c r="D117" s="1" t="str">
        <f t="shared" si="102"/>
        <v>0</v>
      </c>
      <c r="E117" s="17">
        <f t="shared" si="103"/>
        <v>81</v>
      </c>
      <c r="F117" s="17">
        <f t="shared" si="104"/>
        <v>158</v>
      </c>
      <c r="G117" s="17">
        <v>0</v>
      </c>
      <c r="H117" s="17">
        <f t="shared" si="105"/>
        <v>17</v>
      </c>
      <c r="I117" s="17">
        <v>2</v>
      </c>
      <c r="L117" s="19" t="str">
        <f t="shared" si="106"/>
        <v>C81H158O17P2</v>
      </c>
      <c r="M117" s="19">
        <f t="shared" si="107"/>
        <v>1465.0973678</v>
      </c>
      <c r="N117" s="19">
        <f t="shared" si="108"/>
        <v>1466.1046424000001</v>
      </c>
      <c r="O117" s="46">
        <f t="shared" si="109"/>
        <v>1448.0935224000002</v>
      </c>
      <c r="P117" s="46">
        <f t="shared" si="110"/>
        <v>1483.1311878000001</v>
      </c>
      <c r="Q117" s="46">
        <f t="shared" si="111"/>
        <v>1488.0865878</v>
      </c>
      <c r="R117" s="46">
        <f t="shared" si="112"/>
        <v>1504.0605278</v>
      </c>
      <c r="S117" s="46">
        <f t="shared" si="113"/>
        <v>1472.1128278000001</v>
      </c>
      <c r="T117" s="19">
        <f t="shared" si="114"/>
        <v>1464.0900932</v>
      </c>
      <c r="U117" s="19">
        <f t="shared" si="115"/>
        <v>1510.0955878</v>
      </c>
      <c r="V117" s="19">
        <f t="shared" si="116"/>
        <v>1524.1112378</v>
      </c>
      <c r="W117" s="46">
        <f t="shared" si="87"/>
        <v>731.54140929999994</v>
      </c>
      <c r="Y117" s="46">
        <f t="shared" si="149"/>
        <v>750.58250390000001</v>
      </c>
      <c r="Z117" s="46">
        <f t="shared" si="150"/>
        <v>755.53790390000006</v>
      </c>
      <c r="AA117" s="46">
        <f t="shared" si="151"/>
        <v>771.51184390000003</v>
      </c>
      <c r="AB117" s="46">
        <f t="shared" si="152"/>
        <v>744.54693120000002</v>
      </c>
      <c r="AC117" s="46">
        <f t="shared" si="153"/>
        <v>752.53390120000006</v>
      </c>
    </row>
    <row r="118" spans="1:29" x14ac:dyDescent="0.25">
      <c r="A118" s="20" t="s">
        <v>268</v>
      </c>
      <c r="B118" s="17" t="str">
        <f t="shared" si="100"/>
        <v>CL 73:3</v>
      </c>
      <c r="C118" s="1" t="str">
        <f t="shared" si="101"/>
        <v>73</v>
      </c>
      <c r="D118" s="1" t="str">
        <f t="shared" si="102"/>
        <v>3</v>
      </c>
      <c r="E118" s="17">
        <f t="shared" si="103"/>
        <v>82</v>
      </c>
      <c r="F118" s="17">
        <f t="shared" si="104"/>
        <v>154</v>
      </c>
      <c r="G118" s="17">
        <v>0</v>
      </c>
      <c r="H118" s="17">
        <f t="shared" si="105"/>
        <v>17</v>
      </c>
      <c r="I118" s="17">
        <v>2</v>
      </c>
      <c r="L118" s="19" t="str">
        <f t="shared" ref="L118" si="155">CONCATENATE("C",E118,"H",F118,"O",H118,"P",I118)</f>
        <v>C82H154O17P2</v>
      </c>
      <c r="M118" s="19">
        <f t="shared" ref="M118" si="156">(E118*12)+(F118*1.0078246)+(G118*14.003074)+(H118*15.994915)+(I118*30.973763)</f>
        <v>1473.0660694000001</v>
      </c>
      <c r="N118" s="19">
        <f t="shared" ref="N118" si="157">M118+1.0078246-0.00055</f>
        <v>1474.0733440000001</v>
      </c>
      <c r="O118" s="46">
        <f t="shared" ref="O118" si="158">N118-18.01057-0.00055</f>
        <v>1456.0622240000002</v>
      </c>
      <c r="P118" s="46">
        <f t="shared" ref="P118" si="159">M118+18.03437-0.00055</f>
        <v>1491.0998894000002</v>
      </c>
      <c r="Q118" s="46">
        <f t="shared" ref="Q118" si="160">M118+22.98977-0.00055</f>
        <v>1496.0552894</v>
      </c>
      <c r="R118" s="46">
        <f t="shared" ref="R118" si="161">M118+38.96371-0.00055</f>
        <v>1512.0292294000001</v>
      </c>
      <c r="S118" s="46">
        <f t="shared" ref="S118" si="162">M118+7.01601-0.00055</f>
        <v>1480.0815294000001</v>
      </c>
      <c r="T118" s="19">
        <f t="shared" ref="T118" si="163">M118-1.0078246+0.00055</f>
        <v>1472.0587948</v>
      </c>
      <c r="U118" s="19">
        <f t="shared" ref="U118" si="164">M118+44.99767+0.00055</f>
        <v>1518.0642894</v>
      </c>
      <c r="V118" s="19">
        <f t="shared" ref="V118" si="165">M118+59.01332+0.00055</f>
        <v>1532.0799394000001</v>
      </c>
      <c r="W118" s="46">
        <f t="shared" si="87"/>
        <v>735.52576009999996</v>
      </c>
      <c r="Y118" s="46">
        <f t="shared" si="149"/>
        <v>754.56685470000002</v>
      </c>
      <c r="Z118" s="46">
        <f t="shared" si="150"/>
        <v>759.52225470000008</v>
      </c>
      <c r="AA118" s="46">
        <f t="shared" si="151"/>
        <v>775.49619470000005</v>
      </c>
      <c r="AB118" s="46">
        <f t="shared" si="152"/>
        <v>748.53128200000003</v>
      </c>
      <c r="AC118" s="46">
        <f t="shared" si="153"/>
        <v>756.51825200000007</v>
      </c>
    </row>
    <row r="119" spans="1:29" x14ac:dyDescent="0.25">
      <c r="A119" s="20" t="s">
        <v>267</v>
      </c>
      <c r="B119" s="17" t="str">
        <f t="shared" si="100"/>
        <v>CL 73:2</v>
      </c>
      <c r="C119" s="1" t="str">
        <f t="shared" si="101"/>
        <v>73</v>
      </c>
      <c r="D119" s="1" t="str">
        <f t="shared" si="102"/>
        <v>2</v>
      </c>
      <c r="E119" s="17">
        <f t="shared" si="103"/>
        <v>82</v>
      </c>
      <c r="F119" s="17">
        <f t="shared" si="104"/>
        <v>156</v>
      </c>
      <c r="G119" s="17">
        <v>0</v>
      </c>
      <c r="H119" s="17">
        <f t="shared" si="105"/>
        <v>17</v>
      </c>
      <c r="I119" s="17">
        <v>2</v>
      </c>
      <c r="L119" s="19" t="str">
        <f t="shared" ref="L119" si="166">CONCATENATE("C",E119,"H",F119,"O",H119,"P",I119)</f>
        <v>C82H156O17P2</v>
      </c>
      <c r="M119" s="19">
        <f t="shared" ref="M119" si="167">(E119*12)+(F119*1.0078246)+(G119*14.003074)+(H119*15.994915)+(I119*30.973763)</f>
        <v>1475.0817185999999</v>
      </c>
      <c r="N119" s="19">
        <f t="shared" ref="N119" si="168">M119+1.0078246-0.00055</f>
        <v>1476.0889932</v>
      </c>
      <c r="O119" s="46">
        <f t="shared" ref="O119" si="169">N119-18.01057-0.00055</f>
        <v>1458.0778732000001</v>
      </c>
      <c r="P119" s="46">
        <f t="shared" ref="P119" si="170">M119+18.03437-0.00055</f>
        <v>1493.1155386</v>
      </c>
      <c r="Q119" s="46">
        <f t="shared" ref="Q119" si="171">M119+22.98977-0.00055</f>
        <v>1498.0709385999999</v>
      </c>
      <c r="R119" s="46">
        <f t="shared" ref="R119" si="172">M119+38.96371-0.00055</f>
        <v>1514.0448785999999</v>
      </c>
      <c r="S119" s="46">
        <f t="shared" ref="S119" si="173">M119+7.01601-0.00055</f>
        <v>1482.0971786</v>
      </c>
      <c r="T119" s="19">
        <f t="shared" ref="T119" si="174">M119-1.0078246+0.00055</f>
        <v>1474.0744439999999</v>
      </c>
      <c r="U119" s="19">
        <f t="shared" ref="U119" si="175">M119+44.99767+0.00055</f>
        <v>1520.0799385999999</v>
      </c>
      <c r="V119" s="19">
        <f t="shared" ref="V119" si="176">M119+59.01332+0.00055</f>
        <v>1534.0955885999999</v>
      </c>
      <c r="W119" s="46">
        <f t="shared" ref="W119:W134" si="177">(T119-1.0078246+0.00055)/2</f>
        <v>736.53358469999989</v>
      </c>
      <c r="Y119" s="46">
        <f t="shared" si="149"/>
        <v>755.57467929999996</v>
      </c>
      <c r="Z119" s="46">
        <f t="shared" si="150"/>
        <v>760.53007930000001</v>
      </c>
      <c r="AA119" s="46">
        <f t="shared" si="151"/>
        <v>776.50401929999998</v>
      </c>
      <c r="AB119" s="46">
        <f t="shared" si="152"/>
        <v>749.53910659999997</v>
      </c>
      <c r="AC119" s="46">
        <f t="shared" si="153"/>
        <v>757.52607660000001</v>
      </c>
    </row>
    <row r="120" spans="1:29" x14ac:dyDescent="0.25">
      <c r="A120" s="20" t="s">
        <v>266</v>
      </c>
      <c r="B120" s="17" t="str">
        <f t="shared" si="100"/>
        <v>CL 73:1</v>
      </c>
      <c r="C120" s="1" t="str">
        <f t="shared" si="101"/>
        <v>73</v>
      </c>
      <c r="D120" s="1" t="str">
        <f t="shared" si="102"/>
        <v>1</v>
      </c>
      <c r="E120" s="17">
        <f t="shared" si="103"/>
        <v>82</v>
      </c>
      <c r="F120" s="17">
        <f t="shared" si="104"/>
        <v>158</v>
      </c>
      <c r="G120" s="17">
        <v>0</v>
      </c>
      <c r="H120" s="17">
        <f t="shared" si="105"/>
        <v>17</v>
      </c>
      <c r="I120" s="17">
        <v>2</v>
      </c>
      <c r="L120" s="19" t="str">
        <f t="shared" ref="L120" si="178">CONCATENATE("C",E120,"H",F120,"O",H120,"P",I120)</f>
        <v>C82H158O17P2</v>
      </c>
      <c r="M120" s="19">
        <f t="shared" ref="M120" si="179">(E120*12)+(F120*1.0078246)+(G120*14.003074)+(H120*15.994915)+(I120*30.973763)</f>
        <v>1477.0973678</v>
      </c>
      <c r="N120" s="19">
        <f t="shared" ref="N120" si="180">M120+1.0078246-0.00055</f>
        <v>1478.1046424000001</v>
      </c>
      <c r="O120" s="46">
        <f t="shared" ref="O120" si="181">N120-18.01057-0.00055</f>
        <v>1460.0935224000002</v>
      </c>
      <c r="P120" s="46">
        <f t="shared" ref="P120" si="182">M120+18.03437-0.00055</f>
        <v>1495.1311878000001</v>
      </c>
      <c r="Q120" s="46">
        <f t="shared" ref="Q120" si="183">M120+22.98977-0.00055</f>
        <v>1500.0865878</v>
      </c>
      <c r="R120" s="46">
        <f t="shared" ref="R120" si="184">M120+38.96371-0.00055</f>
        <v>1516.0605278</v>
      </c>
      <c r="S120" s="46">
        <f t="shared" ref="S120" si="185">M120+7.01601-0.00055</f>
        <v>1484.1128278000001</v>
      </c>
      <c r="T120" s="19">
        <f t="shared" ref="T120" si="186">M120-1.0078246+0.00055</f>
        <v>1476.0900932</v>
      </c>
      <c r="U120" s="19">
        <f t="shared" ref="U120" si="187">M120+44.99767+0.00055</f>
        <v>1522.0955878</v>
      </c>
      <c r="V120" s="19">
        <f t="shared" ref="V120" si="188">M120+59.01332+0.00055</f>
        <v>1536.1112378</v>
      </c>
      <c r="W120" s="46">
        <f t="shared" si="177"/>
        <v>737.54140929999994</v>
      </c>
      <c r="Y120" s="46">
        <f t="shared" si="149"/>
        <v>756.58250390000001</v>
      </c>
      <c r="Z120" s="46">
        <f t="shared" si="150"/>
        <v>761.53790390000006</v>
      </c>
      <c r="AA120" s="46">
        <f t="shared" si="151"/>
        <v>777.51184390000003</v>
      </c>
      <c r="AB120" s="46">
        <f t="shared" si="152"/>
        <v>750.54693120000002</v>
      </c>
      <c r="AC120" s="46">
        <f t="shared" si="153"/>
        <v>758.53390120000006</v>
      </c>
    </row>
    <row r="121" spans="1:29" x14ac:dyDescent="0.25">
      <c r="A121" s="19" t="s">
        <v>265</v>
      </c>
      <c r="B121" s="17" t="str">
        <f t="shared" si="100"/>
        <v>CL 73:0</v>
      </c>
      <c r="C121" s="1" t="str">
        <f t="shared" si="101"/>
        <v>73</v>
      </c>
      <c r="D121" s="1" t="str">
        <f t="shared" si="102"/>
        <v>0</v>
      </c>
      <c r="E121" s="17">
        <f t="shared" si="103"/>
        <v>82</v>
      </c>
      <c r="F121" s="17">
        <f t="shared" si="104"/>
        <v>160</v>
      </c>
      <c r="G121" s="17">
        <v>0</v>
      </c>
      <c r="H121" s="17">
        <f t="shared" si="105"/>
        <v>17</v>
      </c>
      <c r="I121" s="17">
        <v>2</v>
      </c>
      <c r="L121" s="19" t="str">
        <f t="shared" ref="L121" si="189">CONCATENATE("C",E121,"H",F121,"O",H121,"P",I121)</f>
        <v>C82H160O17P2</v>
      </c>
      <c r="M121" s="19">
        <f t="shared" ref="M121" si="190">(E121*12)+(F121*1.0078246)+(G121*14.003074)+(H121*15.994915)+(I121*30.973763)</f>
        <v>1479.1130170000001</v>
      </c>
      <c r="N121" s="19">
        <f t="shared" ref="N121" si="191">M121+1.0078246-0.00055</f>
        <v>1480.1202916000002</v>
      </c>
      <c r="O121" s="46">
        <f t="shared" ref="O121" si="192">N121-18.01057-0.00055</f>
        <v>1462.1091716000003</v>
      </c>
      <c r="P121" s="46">
        <f t="shared" ref="P121" si="193">M121+18.03437-0.00055</f>
        <v>1497.1468370000002</v>
      </c>
      <c r="Q121" s="46">
        <f t="shared" ref="Q121" si="194">M121+22.98977-0.00055</f>
        <v>1502.1022370000001</v>
      </c>
      <c r="R121" s="46">
        <f t="shared" ref="R121" si="195">M121+38.96371-0.00055</f>
        <v>1518.0761770000001</v>
      </c>
      <c r="S121" s="46">
        <f t="shared" ref="S121" si="196">M121+7.01601-0.00055</f>
        <v>1486.1284770000002</v>
      </c>
      <c r="T121" s="19">
        <f t="shared" ref="T121" si="197">M121-1.0078246+0.00055</f>
        <v>1478.1057424000001</v>
      </c>
      <c r="U121" s="19">
        <f t="shared" ref="U121" si="198">M121+44.99767+0.00055</f>
        <v>1524.1112370000001</v>
      </c>
      <c r="V121" s="19">
        <f t="shared" ref="V121" si="199">M121+59.01332+0.00055</f>
        <v>1538.1268870000001</v>
      </c>
      <c r="W121" s="46">
        <f t="shared" si="177"/>
        <v>738.54923389999999</v>
      </c>
      <c r="Y121" s="46">
        <f t="shared" si="149"/>
        <v>757.59032850000006</v>
      </c>
      <c r="Z121" s="46">
        <f t="shared" si="150"/>
        <v>762.54572850000011</v>
      </c>
      <c r="AA121" s="46">
        <f t="shared" si="151"/>
        <v>778.51966850000008</v>
      </c>
      <c r="AB121" s="46">
        <f t="shared" si="152"/>
        <v>751.55475580000007</v>
      </c>
      <c r="AC121" s="46">
        <f t="shared" si="153"/>
        <v>759.54172580000011</v>
      </c>
    </row>
    <row r="122" spans="1:29" x14ac:dyDescent="0.25">
      <c r="C122" s="1"/>
      <c r="D122" s="1"/>
      <c r="W122" s="46"/>
      <c r="AB122" s="46"/>
      <c r="AC122" s="46"/>
    </row>
    <row r="123" spans="1:29" x14ac:dyDescent="0.25">
      <c r="C123" s="1"/>
      <c r="D123" s="1"/>
      <c r="W123" s="46"/>
      <c r="AB123" s="46"/>
      <c r="AC123" s="46"/>
    </row>
    <row r="124" spans="1:29" x14ac:dyDescent="0.25">
      <c r="C124" s="1"/>
      <c r="D124" s="1"/>
      <c r="W124" s="46"/>
      <c r="AB124" s="46"/>
      <c r="AC124" s="46"/>
    </row>
    <row r="125" spans="1:29" x14ac:dyDescent="0.25">
      <c r="C125" s="1"/>
      <c r="D125" s="1"/>
      <c r="W125" s="46"/>
      <c r="AB125" s="46"/>
      <c r="AC125" s="46"/>
    </row>
    <row r="126" spans="1:29" x14ac:dyDescent="0.25">
      <c r="C126" s="1"/>
      <c r="D126" s="1"/>
      <c r="W126" s="46"/>
      <c r="AB126" s="46"/>
      <c r="AC126" s="46"/>
    </row>
    <row r="127" spans="1:29" x14ac:dyDescent="0.25">
      <c r="C127" s="1"/>
      <c r="D127" s="1"/>
      <c r="W127" s="46"/>
      <c r="AB127" s="46"/>
      <c r="AC127" s="46"/>
    </row>
    <row r="128" spans="1:29" x14ac:dyDescent="0.25">
      <c r="C128" s="1"/>
      <c r="D128" s="1"/>
      <c r="W128" s="46"/>
    </row>
    <row r="129" spans="3:23" x14ac:dyDescent="0.25">
      <c r="C129" s="1"/>
      <c r="D129" s="1"/>
      <c r="W129" s="46"/>
    </row>
    <row r="130" spans="3:23" x14ac:dyDescent="0.25">
      <c r="C130" s="1"/>
      <c r="D130" s="1"/>
      <c r="W130" s="46"/>
    </row>
    <row r="131" spans="3:23" x14ac:dyDescent="0.25">
      <c r="C131" s="1"/>
      <c r="D131" s="1"/>
      <c r="W131" s="46"/>
    </row>
    <row r="134" spans="3:23" x14ac:dyDescent="0.25">
      <c r="C134" s="1"/>
      <c r="D134" s="1"/>
      <c r="W134" s="46"/>
    </row>
    <row r="135" spans="3:23" x14ac:dyDescent="0.25">
      <c r="C135" s="1"/>
      <c r="D135" s="1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7D7E-B540-418B-B926-3FA03FE5FE9B}">
  <sheetPr codeName="Sheet72"/>
  <dimension ref="A1:Y51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A4" sqref="A4:A27"/>
    </sheetView>
  </sheetViews>
  <sheetFormatPr defaultColWidth="9.140625" defaultRowHeight="15.75" x14ac:dyDescent="0.25"/>
  <cols>
    <col min="1" max="1" width="19.5703125" style="17" customWidth="1"/>
    <col min="2" max="2" width="21.140625" style="17" hidden="1" customWidth="1"/>
    <col min="3" max="3" width="3.85546875" style="17" hidden="1" customWidth="1"/>
    <col min="4" max="4" width="2.5703125" style="17" hidden="1" customWidth="1"/>
    <col min="5" max="5" width="11.7109375" style="17" hidden="1" customWidth="1"/>
    <col min="6" max="6" width="12.7109375" style="17" hidden="1" customWidth="1"/>
    <col min="7" max="7" width="10.85546875" style="17" hidden="1" customWidth="1"/>
    <col min="8" max="8" width="12.140625" style="17" hidden="1" customWidth="1"/>
    <col min="9" max="9" width="10.85546875" style="17" hidden="1" customWidth="1"/>
    <col min="10" max="10" width="9.5703125" style="17" hidden="1" customWidth="1"/>
    <col min="11" max="11" width="12" style="17" hidden="1" customWidth="1"/>
    <col min="12" max="12" width="18.42578125" style="19" bestFit="1" customWidth="1"/>
    <col min="13" max="13" width="15.85546875" style="19" bestFit="1" customWidth="1"/>
    <col min="14" max="14" width="13.5703125" style="19" bestFit="1" customWidth="1"/>
    <col min="15" max="15" width="14.42578125" style="19" bestFit="1" customWidth="1"/>
    <col min="16" max="19" width="13.5703125" style="19" bestFit="1" customWidth="1"/>
    <col min="20" max="20" width="12.140625" style="46" bestFit="1" customWidth="1"/>
    <col min="21" max="21" width="13.5703125" style="19" bestFit="1" customWidth="1"/>
    <col min="22" max="22" width="16.5703125" style="19" bestFit="1" customWidth="1"/>
    <col min="23" max="23" width="15.42578125" style="17" bestFit="1" customWidth="1"/>
  </cols>
  <sheetData>
    <row r="1" spans="1:25" s="28" customFormat="1" ht="16.5" customHeight="1" x14ac:dyDescent="0.25">
      <c r="A1" s="27" t="s">
        <v>74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 t="s">
        <v>9</v>
      </c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44" t="s">
        <v>12</v>
      </c>
      <c r="U1" s="29" t="s">
        <v>10</v>
      </c>
      <c r="V1" s="29" t="s">
        <v>11</v>
      </c>
      <c r="W1" s="27"/>
    </row>
    <row r="2" spans="1:25" hidden="1" x14ac:dyDescent="0.25">
      <c r="A2" s="17" t="s">
        <v>600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AcylPG 54:1</v>
      </c>
      <c r="C2" s="1" t="str">
        <f>MID(B2,8,FIND(":",B2)-FIND(" ",B2)-1)</f>
        <v>54</v>
      </c>
      <c r="D2" s="1" t="str">
        <f>IF(ISNUMBER(SEARCH("__",B2)),MID(B2,FIND(":",B2)+1,FIND("__",B2)-FIND(":",B2)-1),MID(B2,FIND(":",B2)+1,7))</f>
        <v>1</v>
      </c>
      <c r="G2" s="17">
        <f>C2+6</f>
        <v>60</v>
      </c>
      <c r="H2" s="17">
        <f>(-2)+2*G2-(2*D2)-1-((LEN(A2)-LEN(SUBSTITUTE(A2,"_O_","")))/LEN("_O_"))*2-((LEN(A2)-LEN(SUBSTITUTE(A2,"_CHO_","")))/LEN("_CHO_"))*2-((LEN(A2)-LEN(SUBSTITUTE(A2,"_COOH_","")))/LEN("_COOH_"))*2</f>
        <v>115</v>
      </c>
      <c r="I2" s="17">
        <f>11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11</v>
      </c>
      <c r="J2" s="17">
        <v>1</v>
      </c>
      <c r="L2" s="19" t="str">
        <f>CONCATENATE("C",G2,"H",H2,"O",I2,"P",J2)</f>
        <v>C60H115O11P1</v>
      </c>
      <c r="M2" s="19">
        <f>(G2*12)+(H2*1.0078246)+(I2*15.994915)+(J2*30.973763)</f>
        <v>1042.8176570000001</v>
      </c>
      <c r="N2" s="19">
        <f>M2+1.0078246-0.00055</f>
        <v>1043.8249316000001</v>
      </c>
      <c r="O2" s="19">
        <f>N2-18.01057-0.00055</f>
        <v>1025.8138116000002</v>
      </c>
      <c r="P2" s="19">
        <f>M2+18.03437-0.00055</f>
        <v>1060.8514770000002</v>
      </c>
      <c r="Q2" s="19">
        <f>M2+22.98977-0.00055</f>
        <v>1065.806877</v>
      </c>
      <c r="R2" s="19">
        <f>M2+38.96371-0.00055</f>
        <v>1081.7808170000001</v>
      </c>
      <c r="S2" s="19">
        <f>M2+7.01601-0.00055</f>
        <v>1049.8331170000001</v>
      </c>
      <c r="T2" s="46">
        <f>M2-1.0078246+0.00055</f>
        <v>1041.8103824</v>
      </c>
      <c r="U2" s="19">
        <f>M2+44.99767+0.00055</f>
        <v>1087.815877</v>
      </c>
      <c r="V2" s="19">
        <f>M2+59.01332+0.00055</f>
        <v>1101.8315270000001</v>
      </c>
    </row>
    <row r="3" spans="1:25" x14ac:dyDescent="0.25">
      <c r="C3" s="1"/>
      <c r="D3" s="1"/>
    </row>
    <row r="4" spans="1:25" x14ac:dyDescent="0.25">
      <c r="A4" s="17" t="s">
        <v>609</v>
      </c>
      <c r="B4" s="17" t="str">
        <f t="shared" ref="B4:B18" si="0"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AcylPG 45:2</v>
      </c>
      <c r="C4" s="1" t="str">
        <f t="shared" ref="C4:C18" si="1">MID(B4,8,FIND(":",B4)-FIND(" ",B4)-1)</f>
        <v>45</v>
      </c>
      <c r="D4" s="1" t="str">
        <f t="shared" ref="D4:D18" si="2">IF(ISNUMBER(SEARCH("__",B4)),MID(B4,FIND(":",B4)+1,FIND("__",B4)-FIND(":",B4)-1),MID(B4,FIND(":",B4)+1,7))</f>
        <v>2</v>
      </c>
      <c r="G4" s="17">
        <f t="shared" ref="G4:G18" si="3">C4+6</f>
        <v>51</v>
      </c>
      <c r="H4" s="17">
        <f t="shared" ref="H4:H18" si="4">(-2)+2*G4-(2*D4)-1-((LEN(A4)-LEN(SUBSTITUTE(A4,"_O_","")))/LEN("_O_"))*2-((LEN(A4)-LEN(SUBSTITUTE(A4,"_CHO_","")))/LEN("_CHO_"))*2-((LEN(A4)-LEN(SUBSTITUTE(A4,"_COOH_","")))/LEN("_COOH_"))*2</f>
        <v>95</v>
      </c>
      <c r="I4" s="17">
        <f t="shared" ref="I4:I18" si="5">11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11</v>
      </c>
      <c r="J4" s="17">
        <v>1</v>
      </c>
      <c r="L4" s="19" t="str">
        <f t="shared" ref="L4:L18" si="6">CONCATENATE("C",G4,"H",H4,"O",I4,"P",J4)</f>
        <v>C51H95O11P1</v>
      </c>
      <c r="M4" s="19">
        <f t="shared" ref="M4:M18" si="7">(G4*12)+(H4*1.0078246)+(I4*15.994915)+(J4*30.973763)</f>
        <v>914.66116499999998</v>
      </c>
      <c r="N4" s="19">
        <f t="shared" ref="N4:N18" si="8">M4+1.0078246-0.00055</f>
        <v>915.66843960000006</v>
      </c>
      <c r="O4" s="19">
        <f t="shared" ref="O4:O18" si="9">N4-18.01057-0.00055</f>
        <v>897.65731960000005</v>
      </c>
      <c r="P4" s="19">
        <f t="shared" ref="P4:P18" si="10">M4+18.03437-0.00055</f>
        <v>932.69498499999997</v>
      </c>
      <c r="Q4" s="19">
        <f t="shared" ref="Q4:Q18" si="11">M4+22.98977-0.00055</f>
        <v>937.65038500000003</v>
      </c>
      <c r="R4" s="19">
        <f t="shared" ref="R4:R18" si="12">M4+38.96371-0.00055</f>
        <v>953.624325</v>
      </c>
      <c r="S4" s="19">
        <f t="shared" ref="S4:S18" si="13">M4+7.01601-0.00055</f>
        <v>921.67662500000006</v>
      </c>
      <c r="T4" s="46">
        <f t="shared" ref="T4:T18" si="14">M4-1.0078246+0.00055</f>
        <v>913.65389039999991</v>
      </c>
      <c r="U4" s="19">
        <f t="shared" ref="U4:U18" si="15">M4+44.99767+0.00055</f>
        <v>959.65938499999993</v>
      </c>
      <c r="V4" s="19">
        <f t="shared" ref="V4:V18" si="16">M4+59.01332+0.00055</f>
        <v>973.67503499999998</v>
      </c>
    </row>
    <row r="5" spans="1:25" x14ac:dyDescent="0.25">
      <c r="A5" s="17" t="s">
        <v>610</v>
      </c>
      <c r="B5" s="17" t="str">
        <f t="shared" si="0"/>
        <v>AcylPG 45:1</v>
      </c>
      <c r="C5" s="1" t="str">
        <f t="shared" si="1"/>
        <v>45</v>
      </c>
      <c r="D5" s="1" t="str">
        <f t="shared" si="2"/>
        <v>1</v>
      </c>
      <c r="G5" s="17">
        <f t="shared" si="3"/>
        <v>51</v>
      </c>
      <c r="H5" s="17">
        <f t="shared" si="4"/>
        <v>97</v>
      </c>
      <c r="I5" s="17">
        <f t="shared" si="5"/>
        <v>11</v>
      </c>
      <c r="J5" s="17">
        <v>1</v>
      </c>
      <c r="L5" s="19" t="str">
        <f t="shared" si="6"/>
        <v>C51H97O11P1</v>
      </c>
      <c r="M5" s="19">
        <f t="shared" si="7"/>
        <v>916.67681419999997</v>
      </c>
      <c r="N5" s="19">
        <f t="shared" si="8"/>
        <v>917.68408880000004</v>
      </c>
      <c r="O5" s="19">
        <f t="shared" si="9"/>
        <v>899.67296880000004</v>
      </c>
      <c r="P5" s="19">
        <f t="shared" si="10"/>
        <v>934.71063419999996</v>
      </c>
      <c r="Q5" s="19">
        <f t="shared" si="11"/>
        <v>939.66603420000001</v>
      </c>
      <c r="R5" s="19">
        <f t="shared" si="12"/>
        <v>955.63997419999998</v>
      </c>
      <c r="S5" s="19">
        <f t="shared" si="13"/>
        <v>923.69227420000004</v>
      </c>
      <c r="T5" s="46">
        <f t="shared" si="14"/>
        <v>915.66953959999989</v>
      </c>
      <c r="U5" s="19">
        <f t="shared" si="15"/>
        <v>961.67503419999991</v>
      </c>
      <c r="V5" s="19">
        <f t="shared" si="16"/>
        <v>975.69068419999996</v>
      </c>
    </row>
    <row r="6" spans="1:25" x14ac:dyDescent="0.25">
      <c r="A6" s="17" t="s">
        <v>608</v>
      </c>
      <c r="B6" s="17" t="str">
        <f t="shared" si="0"/>
        <v>AcylPG 46:2</v>
      </c>
      <c r="C6" s="1" t="str">
        <f t="shared" si="1"/>
        <v>46</v>
      </c>
      <c r="D6" s="1" t="str">
        <f t="shared" si="2"/>
        <v>2</v>
      </c>
      <c r="G6" s="17">
        <f t="shared" si="3"/>
        <v>52</v>
      </c>
      <c r="H6" s="17">
        <f t="shared" si="4"/>
        <v>97</v>
      </c>
      <c r="I6" s="17">
        <f t="shared" si="5"/>
        <v>11</v>
      </c>
      <c r="J6" s="17">
        <v>1</v>
      </c>
      <c r="L6" s="19" t="str">
        <f t="shared" si="6"/>
        <v>C52H97O11P1</v>
      </c>
      <c r="M6" s="19">
        <f t="shared" si="7"/>
        <v>928.67681419999997</v>
      </c>
      <c r="N6" s="19">
        <f t="shared" si="8"/>
        <v>929.68408880000004</v>
      </c>
      <c r="O6" s="19">
        <f t="shared" si="9"/>
        <v>911.67296880000004</v>
      </c>
      <c r="P6" s="19">
        <f t="shared" si="10"/>
        <v>946.71063419999996</v>
      </c>
      <c r="Q6" s="19">
        <f t="shared" si="11"/>
        <v>951.66603420000001</v>
      </c>
      <c r="R6" s="19">
        <f t="shared" si="12"/>
        <v>967.63997419999998</v>
      </c>
      <c r="S6" s="19">
        <f t="shared" si="13"/>
        <v>935.69227420000004</v>
      </c>
      <c r="T6" s="46">
        <f t="shared" si="14"/>
        <v>927.66953959999989</v>
      </c>
      <c r="U6" s="19">
        <f t="shared" si="15"/>
        <v>973.67503419999991</v>
      </c>
      <c r="V6" s="19">
        <f t="shared" si="16"/>
        <v>987.69068419999996</v>
      </c>
    </row>
    <row r="7" spans="1:25" x14ac:dyDescent="0.25">
      <c r="A7" s="17" t="s">
        <v>618</v>
      </c>
      <c r="B7" s="17" t="str">
        <f t="shared" si="0"/>
        <v>AcylPG 46:1</v>
      </c>
      <c r="C7" s="1" t="str">
        <f t="shared" si="1"/>
        <v>46</v>
      </c>
      <c r="D7" s="1" t="str">
        <f t="shared" si="2"/>
        <v>1</v>
      </c>
      <c r="G7" s="17">
        <f t="shared" si="3"/>
        <v>52</v>
      </c>
      <c r="H7" s="17">
        <f t="shared" si="4"/>
        <v>99</v>
      </c>
      <c r="I7" s="17">
        <f t="shared" si="5"/>
        <v>11</v>
      </c>
      <c r="J7" s="17">
        <v>1</v>
      </c>
      <c r="L7" s="19" t="str">
        <f t="shared" si="6"/>
        <v>C52H99O11P1</v>
      </c>
      <c r="M7" s="19">
        <f t="shared" si="7"/>
        <v>930.69246339999995</v>
      </c>
      <c r="N7" s="19">
        <f t="shared" si="8"/>
        <v>931.69973800000002</v>
      </c>
      <c r="O7" s="19">
        <f t="shared" si="9"/>
        <v>913.68861800000002</v>
      </c>
      <c r="P7" s="19">
        <f t="shared" si="10"/>
        <v>948.72628339999994</v>
      </c>
      <c r="Q7" s="19">
        <f t="shared" si="11"/>
        <v>953.6816834</v>
      </c>
      <c r="R7" s="19">
        <f t="shared" si="12"/>
        <v>969.65562339999997</v>
      </c>
      <c r="S7" s="19">
        <f t="shared" si="13"/>
        <v>937.70792340000003</v>
      </c>
      <c r="T7" s="46">
        <f t="shared" si="14"/>
        <v>929.68518879999988</v>
      </c>
      <c r="U7" s="19">
        <f t="shared" si="15"/>
        <v>975.6906833999999</v>
      </c>
      <c r="V7" s="19">
        <f t="shared" si="16"/>
        <v>989.70633339999995</v>
      </c>
    </row>
    <row r="8" spans="1:25" x14ac:dyDescent="0.25">
      <c r="A8" s="17" t="s">
        <v>607</v>
      </c>
      <c r="B8" s="17" t="str">
        <f t="shared" si="0"/>
        <v>AcylPG 47:2</v>
      </c>
      <c r="C8" s="1" t="str">
        <f t="shared" si="1"/>
        <v>47</v>
      </c>
      <c r="D8" s="1" t="str">
        <f t="shared" si="2"/>
        <v>2</v>
      </c>
      <c r="G8" s="17">
        <f t="shared" si="3"/>
        <v>53</v>
      </c>
      <c r="H8" s="17">
        <f t="shared" si="4"/>
        <v>99</v>
      </c>
      <c r="I8" s="17">
        <f t="shared" si="5"/>
        <v>11</v>
      </c>
      <c r="J8" s="17">
        <v>1</v>
      </c>
      <c r="L8" s="19" t="str">
        <f t="shared" si="6"/>
        <v>C53H99O11P1</v>
      </c>
      <c r="M8" s="19">
        <f t="shared" si="7"/>
        <v>942.69246339999995</v>
      </c>
      <c r="N8" s="19">
        <f t="shared" si="8"/>
        <v>943.69973800000002</v>
      </c>
      <c r="O8" s="19">
        <f t="shared" si="9"/>
        <v>925.68861800000002</v>
      </c>
      <c r="P8" s="19">
        <f t="shared" si="10"/>
        <v>960.72628339999994</v>
      </c>
      <c r="Q8" s="19">
        <f t="shared" si="11"/>
        <v>965.6816834</v>
      </c>
      <c r="R8" s="19">
        <f t="shared" si="12"/>
        <v>981.65562339999997</v>
      </c>
      <c r="S8" s="19">
        <f t="shared" si="13"/>
        <v>949.70792340000003</v>
      </c>
      <c r="T8" s="46">
        <f t="shared" si="14"/>
        <v>941.68518879999988</v>
      </c>
      <c r="U8" s="19">
        <f t="shared" si="15"/>
        <v>987.6906833999999</v>
      </c>
      <c r="V8" s="19">
        <f t="shared" si="16"/>
        <v>1001.7063333999999</v>
      </c>
    </row>
    <row r="9" spans="1:25" x14ac:dyDescent="0.25">
      <c r="A9" s="17" t="s">
        <v>619</v>
      </c>
      <c r="B9" s="17" t="str">
        <f t="shared" si="0"/>
        <v>AcylPG 47:1</v>
      </c>
      <c r="C9" s="1" t="str">
        <f t="shared" si="1"/>
        <v>47</v>
      </c>
      <c r="D9" s="1" t="str">
        <f t="shared" si="2"/>
        <v>1</v>
      </c>
      <c r="G9" s="17">
        <f t="shared" si="3"/>
        <v>53</v>
      </c>
      <c r="H9" s="17">
        <f t="shared" si="4"/>
        <v>101</v>
      </c>
      <c r="I9" s="17">
        <f t="shared" si="5"/>
        <v>11</v>
      </c>
      <c r="J9" s="17">
        <v>1</v>
      </c>
      <c r="L9" s="19" t="str">
        <f t="shared" si="6"/>
        <v>C53H101O11P1</v>
      </c>
      <c r="M9" s="19">
        <f t="shared" si="7"/>
        <v>944.70811259999994</v>
      </c>
      <c r="N9" s="19">
        <f t="shared" si="8"/>
        <v>945.71538720000001</v>
      </c>
      <c r="O9" s="19">
        <f t="shared" si="9"/>
        <v>927.7042672</v>
      </c>
      <c r="P9" s="19">
        <f t="shared" si="10"/>
        <v>962.74193259999993</v>
      </c>
      <c r="Q9" s="19">
        <f t="shared" si="11"/>
        <v>967.69733259999998</v>
      </c>
      <c r="R9" s="19">
        <f t="shared" si="12"/>
        <v>983.67127259999995</v>
      </c>
      <c r="S9" s="19">
        <f t="shared" si="13"/>
        <v>951.72357260000001</v>
      </c>
      <c r="T9" s="46">
        <f t="shared" si="14"/>
        <v>943.70083799999986</v>
      </c>
      <c r="U9" s="19">
        <f t="shared" si="15"/>
        <v>989.70633259999988</v>
      </c>
      <c r="V9" s="19">
        <f t="shared" si="16"/>
        <v>1003.7219825999999</v>
      </c>
    </row>
    <row r="10" spans="1:25" s="17" customFormat="1" x14ac:dyDescent="0.25">
      <c r="A10" s="17" t="s">
        <v>605</v>
      </c>
      <c r="B10" s="17" t="str">
        <f t="shared" si="0"/>
        <v>AcylPG 48:2</v>
      </c>
      <c r="C10" s="1" t="str">
        <f t="shared" si="1"/>
        <v>48</v>
      </c>
      <c r="D10" s="1" t="str">
        <f t="shared" si="2"/>
        <v>2</v>
      </c>
      <c r="G10" s="17">
        <f t="shared" si="3"/>
        <v>54</v>
      </c>
      <c r="H10" s="17">
        <f t="shared" si="4"/>
        <v>101</v>
      </c>
      <c r="I10" s="17">
        <f t="shared" si="5"/>
        <v>11</v>
      </c>
      <c r="J10" s="17">
        <v>1</v>
      </c>
      <c r="L10" s="19" t="str">
        <f t="shared" si="6"/>
        <v>C54H101O11P1</v>
      </c>
      <c r="M10" s="19">
        <f t="shared" si="7"/>
        <v>956.70811259999994</v>
      </c>
      <c r="N10" s="19">
        <f t="shared" si="8"/>
        <v>957.71538720000001</v>
      </c>
      <c r="O10" s="19">
        <f t="shared" si="9"/>
        <v>939.7042672</v>
      </c>
      <c r="P10" s="19">
        <f t="shared" si="10"/>
        <v>974.74193259999993</v>
      </c>
      <c r="Q10" s="19">
        <f t="shared" si="11"/>
        <v>979.69733259999998</v>
      </c>
      <c r="R10" s="19">
        <f t="shared" si="12"/>
        <v>995.67127259999995</v>
      </c>
      <c r="S10" s="19">
        <f t="shared" si="13"/>
        <v>963.72357260000001</v>
      </c>
      <c r="T10" s="46">
        <f t="shared" si="14"/>
        <v>955.70083799999986</v>
      </c>
      <c r="U10" s="19">
        <f t="shared" si="15"/>
        <v>1001.7063325999999</v>
      </c>
      <c r="V10" s="19">
        <f t="shared" si="16"/>
        <v>1015.7219825999999</v>
      </c>
      <c r="X10"/>
      <c r="Y10"/>
    </row>
    <row r="11" spans="1:25" s="17" customFormat="1" x14ac:dyDescent="0.25">
      <c r="A11" s="17" t="s">
        <v>617</v>
      </c>
      <c r="B11" s="17" t="str">
        <f t="shared" si="0"/>
        <v>AcylPG 48:1</v>
      </c>
      <c r="C11" s="1" t="str">
        <f t="shared" si="1"/>
        <v>48</v>
      </c>
      <c r="D11" s="1" t="str">
        <f t="shared" si="2"/>
        <v>1</v>
      </c>
      <c r="G11" s="17">
        <f t="shared" si="3"/>
        <v>54</v>
      </c>
      <c r="H11" s="17">
        <f t="shared" si="4"/>
        <v>103</v>
      </c>
      <c r="I11" s="17">
        <f t="shared" si="5"/>
        <v>11</v>
      </c>
      <c r="J11" s="17">
        <v>1</v>
      </c>
      <c r="L11" s="19" t="str">
        <f t="shared" si="6"/>
        <v>C54H103O11P1</v>
      </c>
      <c r="M11" s="19">
        <f t="shared" si="7"/>
        <v>958.72376180000003</v>
      </c>
      <c r="N11" s="19">
        <f t="shared" si="8"/>
        <v>959.73103640000011</v>
      </c>
      <c r="O11" s="19">
        <f t="shared" si="9"/>
        <v>941.7199164000001</v>
      </c>
      <c r="P11" s="19">
        <f t="shared" si="10"/>
        <v>976.75758180000003</v>
      </c>
      <c r="Q11" s="19">
        <f t="shared" si="11"/>
        <v>981.71298180000008</v>
      </c>
      <c r="R11" s="19">
        <f t="shared" si="12"/>
        <v>997.68692180000005</v>
      </c>
      <c r="S11" s="19">
        <f t="shared" si="13"/>
        <v>965.73922180000011</v>
      </c>
      <c r="T11" s="46">
        <f t="shared" si="14"/>
        <v>957.71648719999996</v>
      </c>
      <c r="U11" s="19">
        <f t="shared" si="15"/>
        <v>1003.7219818</v>
      </c>
      <c r="V11" s="19">
        <f t="shared" si="16"/>
        <v>1017.7376318</v>
      </c>
      <c r="X11"/>
      <c r="Y11"/>
    </row>
    <row r="12" spans="1:25" s="17" customFormat="1" x14ac:dyDescent="0.25">
      <c r="A12" s="17" t="s">
        <v>606</v>
      </c>
      <c r="B12" s="17" t="str">
        <f t="shared" si="0"/>
        <v>AcylPG 49:2</v>
      </c>
      <c r="C12" s="1" t="str">
        <f t="shared" si="1"/>
        <v>49</v>
      </c>
      <c r="D12" s="1" t="str">
        <f t="shared" si="2"/>
        <v>2</v>
      </c>
      <c r="G12" s="17">
        <f t="shared" si="3"/>
        <v>55</v>
      </c>
      <c r="H12" s="17">
        <f t="shared" si="4"/>
        <v>103</v>
      </c>
      <c r="I12" s="17">
        <f t="shared" si="5"/>
        <v>11</v>
      </c>
      <c r="J12" s="17">
        <v>1</v>
      </c>
      <c r="L12" s="19" t="str">
        <f t="shared" si="6"/>
        <v>C55H103O11P1</v>
      </c>
      <c r="M12" s="19">
        <f t="shared" si="7"/>
        <v>970.72376180000003</v>
      </c>
      <c r="N12" s="19">
        <f t="shared" si="8"/>
        <v>971.73103640000011</v>
      </c>
      <c r="O12" s="19">
        <f t="shared" si="9"/>
        <v>953.7199164000001</v>
      </c>
      <c r="P12" s="19">
        <f t="shared" si="10"/>
        <v>988.75758180000003</v>
      </c>
      <c r="Q12" s="19">
        <f t="shared" si="11"/>
        <v>993.71298180000008</v>
      </c>
      <c r="R12" s="19">
        <f t="shared" si="12"/>
        <v>1009.6869218000001</v>
      </c>
      <c r="S12" s="19">
        <f t="shared" si="13"/>
        <v>977.73922180000011</v>
      </c>
      <c r="T12" s="46">
        <f t="shared" si="14"/>
        <v>969.71648719999996</v>
      </c>
      <c r="U12" s="19">
        <f t="shared" si="15"/>
        <v>1015.7219818</v>
      </c>
      <c r="V12" s="19">
        <f t="shared" si="16"/>
        <v>1029.7376317999999</v>
      </c>
      <c r="X12"/>
      <c r="Y12"/>
    </row>
    <row r="13" spans="1:25" s="17" customFormat="1" x14ac:dyDescent="0.25">
      <c r="A13" s="17" t="s">
        <v>620</v>
      </c>
      <c r="B13" s="17" t="str">
        <f t="shared" si="0"/>
        <v>AcylPG 49:1</v>
      </c>
      <c r="C13" s="1" t="str">
        <f t="shared" si="1"/>
        <v>49</v>
      </c>
      <c r="D13" s="1" t="str">
        <f t="shared" si="2"/>
        <v>1</v>
      </c>
      <c r="G13" s="17">
        <f t="shared" si="3"/>
        <v>55</v>
      </c>
      <c r="H13" s="17">
        <f t="shared" si="4"/>
        <v>105</v>
      </c>
      <c r="I13" s="17">
        <f t="shared" si="5"/>
        <v>11</v>
      </c>
      <c r="J13" s="17">
        <v>1</v>
      </c>
      <c r="L13" s="19" t="str">
        <f t="shared" si="6"/>
        <v>C55H105O11P1</v>
      </c>
      <c r="M13" s="19">
        <f t="shared" si="7"/>
        <v>972.73941100000002</v>
      </c>
      <c r="N13" s="19">
        <f t="shared" si="8"/>
        <v>973.74668560000009</v>
      </c>
      <c r="O13" s="19">
        <f t="shared" si="9"/>
        <v>955.73556560000009</v>
      </c>
      <c r="P13" s="19">
        <f t="shared" si="10"/>
        <v>990.77323100000001</v>
      </c>
      <c r="Q13" s="19">
        <f t="shared" si="11"/>
        <v>995.72863100000006</v>
      </c>
      <c r="R13" s="19">
        <f t="shared" si="12"/>
        <v>1011.702571</v>
      </c>
      <c r="S13" s="19">
        <f t="shared" si="13"/>
        <v>979.75487100000009</v>
      </c>
      <c r="T13" s="46">
        <f t="shared" si="14"/>
        <v>971.73213639999994</v>
      </c>
      <c r="U13" s="19">
        <f t="shared" si="15"/>
        <v>1017.737631</v>
      </c>
      <c r="V13" s="19">
        <f t="shared" si="16"/>
        <v>1031.753281</v>
      </c>
      <c r="X13"/>
      <c r="Y13"/>
    </row>
    <row r="14" spans="1:25" s="17" customFormat="1" x14ac:dyDescent="0.25">
      <c r="A14" s="17" t="s">
        <v>603</v>
      </c>
      <c r="B14" s="17" t="str">
        <f t="shared" si="0"/>
        <v>AcylPG 50:2</v>
      </c>
      <c r="C14" s="1" t="str">
        <f t="shared" si="1"/>
        <v>50</v>
      </c>
      <c r="D14" s="1" t="str">
        <f t="shared" si="2"/>
        <v>2</v>
      </c>
      <c r="G14" s="17">
        <f t="shared" si="3"/>
        <v>56</v>
      </c>
      <c r="H14" s="17">
        <f t="shared" si="4"/>
        <v>105</v>
      </c>
      <c r="I14" s="17">
        <f t="shared" si="5"/>
        <v>11</v>
      </c>
      <c r="J14" s="17">
        <v>1</v>
      </c>
      <c r="L14" s="19" t="str">
        <f t="shared" si="6"/>
        <v>C56H105O11P1</v>
      </c>
      <c r="M14" s="19">
        <f t="shared" si="7"/>
        <v>984.73941100000002</v>
      </c>
      <c r="N14" s="19">
        <f t="shared" si="8"/>
        <v>985.74668560000009</v>
      </c>
      <c r="O14" s="19">
        <f t="shared" si="9"/>
        <v>967.73556560000009</v>
      </c>
      <c r="P14" s="19">
        <f t="shared" si="10"/>
        <v>1002.773231</v>
      </c>
      <c r="Q14" s="19">
        <f t="shared" si="11"/>
        <v>1007.7286310000001</v>
      </c>
      <c r="R14" s="19">
        <f t="shared" si="12"/>
        <v>1023.702571</v>
      </c>
      <c r="S14" s="19">
        <f t="shared" si="13"/>
        <v>991.75487100000009</v>
      </c>
      <c r="T14" s="46">
        <f t="shared" si="14"/>
        <v>983.73213639999994</v>
      </c>
      <c r="U14" s="19">
        <f t="shared" si="15"/>
        <v>1029.737631</v>
      </c>
      <c r="V14" s="19">
        <f t="shared" si="16"/>
        <v>1043.753281</v>
      </c>
      <c r="X14"/>
      <c r="Y14"/>
    </row>
    <row r="15" spans="1:25" s="17" customFormat="1" x14ac:dyDescent="0.25">
      <c r="A15" s="17" t="s">
        <v>604</v>
      </c>
      <c r="B15" s="17" t="str">
        <f t="shared" si="0"/>
        <v>AcylPG 50:1</v>
      </c>
      <c r="C15" s="1" t="str">
        <f t="shared" si="1"/>
        <v>50</v>
      </c>
      <c r="D15" s="1" t="str">
        <f t="shared" si="2"/>
        <v>1</v>
      </c>
      <c r="G15" s="17">
        <f t="shared" si="3"/>
        <v>56</v>
      </c>
      <c r="H15" s="17">
        <f t="shared" si="4"/>
        <v>107</v>
      </c>
      <c r="I15" s="17">
        <f t="shared" si="5"/>
        <v>11</v>
      </c>
      <c r="J15" s="17">
        <v>1</v>
      </c>
      <c r="L15" s="19" t="str">
        <f t="shared" si="6"/>
        <v>C56H107O11P1</v>
      </c>
      <c r="M15" s="19">
        <f t="shared" si="7"/>
        <v>986.7550602</v>
      </c>
      <c r="N15" s="19">
        <f t="shared" si="8"/>
        <v>987.76233480000008</v>
      </c>
      <c r="O15" s="19">
        <f t="shared" si="9"/>
        <v>969.75121480000007</v>
      </c>
      <c r="P15" s="19">
        <f t="shared" si="10"/>
        <v>1004.7888802</v>
      </c>
      <c r="Q15" s="19">
        <f t="shared" si="11"/>
        <v>1009.7442802</v>
      </c>
      <c r="R15" s="19">
        <f t="shared" si="12"/>
        <v>1025.7182202000001</v>
      </c>
      <c r="S15" s="19">
        <f t="shared" si="13"/>
        <v>993.77052020000008</v>
      </c>
      <c r="T15" s="46">
        <f t="shared" si="14"/>
        <v>985.74778559999993</v>
      </c>
      <c r="U15" s="19">
        <f t="shared" si="15"/>
        <v>1031.7532802000001</v>
      </c>
      <c r="V15" s="19">
        <f t="shared" si="16"/>
        <v>1045.7689301999999</v>
      </c>
      <c r="X15"/>
      <c r="Y15"/>
    </row>
    <row r="16" spans="1:25" s="17" customFormat="1" x14ac:dyDescent="0.25">
      <c r="A16" s="17" t="s">
        <v>622</v>
      </c>
      <c r="B16" s="17" t="str">
        <f t="shared" si="0"/>
        <v>AcylPG 51:3</v>
      </c>
      <c r="C16" s="1" t="str">
        <f t="shared" si="1"/>
        <v>51</v>
      </c>
      <c r="D16" s="1" t="str">
        <f t="shared" si="2"/>
        <v>3</v>
      </c>
      <c r="G16" s="17">
        <f t="shared" si="3"/>
        <v>57</v>
      </c>
      <c r="H16" s="17">
        <f t="shared" si="4"/>
        <v>105</v>
      </c>
      <c r="I16" s="17">
        <f t="shared" si="5"/>
        <v>11</v>
      </c>
      <c r="J16" s="17">
        <v>1</v>
      </c>
      <c r="L16" s="19" t="str">
        <f t="shared" si="6"/>
        <v>C57H105O11P1</v>
      </c>
      <c r="M16" s="19">
        <f t="shared" si="7"/>
        <v>996.73941100000002</v>
      </c>
      <c r="N16" s="19">
        <f t="shared" si="8"/>
        <v>997.74668560000009</v>
      </c>
      <c r="O16" s="19">
        <f t="shared" si="9"/>
        <v>979.73556560000009</v>
      </c>
      <c r="P16" s="19">
        <f t="shared" si="10"/>
        <v>1014.773231</v>
      </c>
      <c r="Q16" s="19">
        <f t="shared" si="11"/>
        <v>1019.7286310000001</v>
      </c>
      <c r="R16" s="19">
        <f t="shared" si="12"/>
        <v>1035.702571</v>
      </c>
      <c r="S16" s="19">
        <f t="shared" si="13"/>
        <v>1003.7548710000001</v>
      </c>
      <c r="T16" s="46">
        <f t="shared" si="14"/>
        <v>995.73213639999994</v>
      </c>
      <c r="U16" s="19">
        <f t="shared" si="15"/>
        <v>1041.737631</v>
      </c>
      <c r="V16" s="19">
        <f t="shared" si="16"/>
        <v>1055.753281</v>
      </c>
      <c r="X16"/>
      <c r="Y16"/>
    </row>
    <row r="17" spans="1:25" s="17" customFormat="1" x14ac:dyDescent="0.25">
      <c r="A17" s="17" t="s">
        <v>611</v>
      </c>
      <c r="B17" s="17" t="str">
        <f t="shared" si="0"/>
        <v>AcylPG 51:2</v>
      </c>
      <c r="C17" s="1" t="str">
        <f t="shared" si="1"/>
        <v>51</v>
      </c>
      <c r="D17" s="1" t="str">
        <f t="shared" si="2"/>
        <v>2</v>
      </c>
      <c r="G17" s="17">
        <f t="shared" si="3"/>
        <v>57</v>
      </c>
      <c r="H17" s="17">
        <f t="shared" si="4"/>
        <v>107</v>
      </c>
      <c r="I17" s="17">
        <f t="shared" si="5"/>
        <v>11</v>
      </c>
      <c r="J17" s="17">
        <v>1</v>
      </c>
      <c r="L17" s="19" t="str">
        <f t="shared" si="6"/>
        <v>C57H107O11P1</v>
      </c>
      <c r="M17" s="19">
        <f t="shared" si="7"/>
        <v>998.7550602</v>
      </c>
      <c r="N17" s="19">
        <f t="shared" si="8"/>
        <v>999.76233480000008</v>
      </c>
      <c r="O17" s="19">
        <f t="shared" si="9"/>
        <v>981.75121480000007</v>
      </c>
      <c r="P17" s="19">
        <f t="shared" si="10"/>
        <v>1016.7888802</v>
      </c>
      <c r="Q17" s="19">
        <f t="shared" si="11"/>
        <v>1021.7442802</v>
      </c>
      <c r="R17" s="19">
        <f t="shared" si="12"/>
        <v>1037.7182202000001</v>
      </c>
      <c r="S17" s="19">
        <f t="shared" si="13"/>
        <v>1005.7705202000001</v>
      </c>
      <c r="T17" s="46">
        <f t="shared" si="14"/>
        <v>997.74778559999993</v>
      </c>
      <c r="U17" s="19">
        <f t="shared" si="15"/>
        <v>1043.7532802000001</v>
      </c>
      <c r="V17" s="19">
        <f t="shared" si="16"/>
        <v>1057.7689301999999</v>
      </c>
      <c r="X17"/>
      <c r="Y17"/>
    </row>
    <row r="18" spans="1:25" s="17" customFormat="1" x14ac:dyDescent="0.25">
      <c r="A18" s="17" t="s">
        <v>621</v>
      </c>
      <c r="B18" s="17" t="str">
        <f t="shared" si="0"/>
        <v>AcylPG 51:1</v>
      </c>
      <c r="C18" s="1" t="str">
        <f t="shared" si="1"/>
        <v>51</v>
      </c>
      <c r="D18" s="1" t="str">
        <f t="shared" si="2"/>
        <v>1</v>
      </c>
      <c r="G18" s="17">
        <f t="shared" si="3"/>
        <v>57</v>
      </c>
      <c r="H18" s="17">
        <f t="shared" si="4"/>
        <v>109</v>
      </c>
      <c r="I18" s="17">
        <f t="shared" si="5"/>
        <v>11</v>
      </c>
      <c r="J18" s="17">
        <v>1</v>
      </c>
      <c r="L18" s="19" t="str">
        <f t="shared" si="6"/>
        <v>C57H109O11P1</v>
      </c>
      <c r="M18" s="19">
        <f t="shared" si="7"/>
        <v>1000.7707094</v>
      </c>
      <c r="N18" s="19">
        <f t="shared" si="8"/>
        <v>1001.7779840000001</v>
      </c>
      <c r="O18" s="19">
        <f t="shared" si="9"/>
        <v>983.76686400000006</v>
      </c>
      <c r="P18" s="19">
        <f t="shared" si="10"/>
        <v>1018.8045294</v>
      </c>
      <c r="Q18" s="19">
        <f t="shared" si="11"/>
        <v>1023.7599294</v>
      </c>
      <c r="R18" s="19">
        <f t="shared" si="12"/>
        <v>1039.7338694</v>
      </c>
      <c r="S18" s="19">
        <f t="shared" si="13"/>
        <v>1007.7861694000001</v>
      </c>
      <c r="T18" s="46">
        <f t="shared" si="14"/>
        <v>999.76343479999991</v>
      </c>
      <c r="U18" s="19">
        <f t="shared" si="15"/>
        <v>1045.7689293999999</v>
      </c>
      <c r="V18" s="19">
        <f t="shared" si="16"/>
        <v>1059.7845794</v>
      </c>
      <c r="X18"/>
      <c r="Y18"/>
    </row>
    <row r="19" spans="1:25" x14ac:dyDescent="0.25">
      <c r="A19" s="17" t="s">
        <v>615</v>
      </c>
      <c r="B19" s="17" t="str">
        <f>IF(ISNUMBER(SEARCH("(",A19)),IF(ISNUMBER(SEARCH("/",A19)),CONCATENATE(MID(A19,1,2)," ",(SUM(MID(A19,FIND("(",A19)+1,FIND(":",A19)-FIND("(",A19)-1),MID(A19,FIND("/",A19)+1,FIND(":",A19,FIND("/",A19))-FIND("/",A19)-1))),":",SUM(MID(A19,FIND(":",A19)+1,FIND("/",A19)-FIND(":",A19)-1),MID(A19,FIND(":",A19,FIND("/",A19))+1,FIND(")",A19)-FIND(":",A19,FIND("/",A19))-1)),MID(A19,(FIND(")",A19)+1),100)),CONCATENATE(MID(A19,1,2)," ",(SUM(MID(A19,FIND("(",A19)+1,FIND(":",A19)-FIND("(",A19)-1),MID(A19,FIND("_",A19)+1,FIND(":",A19,FIND("_",A19))-FIND("_",A19)-1))),":",SUM(MID(A19,FIND(":",A19)+1,FIND("_",A19)-FIND(":",A19)-1),MID(A19,FIND(":",A19,FIND("_",A19))+1,FIND(")",A19)-FIND(":",A19,FIND("_",A19))-1)),MID(A19,(FIND(")",A19)+1),100))),A19)</f>
        <v>AcylPG 52:3</v>
      </c>
      <c r="C19" s="1" t="str">
        <f>MID(B19,8,FIND(":",B19)-FIND(" ",B19)-1)</f>
        <v>52</v>
      </c>
      <c r="D19" s="1" t="str">
        <f>IF(ISNUMBER(SEARCH("__",B19)),MID(B19,FIND(":",B19)+1,FIND("__",B19)-FIND(":",B19)-1),MID(B19,FIND(":",B19)+1,7))</f>
        <v>3</v>
      </c>
      <c r="G19" s="17">
        <f>C19+6</f>
        <v>58</v>
      </c>
      <c r="H19" s="17">
        <f>(-2)+2*G19-(2*D19)-1-((LEN(A19)-LEN(SUBSTITUTE(A19,"_O_","")))/LEN("_O_"))*2-((LEN(A19)-LEN(SUBSTITUTE(A19,"_CHO_","")))/LEN("_CHO_"))*2-((LEN(A19)-LEN(SUBSTITUTE(A19,"_COOH_","")))/LEN("_COOH_"))*2</f>
        <v>107</v>
      </c>
      <c r="I19" s="17">
        <f>11+((LEN(A19)-LEN(SUBSTITUTE(A19,"_OH_","")))/LEN("_OH_"))*1+((LEN(A19)-LEN(SUBSTITUTE(A19,"_OOH_","")))/LEN("_OOH_"))*2+((LEN(A19)-LEN(SUBSTITUTE(A19,"_O_","")))/LEN("_O_"))*1+((LEN(A19)-LEN(SUBSTITUTE(A19,"_CHO_","")))/LEN("_CHO_"))*1+((LEN(A19)-LEN(SUBSTITUTE(A19,"_COOH_","")))/LEN("_COOH_"))*2</f>
        <v>11</v>
      </c>
      <c r="J19" s="17">
        <v>1</v>
      </c>
      <c r="L19" s="19" t="str">
        <f>CONCATENATE("C",G19,"H",H19,"O",I19,"P",J19)</f>
        <v>C58H107O11P1</v>
      </c>
      <c r="M19" s="19">
        <f>(G19*12)+(H19*1.0078246)+(I19*15.994915)+(J19*30.973763)</f>
        <v>1010.7550602</v>
      </c>
      <c r="N19" s="19">
        <f>M19+1.0078246-0.00055</f>
        <v>1011.7623348000001</v>
      </c>
      <c r="O19" s="19">
        <f>N19-18.01057-0.00055</f>
        <v>993.75121480000007</v>
      </c>
      <c r="P19" s="19">
        <f>M19+18.03437-0.00055</f>
        <v>1028.7888802</v>
      </c>
      <c r="Q19" s="19">
        <f>M19+22.98977-0.00055</f>
        <v>1033.7442802</v>
      </c>
      <c r="R19" s="19">
        <f>M19+38.96371-0.00055</f>
        <v>1049.7182202000001</v>
      </c>
      <c r="S19" s="19">
        <f>M19+7.01601-0.00055</f>
        <v>1017.7705202000001</v>
      </c>
      <c r="T19" s="46">
        <f>M19-1.0078246+0.00055</f>
        <v>1009.7477855999999</v>
      </c>
      <c r="U19" s="19">
        <f>M19+44.99767+0.00055</f>
        <v>1055.7532802000001</v>
      </c>
      <c r="V19" s="19">
        <f>M19+59.01332+0.00055</f>
        <v>1069.7689301999999</v>
      </c>
    </row>
    <row r="20" spans="1:25" x14ac:dyDescent="0.25">
      <c r="A20" s="17" t="s">
        <v>602</v>
      </c>
      <c r="B20" s="17" t="str">
        <f>IF(ISNUMBER(SEARCH("(",A20)),IF(ISNUMBER(SEARCH("/",A20)),CONCATENATE(MID(A20,1,2)," ",(SUM(MID(A20,FIND("(",A20)+1,FIND(":",A20)-FIND("(",A20)-1),MID(A20,FIND("/",A20)+1,FIND(":",A20,FIND("/",A20))-FIND("/",A20)-1))),":",SUM(MID(A20,FIND(":",A20)+1,FIND("/",A20)-FIND(":",A20)-1),MID(A20,FIND(":",A20,FIND("/",A20))+1,FIND(")",A20)-FIND(":",A20,FIND("/",A20))-1)),MID(A20,(FIND(")",A20)+1),100)),CONCATENATE(MID(A20,1,2)," ",(SUM(MID(A20,FIND("(",A20)+1,FIND(":",A20)-FIND("(",A20)-1),MID(A20,FIND("_",A20)+1,FIND(":",A20,FIND("_",A20))-FIND("_",A20)-1))),":",SUM(MID(A20,FIND(":",A20)+1,FIND("_",A20)-FIND(":",A20)-1),MID(A20,FIND(":",A20,FIND("_",A20))+1,FIND(")",A20)-FIND(":",A20,FIND("_",A20))-1)),MID(A20,(FIND(")",A20)+1),100))),A20)</f>
        <v>AcylPG 52:2</v>
      </c>
      <c r="C20" s="1" t="str">
        <f>MID(B20,8,FIND(":",B20)-FIND(" ",B20)-1)</f>
        <v>52</v>
      </c>
      <c r="D20" s="1" t="str">
        <f>IF(ISNUMBER(SEARCH("__",B20)),MID(B20,FIND(":",B20)+1,FIND("__",B20)-FIND(":",B20)-1),MID(B20,FIND(":",B20)+1,7))</f>
        <v>2</v>
      </c>
      <c r="G20" s="17">
        <f>C20+6</f>
        <v>58</v>
      </c>
      <c r="H20" s="17">
        <f>(-2)+2*G20-(2*D20)-1-((LEN(A20)-LEN(SUBSTITUTE(A20,"_O_","")))/LEN("_O_"))*2-((LEN(A20)-LEN(SUBSTITUTE(A20,"_CHO_","")))/LEN("_CHO_"))*2-((LEN(A20)-LEN(SUBSTITUTE(A20,"_COOH_","")))/LEN("_COOH_"))*2</f>
        <v>109</v>
      </c>
      <c r="I20" s="17">
        <f>11+((LEN(A20)-LEN(SUBSTITUTE(A20,"_OH_","")))/LEN("_OH_"))*1+((LEN(A20)-LEN(SUBSTITUTE(A20,"_OOH_","")))/LEN("_OOH_"))*2+((LEN(A20)-LEN(SUBSTITUTE(A20,"_O_","")))/LEN("_O_"))*1+((LEN(A20)-LEN(SUBSTITUTE(A20,"_CHO_","")))/LEN("_CHO_"))*1+((LEN(A20)-LEN(SUBSTITUTE(A20,"_COOH_","")))/LEN("_COOH_"))*2</f>
        <v>11</v>
      </c>
      <c r="J20" s="17">
        <v>1</v>
      </c>
      <c r="L20" s="19" t="str">
        <f>CONCATENATE("C",G20,"H",H20,"O",I20,"P",J20)</f>
        <v>C58H109O11P1</v>
      </c>
      <c r="M20" s="19">
        <f>(G20*12)+(H20*1.0078246)+(I20*15.994915)+(J20*30.973763)</f>
        <v>1012.7707094</v>
      </c>
      <c r="N20" s="19">
        <f>M20+1.0078246-0.00055</f>
        <v>1013.7779840000001</v>
      </c>
      <c r="O20" s="19">
        <f>N20-18.01057-0.00055</f>
        <v>995.76686400000006</v>
      </c>
      <c r="P20" s="19">
        <f>M20+18.03437-0.00055</f>
        <v>1030.8045294000001</v>
      </c>
      <c r="Q20" s="19">
        <f>M20+22.98977-0.00055</f>
        <v>1035.7599293999999</v>
      </c>
      <c r="R20" s="19">
        <f>M20+38.96371-0.00055</f>
        <v>1051.7338694</v>
      </c>
      <c r="S20" s="19">
        <f>M20+7.01601-0.00055</f>
        <v>1019.7861694000001</v>
      </c>
      <c r="T20" s="46">
        <f>M20-1.0078246+0.00055</f>
        <v>1011.7634347999999</v>
      </c>
      <c r="U20" s="19">
        <f>M20+44.99767+0.00055</f>
        <v>1057.7689293999999</v>
      </c>
      <c r="V20" s="19">
        <f>M20+59.01332+0.00055</f>
        <v>1071.7845794</v>
      </c>
    </row>
    <row r="21" spans="1:25" s="17" customFormat="1" x14ac:dyDescent="0.25">
      <c r="A21" s="17" t="s">
        <v>690</v>
      </c>
      <c r="B21" s="17" t="str">
        <f>IF(ISNUMBER(SEARCH("(",A21)),IF(ISNUMBER(SEARCH("/",A21)),CONCATENATE(MID(A21,1,2)," ",(SUM(MID(A21,FIND("(",A21)+1,FIND(":",A21)-FIND("(",A21)-1),MID(A21,FIND("/",A21)+1,FIND(":",A21,FIND("/",A21))-FIND("/",A21)-1))),":",SUM(MID(A21,FIND(":",A21)+1,FIND("/",A21)-FIND(":",A21)-1),MID(A21,FIND(":",A21,FIND("/",A21))+1,FIND(")",A21)-FIND(":",A21,FIND("/",A21))-1)),MID(A21,(FIND(")",A21)+1),100)),CONCATENATE(MID(A21,1,2)," ",(SUM(MID(A21,FIND("(",A21)+1,FIND(":",A21)-FIND("(",A21)-1),MID(A21,FIND("_",A21)+1,FIND(":",A21,FIND("_",A21))-FIND("_",A21)-1))),":",SUM(MID(A21,FIND(":",A21)+1,FIND("_",A21)-FIND(":",A21)-1),MID(A21,FIND(":",A21,FIND("_",A21))+1,FIND(")",A21)-FIND(":",A21,FIND("_",A21))-1)),MID(A21,(FIND(")",A21)+1),100))),A21)</f>
        <v>AcylPG 52:1</v>
      </c>
      <c r="C21" s="1" t="str">
        <f>MID(B21,8,FIND(":",B21)-FIND(" ",B21)-1)</f>
        <v>52</v>
      </c>
      <c r="D21" s="1" t="str">
        <f>IF(ISNUMBER(SEARCH("__",B21)),MID(B21,FIND(":",B21)+1,FIND("__",B21)-FIND(":",B21)-1),MID(B21,FIND(":",B21)+1,7))</f>
        <v>1</v>
      </c>
      <c r="G21" s="17">
        <f>C21+6</f>
        <v>58</v>
      </c>
      <c r="H21" s="17">
        <f>(-2)+2*G21-(2*D21)-1-((LEN(A21)-LEN(SUBSTITUTE(A21,"_O_","")))/LEN("_O_"))*2-((LEN(A21)-LEN(SUBSTITUTE(A21,"_CHO_","")))/LEN("_CHO_"))*2-((LEN(A21)-LEN(SUBSTITUTE(A21,"_COOH_","")))/LEN("_COOH_"))*2</f>
        <v>111</v>
      </c>
      <c r="I21" s="17">
        <f>11+((LEN(A21)-LEN(SUBSTITUTE(A21,"_OH_","")))/LEN("_OH_"))*1+((LEN(A21)-LEN(SUBSTITUTE(A21,"_OOH_","")))/LEN("_OOH_"))*2+((LEN(A21)-LEN(SUBSTITUTE(A21,"_O_","")))/LEN("_O_"))*1+((LEN(A21)-LEN(SUBSTITUTE(A21,"_CHO_","")))/LEN("_CHO_"))*1+((LEN(A21)-LEN(SUBSTITUTE(A21,"_COOH_","")))/LEN("_COOH_"))*2</f>
        <v>11</v>
      </c>
      <c r="J21" s="17">
        <v>1</v>
      </c>
      <c r="L21" s="19" t="str">
        <f>CONCATENATE("C",G21,"H",H21,"O",I21,"P",J21)</f>
        <v>C58H111O11P1</v>
      </c>
      <c r="M21" s="19">
        <f>(G21*12)+(H21*1.0078246)+(I21*15.994915)+(J21*30.973763)</f>
        <v>1014.7863586</v>
      </c>
      <c r="N21" s="19">
        <f>M21+1.0078246-0.00055</f>
        <v>1015.7936332</v>
      </c>
      <c r="O21" s="19">
        <f>N21-18.01057-0.00055</f>
        <v>997.78251320000004</v>
      </c>
      <c r="P21" s="19">
        <f>M21+18.03437-0.00055</f>
        <v>1032.8201786</v>
      </c>
      <c r="Q21" s="19">
        <f>M21+22.98977-0.00055</f>
        <v>1037.7755786</v>
      </c>
      <c r="R21" s="19">
        <f>M21+38.96371-0.00055</f>
        <v>1053.7495186000001</v>
      </c>
      <c r="S21" s="19">
        <f>M21+7.01601-0.00055</f>
        <v>1021.8018186</v>
      </c>
      <c r="T21" s="46">
        <f>M21-1.0078246+0.00055</f>
        <v>1013.7790839999999</v>
      </c>
      <c r="U21" s="19">
        <f>M21+44.99767+0.00055</f>
        <v>1059.7845786</v>
      </c>
      <c r="V21" s="19">
        <f>M21+59.01332+0.00055</f>
        <v>1073.8002285999999</v>
      </c>
      <c r="X21" s="62"/>
      <c r="Y21" s="62"/>
    </row>
    <row r="22" spans="1:25" s="17" customFormat="1" x14ac:dyDescent="0.25">
      <c r="A22" s="17" t="s">
        <v>614</v>
      </c>
      <c r="B22" s="17" t="str">
        <f>IF(ISNUMBER(SEARCH("(",A22)),IF(ISNUMBER(SEARCH("/",A22)),CONCATENATE(MID(A22,1,2)," ",(SUM(MID(A22,FIND("(",A22)+1,FIND(":",A22)-FIND("(",A22)-1),MID(A22,FIND("/",A22)+1,FIND(":",A22,FIND("/",A22))-FIND("/",A22)-1))),":",SUM(MID(A22,FIND(":",A22)+1,FIND("/",A22)-FIND(":",A22)-1),MID(A22,FIND(":",A22,FIND("/",A22))+1,FIND(")",A22)-FIND(":",A22,FIND("/",A22))-1)),MID(A22,(FIND(")",A22)+1),100)),CONCATENATE(MID(A22,1,2)," ",(SUM(MID(A22,FIND("(",A22)+1,FIND(":",A22)-FIND("(",A22)-1),MID(A22,FIND("_",A22)+1,FIND(":",A22,FIND("_",A22))-FIND("_",A22)-1))),":",SUM(MID(A22,FIND(":",A22)+1,FIND("_",A22)-FIND(":",A22)-1),MID(A22,FIND(":",A22,FIND("_",A22))+1,FIND(")",A22)-FIND(":",A22,FIND("_",A22))-1)),MID(A22,(FIND(")",A22)+1),100))),A22)</f>
        <v>AcylPG 53:3</v>
      </c>
      <c r="C22" s="1" t="str">
        <f>MID(B22,8,FIND(":",B22)-FIND(" ",B22)-1)</f>
        <v>53</v>
      </c>
      <c r="D22" s="1" t="str">
        <f>IF(ISNUMBER(SEARCH("__",B22)),MID(B22,FIND(":",B22)+1,FIND("__",B22)-FIND(":",B22)-1),MID(B22,FIND(":",B22)+1,7))</f>
        <v>3</v>
      </c>
      <c r="G22" s="17">
        <f>C22+6</f>
        <v>59</v>
      </c>
      <c r="H22" s="17">
        <f>(-2)+2*G22-(2*D22)-1-((LEN(A22)-LEN(SUBSTITUTE(A22,"_O_","")))/LEN("_O_"))*2-((LEN(A22)-LEN(SUBSTITUTE(A22,"_CHO_","")))/LEN("_CHO_"))*2-((LEN(A22)-LEN(SUBSTITUTE(A22,"_COOH_","")))/LEN("_COOH_"))*2</f>
        <v>109</v>
      </c>
      <c r="I22" s="17">
        <f>11+((LEN(A22)-LEN(SUBSTITUTE(A22,"_OH_","")))/LEN("_OH_"))*1+((LEN(A22)-LEN(SUBSTITUTE(A22,"_OOH_","")))/LEN("_OOH_"))*2+((LEN(A22)-LEN(SUBSTITUTE(A22,"_O_","")))/LEN("_O_"))*1+((LEN(A22)-LEN(SUBSTITUTE(A22,"_CHO_","")))/LEN("_CHO_"))*1+((LEN(A22)-LEN(SUBSTITUTE(A22,"_COOH_","")))/LEN("_COOH_"))*2</f>
        <v>11</v>
      </c>
      <c r="J22" s="17">
        <v>1</v>
      </c>
      <c r="L22" s="19" t="str">
        <f>CONCATENATE("C",G22,"H",H22,"O",I22,"P",J22)</f>
        <v>C59H109O11P1</v>
      </c>
      <c r="M22" s="19">
        <f>(G22*12)+(H22*1.0078246)+(I22*15.994915)+(J22*30.973763)</f>
        <v>1024.7707094</v>
      </c>
      <c r="N22" s="19">
        <f>M22+1.0078246-0.00055</f>
        <v>1025.7779840000001</v>
      </c>
      <c r="O22" s="19">
        <f>N22-18.01057-0.00055</f>
        <v>1007.7668640000001</v>
      </c>
      <c r="P22" s="19">
        <f>M22+18.03437-0.00055</f>
        <v>1042.8045294000001</v>
      </c>
      <c r="Q22" s="19">
        <f>M22+22.98977-0.00055</f>
        <v>1047.7599293999999</v>
      </c>
      <c r="R22" s="19">
        <f>M22+38.96371-0.00055</f>
        <v>1063.7338694</v>
      </c>
      <c r="S22" s="19">
        <f>M22+7.01601-0.00055</f>
        <v>1031.7861694000001</v>
      </c>
      <c r="T22" s="46">
        <f>M22-1.0078246+0.00055</f>
        <v>1023.7634347999999</v>
      </c>
      <c r="U22" s="19">
        <f>M22+44.99767+0.00055</f>
        <v>1069.7689293999999</v>
      </c>
      <c r="V22" s="19">
        <f>M22+59.01332+0.00055</f>
        <v>1083.7845794</v>
      </c>
      <c r="X22" s="62"/>
      <c r="Y22" s="62"/>
    </row>
    <row r="23" spans="1:25" s="17" customFormat="1" x14ac:dyDescent="0.25">
      <c r="A23" s="17" t="s">
        <v>612</v>
      </c>
      <c r="B23" s="17" t="str">
        <f>IF(ISNUMBER(SEARCH("(",A23)),IF(ISNUMBER(SEARCH("/",A23)),CONCATENATE(MID(A23,1,2)," ",(SUM(MID(A23,FIND("(",A23)+1,FIND(":",A23)-FIND("(",A23)-1),MID(A23,FIND("/",A23)+1,FIND(":",A23,FIND("/",A23))-FIND("/",A23)-1))),":",SUM(MID(A23,FIND(":",A23)+1,FIND("/",A23)-FIND(":",A23)-1),MID(A23,FIND(":",A23,FIND("/",A23))+1,FIND(")",A23)-FIND(":",A23,FIND("/",A23))-1)),MID(A23,(FIND(")",A23)+1),100)),CONCATENATE(MID(A23,1,2)," ",(SUM(MID(A23,FIND("(",A23)+1,FIND(":",A23)-FIND("(",A23)-1),MID(A23,FIND("_",A23)+1,FIND(":",A23,FIND("_",A23))-FIND("_",A23)-1))),":",SUM(MID(A23,FIND(":",A23)+1,FIND("_",A23)-FIND(":",A23)-1),MID(A23,FIND(":",A23,FIND("_",A23))+1,FIND(")",A23)-FIND(":",A23,FIND("_",A23))-1)),MID(A23,(FIND(")",A23)+1),100))),A23)</f>
        <v>AcylPG 53:2</v>
      </c>
      <c r="C23" s="1" t="str">
        <f>MID(B23,8,FIND(":",B23)-FIND(" ",B23)-1)</f>
        <v>53</v>
      </c>
      <c r="D23" s="1" t="str">
        <f>IF(ISNUMBER(SEARCH("__",B23)),MID(B23,FIND(":",B23)+1,FIND("__",B23)-FIND(":",B23)-1),MID(B23,FIND(":",B23)+1,7))</f>
        <v>2</v>
      </c>
      <c r="G23" s="17">
        <f>C23+6</f>
        <v>59</v>
      </c>
      <c r="H23" s="17">
        <f>(-2)+2*G23-(2*D23)-1-((LEN(A23)-LEN(SUBSTITUTE(A23,"_O_","")))/LEN("_O_"))*2-((LEN(A23)-LEN(SUBSTITUTE(A23,"_CHO_","")))/LEN("_CHO_"))*2-((LEN(A23)-LEN(SUBSTITUTE(A23,"_COOH_","")))/LEN("_COOH_"))*2</f>
        <v>111</v>
      </c>
      <c r="I23" s="17">
        <f>11+((LEN(A23)-LEN(SUBSTITUTE(A23,"_OH_","")))/LEN("_OH_"))*1+((LEN(A23)-LEN(SUBSTITUTE(A23,"_OOH_","")))/LEN("_OOH_"))*2+((LEN(A23)-LEN(SUBSTITUTE(A23,"_O_","")))/LEN("_O_"))*1+((LEN(A23)-LEN(SUBSTITUTE(A23,"_CHO_","")))/LEN("_CHO_"))*1+((LEN(A23)-LEN(SUBSTITUTE(A23,"_COOH_","")))/LEN("_COOH_"))*2</f>
        <v>11</v>
      </c>
      <c r="J23" s="17">
        <v>1</v>
      </c>
      <c r="L23" s="19" t="str">
        <f>CONCATENATE("C",G23,"H",H23,"O",I23,"P",J23)</f>
        <v>C59H111O11P1</v>
      </c>
      <c r="M23" s="19">
        <f>(G23*12)+(H23*1.0078246)+(I23*15.994915)+(J23*30.973763)</f>
        <v>1026.7863586000001</v>
      </c>
      <c r="N23" s="19">
        <f>M23+1.0078246-0.00055</f>
        <v>1027.7936332000002</v>
      </c>
      <c r="O23" s="19">
        <f>N23-18.01057-0.00055</f>
        <v>1009.7825132000002</v>
      </c>
      <c r="P23" s="19">
        <f>M23+18.03437-0.00055</f>
        <v>1044.8201786000002</v>
      </c>
      <c r="Q23" s="19">
        <f>M23+22.98977-0.00055</f>
        <v>1049.7755786</v>
      </c>
      <c r="R23" s="19">
        <f>M23+38.96371-0.00055</f>
        <v>1065.7495186000001</v>
      </c>
      <c r="S23" s="19">
        <f>M23+7.01601-0.00055</f>
        <v>1033.8018186000002</v>
      </c>
      <c r="T23" s="46">
        <f>M23-1.0078246+0.00055</f>
        <v>1025.779084</v>
      </c>
      <c r="U23" s="19">
        <f>M23+44.99767+0.00055</f>
        <v>1071.7845786</v>
      </c>
      <c r="V23" s="19">
        <f>M23+59.01332+0.00055</f>
        <v>1085.8002286000001</v>
      </c>
      <c r="X23" s="62"/>
      <c r="Y23" s="62"/>
    </row>
    <row r="24" spans="1:25" s="17" customFormat="1" x14ac:dyDescent="0.25">
      <c r="A24" s="17" t="s">
        <v>691</v>
      </c>
      <c r="B24" s="17" t="str">
        <f>IF(ISNUMBER(SEARCH("(",A24)),IF(ISNUMBER(SEARCH("/",A24)),CONCATENATE(MID(A24,1,2)," ",(SUM(MID(A24,FIND("(",A24)+1,FIND(":",A24)-FIND("(",A24)-1),MID(A24,FIND("/",A24)+1,FIND(":",A24,FIND("/",A24))-FIND("/",A24)-1))),":",SUM(MID(A24,FIND(":",A24)+1,FIND("/",A24)-FIND(":",A24)-1),MID(A24,FIND(":",A24,FIND("/",A24))+1,FIND(")",A24)-FIND(":",A24,FIND("/",A24))-1)),MID(A24,(FIND(")",A24)+1),100)),CONCATENATE(MID(A24,1,2)," ",(SUM(MID(A24,FIND("(",A24)+1,FIND(":",A24)-FIND("(",A24)-1),MID(A24,FIND("_",A24)+1,FIND(":",A24,FIND("_",A24))-FIND("_",A24)-1))),":",SUM(MID(A24,FIND(":",A24)+1,FIND("_",A24)-FIND(":",A24)-1),MID(A24,FIND(":",A24,FIND("_",A24))+1,FIND(")",A24)-FIND(":",A24,FIND("_",A24))-1)),MID(A24,(FIND(")",A24)+1),100))),A24)</f>
        <v>AcylPG 53:1</v>
      </c>
      <c r="C24" s="1" t="str">
        <f>MID(B24,8,FIND(":",B24)-FIND(" ",B24)-1)</f>
        <v>53</v>
      </c>
      <c r="D24" s="1" t="str">
        <f>IF(ISNUMBER(SEARCH("__",B24)),MID(B24,FIND(":",B24)+1,FIND("__",B24)-FIND(":",B24)-1),MID(B24,FIND(":",B24)+1,7))</f>
        <v>1</v>
      </c>
      <c r="G24" s="17">
        <f>C24+6</f>
        <v>59</v>
      </c>
      <c r="H24" s="17">
        <f>(-2)+2*G24-(2*D24)-1-((LEN(A24)-LEN(SUBSTITUTE(A24,"_O_","")))/LEN("_O_"))*2-((LEN(A24)-LEN(SUBSTITUTE(A24,"_CHO_","")))/LEN("_CHO_"))*2-((LEN(A24)-LEN(SUBSTITUTE(A24,"_COOH_","")))/LEN("_COOH_"))*2</f>
        <v>113</v>
      </c>
      <c r="I24" s="17">
        <f>11+((LEN(A24)-LEN(SUBSTITUTE(A24,"_OH_","")))/LEN("_OH_"))*1+((LEN(A24)-LEN(SUBSTITUTE(A24,"_OOH_","")))/LEN("_OOH_"))*2+((LEN(A24)-LEN(SUBSTITUTE(A24,"_O_","")))/LEN("_O_"))*1+((LEN(A24)-LEN(SUBSTITUTE(A24,"_CHO_","")))/LEN("_CHO_"))*1+((LEN(A24)-LEN(SUBSTITUTE(A24,"_COOH_","")))/LEN("_COOH_"))*2</f>
        <v>11</v>
      </c>
      <c r="J24" s="17">
        <v>1</v>
      </c>
      <c r="L24" s="19" t="str">
        <f>CONCATENATE("C",G24,"H",H24,"O",I24,"P",J24)</f>
        <v>C59H113O11P1</v>
      </c>
      <c r="M24" s="19">
        <f>(G24*12)+(H24*1.0078246)+(I24*15.994915)+(J24*30.973763)</f>
        <v>1028.8020078</v>
      </c>
      <c r="N24" s="19">
        <f>M24+1.0078246-0.00055</f>
        <v>1029.8092824</v>
      </c>
      <c r="O24" s="19">
        <f>N24-18.01057-0.00055</f>
        <v>1011.7981624</v>
      </c>
      <c r="P24" s="19">
        <f>M24+18.03437-0.00055</f>
        <v>1046.8358278000001</v>
      </c>
      <c r="Q24" s="19">
        <f>M24+22.98977-0.00055</f>
        <v>1051.7912277999999</v>
      </c>
      <c r="R24" s="19">
        <f>M24+38.96371-0.00055</f>
        <v>1067.7651678</v>
      </c>
      <c r="S24" s="19">
        <f>M24+7.01601-0.00055</f>
        <v>1035.8174678</v>
      </c>
      <c r="T24" s="46">
        <f>M24-1.0078246+0.00055</f>
        <v>1027.7947331999999</v>
      </c>
      <c r="U24" s="19">
        <f>M24+44.99767+0.00055</f>
        <v>1073.8002277999999</v>
      </c>
      <c r="V24" s="19">
        <f>M24+59.01332+0.00055</f>
        <v>1087.8158778</v>
      </c>
      <c r="X24" s="62"/>
      <c r="Y24" s="62"/>
    </row>
    <row r="25" spans="1:25" s="17" customFormat="1" x14ac:dyDescent="0.25">
      <c r="A25" s="17" t="s">
        <v>613</v>
      </c>
      <c r="B25" s="17" t="str">
        <f>IF(ISNUMBER(SEARCH("(",A25)),IF(ISNUMBER(SEARCH("/",A25)),CONCATENATE(MID(A25,1,2)," ",(SUM(MID(A25,FIND("(",A25)+1,FIND(":",A25)-FIND("(",A25)-1),MID(A25,FIND("/",A25)+1,FIND(":",A25,FIND("/",A25))-FIND("/",A25)-1))),":",SUM(MID(A25,FIND(":",A25)+1,FIND("/",A25)-FIND(":",A25)-1),MID(A25,FIND(":",A25,FIND("/",A25))+1,FIND(")",A25)-FIND(":",A25,FIND("/",A25))-1)),MID(A25,(FIND(")",A25)+1),100)),CONCATENATE(MID(A25,1,2)," ",(SUM(MID(A25,FIND("(",A25)+1,FIND(":",A25)-FIND("(",A25)-1),MID(A25,FIND("_",A25)+1,FIND(":",A25,FIND("_",A25))-FIND("_",A25)-1))),":",SUM(MID(A25,FIND(":",A25)+1,FIND("_",A25)-FIND(":",A25)-1),MID(A25,FIND(":",A25,FIND("_",A25))+1,FIND(")",A25)-FIND(":",A25,FIND("_",A25))-1)),MID(A25,(FIND(")",A25)+1),100))),A25)</f>
        <v>AcylPG 54:3</v>
      </c>
      <c r="C25" s="1" t="str">
        <f>MID(B25,8,FIND(":",B25)-FIND(" ",B25)-1)</f>
        <v>54</v>
      </c>
      <c r="D25" s="1" t="str">
        <f>IF(ISNUMBER(SEARCH("__",B25)),MID(B25,FIND(":",B25)+1,FIND("__",B25)-FIND(":",B25)-1),MID(B25,FIND(":",B25)+1,7))</f>
        <v>3</v>
      </c>
      <c r="G25" s="17">
        <f>C25+6</f>
        <v>60</v>
      </c>
      <c r="H25" s="17">
        <f>(-2)+2*G25-(2*D25)-1-((LEN(A25)-LEN(SUBSTITUTE(A25,"_O_","")))/LEN("_O_"))*2-((LEN(A25)-LEN(SUBSTITUTE(A25,"_CHO_","")))/LEN("_CHO_"))*2-((LEN(A25)-LEN(SUBSTITUTE(A25,"_COOH_","")))/LEN("_COOH_"))*2</f>
        <v>111</v>
      </c>
      <c r="I25" s="17">
        <f>11+((LEN(A25)-LEN(SUBSTITUTE(A25,"_OH_","")))/LEN("_OH_"))*1+((LEN(A25)-LEN(SUBSTITUTE(A25,"_OOH_","")))/LEN("_OOH_"))*2+((LEN(A25)-LEN(SUBSTITUTE(A25,"_O_","")))/LEN("_O_"))*1+((LEN(A25)-LEN(SUBSTITUTE(A25,"_CHO_","")))/LEN("_CHO_"))*1+((LEN(A25)-LEN(SUBSTITUTE(A25,"_COOH_","")))/LEN("_COOH_"))*2</f>
        <v>11</v>
      </c>
      <c r="J25" s="17">
        <v>1</v>
      </c>
      <c r="L25" s="19" t="str">
        <f>CONCATENATE("C",G25,"H",H25,"O",I25,"P",J25)</f>
        <v>C60H111O11P1</v>
      </c>
      <c r="M25" s="19">
        <f>(G25*12)+(H25*1.0078246)+(I25*15.994915)+(J25*30.973763)</f>
        <v>1038.7863586000001</v>
      </c>
      <c r="N25" s="19">
        <f>M25+1.0078246-0.00055</f>
        <v>1039.7936332000002</v>
      </c>
      <c r="O25" s="19">
        <f>N25-18.01057-0.00055</f>
        <v>1021.7825132000002</v>
      </c>
      <c r="P25" s="19">
        <f>M25+18.03437-0.00055</f>
        <v>1056.8201786000002</v>
      </c>
      <c r="Q25" s="19">
        <f>M25+22.98977-0.00055</f>
        <v>1061.7755786</v>
      </c>
      <c r="R25" s="19">
        <f>M25+38.96371-0.00055</f>
        <v>1077.7495186000001</v>
      </c>
      <c r="S25" s="19">
        <f>M25+7.01601-0.00055</f>
        <v>1045.8018186000002</v>
      </c>
      <c r="T25" s="46">
        <f>M25-1.0078246+0.00055</f>
        <v>1037.779084</v>
      </c>
      <c r="U25" s="19">
        <f>M25+44.99767+0.00055</f>
        <v>1083.7845786</v>
      </c>
      <c r="V25" s="19">
        <f>M25+59.01332+0.00055</f>
        <v>1097.8002286000001</v>
      </c>
      <c r="X25" s="62"/>
      <c r="Y25" s="62"/>
    </row>
    <row r="26" spans="1:25" s="17" customFormat="1" x14ac:dyDescent="0.25">
      <c r="A26" s="17" t="s">
        <v>601</v>
      </c>
      <c r="B26" s="17" t="str">
        <f>IF(ISNUMBER(SEARCH("(",A26)),IF(ISNUMBER(SEARCH("/",A26)),CONCATENATE(MID(A26,1,2)," ",(SUM(MID(A26,FIND("(",A26)+1,FIND(":",A26)-FIND("(",A26)-1),MID(A26,FIND("/",A26)+1,FIND(":",A26,FIND("/",A26))-FIND("/",A26)-1))),":",SUM(MID(A26,FIND(":",A26)+1,FIND("/",A26)-FIND(":",A26)-1),MID(A26,FIND(":",A26,FIND("/",A26))+1,FIND(")",A26)-FIND(":",A26,FIND("/",A26))-1)),MID(A26,(FIND(")",A26)+1),100)),CONCATENATE(MID(A26,1,2)," ",(SUM(MID(A26,FIND("(",A26)+1,FIND(":",A26)-FIND("(",A26)-1),MID(A26,FIND("_",A26)+1,FIND(":",A26,FIND("_",A26))-FIND("_",A26)-1))),":",SUM(MID(A26,FIND(":",A26)+1,FIND("_",A26)-FIND(":",A26)-1),MID(A26,FIND(":",A26,FIND("_",A26))+1,FIND(")",A26)-FIND(":",A26,FIND("_",A26))-1)),MID(A26,(FIND(")",A26)+1),100))),A26)</f>
        <v>AcylPG 54:2</v>
      </c>
      <c r="C26" s="1" t="str">
        <f>MID(B26,8,FIND(":",B26)-FIND(" ",B26)-1)</f>
        <v>54</v>
      </c>
      <c r="D26" s="1" t="str">
        <f>IF(ISNUMBER(SEARCH("__",B26)),MID(B26,FIND(":",B26)+1,FIND("__",B26)-FIND(":",B26)-1),MID(B26,FIND(":",B26)+1,7))</f>
        <v>2</v>
      </c>
      <c r="G26" s="17">
        <f>C26+6</f>
        <v>60</v>
      </c>
      <c r="H26" s="17">
        <f>(-2)+2*G26-(2*D26)-1-((LEN(A26)-LEN(SUBSTITUTE(A26,"_O_","")))/LEN("_O_"))*2-((LEN(A26)-LEN(SUBSTITUTE(A26,"_CHO_","")))/LEN("_CHO_"))*2-((LEN(A26)-LEN(SUBSTITUTE(A26,"_COOH_","")))/LEN("_COOH_"))*2</f>
        <v>113</v>
      </c>
      <c r="I26" s="17">
        <f>11+((LEN(A26)-LEN(SUBSTITUTE(A26,"_OH_","")))/LEN("_OH_"))*1+((LEN(A26)-LEN(SUBSTITUTE(A26,"_OOH_","")))/LEN("_OOH_"))*2+((LEN(A26)-LEN(SUBSTITUTE(A26,"_O_","")))/LEN("_O_"))*1+((LEN(A26)-LEN(SUBSTITUTE(A26,"_CHO_","")))/LEN("_CHO_"))*1+((LEN(A26)-LEN(SUBSTITUTE(A26,"_COOH_","")))/LEN("_COOH_"))*2</f>
        <v>11</v>
      </c>
      <c r="J26" s="17">
        <v>1</v>
      </c>
      <c r="L26" s="19" t="str">
        <f>CONCATENATE("C",G26,"H",H26,"O",I26,"P",J26)</f>
        <v>C60H113O11P1</v>
      </c>
      <c r="M26" s="19">
        <f>(G26*12)+(H26*1.0078246)+(I26*15.994915)+(J26*30.973763)</f>
        <v>1040.8020078</v>
      </c>
      <c r="N26" s="19">
        <f>M26+1.0078246-0.00055</f>
        <v>1041.8092824</v>
      </c>
      <c r="O26" s="19">
        <f>N26-18.01057-0.00055</f>
        <v>1023.7981624</v>
      </c>
      <c r="P26" s="19">
        <f>M26+18.03437-0.00055</f>
        <v>1058.8358278000001</v>
      </c>
      <c r="Q26" s="19">
        <f>M26+22.98977-0.00055</f>
        <v>1063.7912277999999</v>
      </c>
      <c r="R26" s="19">
        <f>M26+38.96371-0.00055</f>
        <v>1079.7651678</v>
      </c>
      <c r="S26" s="19">
        <f>M26+7.01601-0.00055</f>
        <v>1047.8174678</v>
      </c>
      <c r="T26" s="46">
        <f>M26-1.0078246+0.00055</f>
        <v>1039.7947331999999</v>
      </c>
      <c r="U26" s="19">
        <f>M26+44.99767+0.00055</f>
        <v>1085.8002277999999</v>
      </c>
      <c r="V26" s="19">
        <f>M26+59.01332+0.00055</f>
        <v>1099.8158778</v>
      </c>
      <c r="X26" s="62"/>
      <c r="Y26" s="62"/>
    </row>
    <row r="27" spans="1:25" s="17" customFormat="1" x14ac:dyDescent="0.25">
      <c r="A27" s="17" t="s">
        <v>600</v>
      </c>
      <c r="B27" s="17" t="str">
        <f>IF(ISNUMBER(SEARCH("(",A27)),IF(ISNUMBER(SEARCH("/",A27)),CONCATENATE(MID(A27,1,2)," ",(SUM(MID(A27,FIND("(",A27)+1,FIND(":",A27)-FIND("(",A27)-1),MID(A27,FIND("/",A27)+1,FIND(":",A27,FIND("/",A27))-FIND("/",A27)-1))),":",SUM(MID(A27,FIND(":",A27)+1,FIND("/",A27)-FIND(":",A27)-1),MID(A27,FIND(":",A27,FIND("/",A27))+1,FIND(")",A27)-FIND(":",A27,FIND("/",A27))-1)),MID(A27,(FIND(")",A27)+1),100)),CONCATENATE(MID(A27,1,2)," ",(SUM(MID(A27,FIND("(",A27)+1,FIND(":",A27)-FIND("(",A27)-1),MID(A27,FIND("_",A27)+1,FIND(":",A27,FIND("_",A27))-FIND("_",A27)-1))),":",SUM(MID(A27,FIND(":",A27)+1,FIND("_",A27)-FIND(":",A27)-1),MID(A27,FIND(":",A27,FIND("_",A27))+1,FIND(")",A27)-FIND(":",A27,FIND("_",A27))-1)),MID(A27,(FIND(")",A27)+1),100))),A27)</f>
        <v>AcylPG 54:1</v>
      </c>
      <c r="C27" s="1" t="str">
        <f>MID(B27,8,FIND(":",B27)-FIND(" ",B27)-1)</f>
        <v>54</v>
      </c>
      <c r="D27" s="1" t="str">
        <f>IF(ISNUMBER(SEARCH("__",B27)),MID(B27,FIND(":",B27)+1,FIND("__",B27)-FIND(":",B27)-1),MID(B27,FIND(":",B27)+1,7))</f>
        <v>1</v>
      </c>
      <c r="G27" s="17">
        <f>C27+6</f>
        <v>60</v>
      </c>
      <c r="H27" s="17">
        <f>(-2)+2*G27-(2*D27)-1-((LEN(A27)-LEN(SUBSTITUTE(A27,"_O_","")))/LEN("_O_"))*2-((LEN(A27)-LEN(SUBSTITUTE(A27,"_CHO_","")))/LEN("_CHO_"))*2-((LEN(A27)-LEN(SUBSTITUTE(A27,"_COOH_","")))/LEN("_COOH_"))*2</f>
        <v>115</v>
      </c>
      <c r="I27" s="17">
        <f>11+((LEN(A27)-LEN(SUBSTITUTE(A27,"_OH_","")))/LEN("_OH_"))*1+((LEN(A27)-LEN(SUBSTITUTE(A27,"_OOH_","")))/LEN("_OOH_"))*2+((LEN(A27)-LEN(SUBSTITUTE(A27,"_O_","")))/LEN("_O_"))*1+((LEN(A27)-LEN(SUBSTITUTE(A27,"_CHO_","")))/LEN("_CHO_"))*1+((LEN(A27)-LEN(SUBSTITUTE(A27,"_COOH_","")))/LEN("_COOH_"))*2</f>
        <v>11</v>
      </c>
      <c r="J27" s="17">
        <v>1</v>
      </c>
      <c r="L27" s="19" t="str">
        <f>CONCATENATE("C",G27,"H",H27,"O",I27,"P",J27)</f>
        <v>C60H115O11P1</v>
      </c>
      <c r="M27" s="19">
        <f>(G27*12)+(H27*1.0078246)+(I27*15.994915)+(J27*30.973763)</f>
        <v>1042.8176570000001</v>
      </c>
      <c r="N27" s="19">
        <f>M27+1.0078246-0.00055</f>
        <v>1043.8249316000001</v>
      </c>
      <c r="O27" s="19">
        <f>N27-18.01057-0.00055</f>
        <v>1025.8138116000002</v>
      </c>
      <c r="P27" s="19">
        <f>M27+18.03437-0.00055</f>
        <v>1060.8514770000002</v>
      </c>
      <c r="Q27" s="19">
        <f>M27+22.98977-0.00055</f>
        <v>1065.806877</v>
      </c>
      <c r="R27" s="19">
        <f>M27+38.96371-0.00055</f>
        <v>1081.7808170000001</v>
      </c>
      <c r="S27" s="19">
        <f>M27+7.01601-0.00055</f>
        <v>1049.8331170000001</v>
      </c>
      <c r="T27" s="46">
        <f>M27-1.0078246+0.00055</f>
        <v>1041.8103824</v>
      </c>
      <c r="U27" s="19">
        <f>M27+44.99767+0.00055</f>
        <v>1087.815877</v>
      </c>
      <c r="V27" s="19">
        <f>M27+59.01332+0.00055</f>
        <v>1101.8315270000001</v>
      </c>
      <c r="X27" s="62"/>
      <c r="Y27" s="62"/>
    </row>
    <row r="28" spans="1:25" s="17" customFormat="1" ht="15" x14ac:dyDescent="0.2">
      <c r="C28" s="1"/>
      <c r="D28" s="1"/>
      <c r="L28" s="19"/>
      <c r="M28" s="19"/>
      <c r="N28" s="19"/>
      <c r="O28" s="19"/>
      <c r="P28" s="19"/>
      <c r="Q28" s="19"/>
      <c r="R28" s="19"/>
      <c r="S28" s="19"/>
      <c r="T28" s="46"/>
      <c r="U28" s="19"/>
      <c r="V28" s="19"/>
    </row>
    <row r="29" spans="1:25" s="17" customFormat="1" ht="15" x14ac:dyDescent="0.2">
      <c r="C29" s="1"/>
      <c r="D29" s="1"/>
      <c r="L29" s="19"/>
      <c r="M29" s="19"/>
      <c r="N29" s="19"/>
      <c r="O29" s="19"/>
      <c r="P29" s="19"/>
      <c r="Q29" s="19"/>
      <c r="R29" s="19"/>
      <c r="S29" s="19"/>
      <c r="T29" s="46"/>
      <c r="U29" s="19"/>
      <c r="V29" s="19"/>
    </row>
    <row r="30" spans="1:25" s="17" customFormat="1" ht="15" x14ac:dyDescent="0.2">
      <c r="C30" s="1"/>
      <c r="D30" s="1"/>
      <c r="L30" s="19"/>
      <c r="M30" s="19"/>
      <c r="N30" s="19"/>
      <c r="O30" s="19"/>
      <c r="P30" s="19"/>
      <c r="Q30" s="19"/>
      <c r="R30" s="19"/>
      <c r="S30" s="19"/>
      <c r="T30" s="46"/>
      <c r="U30" s="19"/>
      <c r="V30" s="19"/>
    </row>
    <row r="31" spans="1:25" s="17" customFormat="1" ht="15" x14ac:dyDescent="0.2">
      <c r="C31" s="1"/>
      <c r="D31" s="1"/>
      <c r="L31" s="19"/>
      <c r="M31" s="19"/>
      <c r="N31" s="19"/>
      <c r="O31" s="19"/>
      <c r="P31" s="19"/>
      <c r="Q31" s="19"/>
      <c r="R31" s="19"/>
      <c r="S31" s="19"/>
      <c r="T31" s="46"/>
      <c r="U31" s="19"/>
      <c r="V31" s="19"/>
    </row>
    <row r="32" spans="1:25" s="17" customFormat="1" ht="15" x14ac:dyDescent="0.2">
      <c r="C32" s="1"/>
      <c r="D32" s="1"/>
      <c r="L32" s="19"/>
      <c r="M32" s="19"/>
      <c r="N32" s="19"/>
      <c r="O32" s="19"/>
      <c r="P32" s="19"/>
      <c r="Q32" s="19"/>
      <c r="R32" s="19"/>
      <c r="S32" s="19"/>
      <c r="T32" s="46"/>
      <c r="U32" s="19"/>
      <c r="V32" s="19"/>
    </row>
    <row r="33" spans="3:22" s="17" customFormat="1" ht="15" x14ac:dyDescent="0.2">
      <c r="C33" s="1"/>
      <c r="D33" s="1"/>
      <c r="L33" s="19"/>
      <c r="M33" s="19"/>
      <c r="N33" s="19"/>
      <c r="O33" s="19"/>
      <c r="P33" s="19"/>
      <c r="Q33" s="19"/>
      <c r="R33" s="19"/>
      <c r="S33" s="19"/>
      <c r="T33" s="46"/>
      <c r="U33" s="19"/>
      <c r="V33" s="19"/>
    </row>
    <row r="34" spans="3:22" s="17" customFormat="1" ht="15" x14ac:dyDescent="0.2">
      <c r="C34" s="1"/>
      <c r="D34" s="1"/>
      <c r="L34" s="19"/>
      <c r="M34" s="19"/>
      <c r="N34" s="19"/>
      <c r="O34" s="19"/>
      <c r="P34" s="19"/>
      <c r="Q34" s="19"/>
      <c r="R34" s="19"/>
      <c r="S34" s="19"/>
      <c r="T34" s="46"/>
      <c r="U34" s="19"/>
      <c r="V34" s="19"/>
    </row>
    <row r="35" spans="3:22" s="17" customFormat="1" ht="15" x14ac:dyDescent="0.2">
      <c r="C35" s="1"/>
      <c r="D35" s="1"/>
      <c r="L35" s="19"/>
      <c r="M35" s="19"/>
      <c r="N35" s="19"/>
      <c r="O35" s="19"/>
      <c r="P35" s="19"/>
      <c r="Q35" s="19"/>
      <c r="R35" s="19"/>
      <c r="S35" s="19"/>
      <c r="T35" s="46"/>
      <c r="U35" s="19"/>
      <c r="V35" s="19"/>
    </row>
    <row r="36" spans="3:22" s="17" customFormat="1" ht="15" x14ac:dyDescent="0.2">
      <c r="C36" s="1"/>
      <c r="D36" s="1"/>
      <c r="L36" s="19"/>
      <c r="M36" s="19"/>
      <c r="N36" s="19"/>
      <c r="O36" s="19"/>
      <c r="P36" s="19"/>
      <c r="Q36" s="19"/>
      <c r="R36" s="19"/>
      <c r="S36" s="19"/>
      <c r="T36" s="46"/>
      <c r="U36" s="19"/>
      <c r="V36" s="19"/>
    </row>
    <row r="37" spans="3:22" s="17" customFormat="1" ht="15" x14ac:dyDescent="0.2">
      <c r="C37" s="1"/>
      <c r="D37" s="1"/>
      <c r="L37" s="19"/>
      <c r="M37" s="19"/>
      <c r="N37" s="19"/>
      <c r="O37" s="19"/>
      <c r="P37" s="19"/>
      <c r="Q37" s="19"/>
      <c r="R37" s="19"/>
      <c r="S37" s="19"/>
      <c r="T37" s="46"/>
      <c r="U37" s="19"/>
      <c r="V37" s="19"/>
    </row>
    <row r="38" spans="3:22" s="17" customFormat="1" ht="15" x14ac:dyDescent="0.2">
      <c r="C38" s="1"/>
      <c r="D38" s="1"/>
      <c r="L38" s="19"/>
      <c r="M38" s="19"/>
      <c r="N38" s="19"/>
      <c r="O38" s="19"/>
      <c r="P38" s="19"/>
      <c r="Q38" s="19"/>
      <c r="R38" s="19"/>
      <c r="S38" s="19"/>
      <c r="T38" s="46"/>
      <c r="U38" s="19"/>
      <c r="V38" s="19"/>
    </row>
    <row r="39" spans="3:22" s="17" customFormat="1" ht="15" x14ac:dyDescent="0.2">
      <c r="C39" s="1"/>
      <c r="D39" s="1"/>
      <c r="L39" s="19"/>
      <c r="M39" s="19"/>
      <c r="N39" s="19"/>
      <c r="O39" s="19"/>
      <c r="P39" s="19"/>
      <c r="Q39" s="19"/>
      <c r="R39" s="19"/>
      <c r="S39" s="19"/>
      <c r="T39" s="46"/>
      <c r="U39" s="19"/>
      <c r="V39" s="19"/>
    </row>
    <row r="40" spans="3:22" s="17" customFormat="1" ht="15" x14ac:dyDescent="0.2">
      <c r="C40" s="1"/>
      <c r="D40" s="1"/>
      <c r="L40" s="19"/>
      <c r="M40" s="19"/>
      <c r="N40" s="19"/>
      <c r="O40" s="19"/>
      <c r="P40" s="19"/>
      <c r="Q40" s="19"/>
      <c r="R40" s="19"/>
      <c r="S40" s="19"/>
      <c r="T40" s="46"/>
      <c r="U40" s="19"/>
      <c r="V40" s="19"/>
    </row>
    <row r="42" spans="3:22" s="17" customFormat="1" ht="15" x14ac:dyDescent="0.2">
      <c r="C42" s="1"/>
      <c r="D42" s="1"/>
      <c r="L42" s="19"/>
      <c r="M42" s="19"/>
      <c r="N42" s="19"/>
      <c r="O42" s="19"/>
      <c r="P42" s="19"/>
      <c r="Q42" s="19"/>
      <c r="R42" s="19"/>
      <c r="S42" s="19"/>
      <c r="T42" s="46"/>
      <c r="U42" s="19"/>
      <c r="V42" s="19"/>
    </row>
    <row r="43" spans="3:22" s="17" customFormat="1" ht="15" x14ac:dyDescent="0.2">
      <c r="C43" s="1"/>
      <c r="D43" s="1"/>
      <c r="L43" s="19"/>
      <c r="M43" s="19"/>
      <c r="N43" s="19"/>
      <c r="O43" s="19"/>
      <c r="P43" s="19"/>
      <c r="Q43" s="19"/>
      <c r="R43" s="19"/>
      <c r="S43" s="19"/>
      <c r="T43" s="46"/>
      <c r="U43" s="19"/>
      <c r="V43" s="19"/>
    </row>
    <row r="44" spans="3:22" s="17" customFormat="1" ht="15" x14ac:dyDescent="0.2">
      <c r="C44" s="1"/>
      <c r="D44" s="1"/>
      <c r="L44" s="19"/>
      <c r="M44" s="19"/>
      <c r="N44" s="19"/>
      <c r="O44" s="19"/>
      <c r="P44" s="19"/>
      <c r="Q44" s="19"/>
      <c r="R44" s="19"/>
      <c r="S44" s="19"/>
      <c r="T44" s="46"/>
      <c r="U44" s="19"/>
      <c r="V44" s="19"/>
    </row>
    <row r="45" spans="3:22" s="17" customFormat="1" ht="15" x14ac:dyDescent="0.2">
      <c r="C45" s="1"/>
      <c r="D45" s="1"/>
      <c r="L45" s="19"/>
      <c r="M45" s="19"/>
      <c r="N45" s="19"/>
      <c r="O45" s="19"/>
      <c r="P45" s="19"/>
      <c r="Q45" s="19"/>
      <c r="R45" s="19"/>
      <c r="S45" s="19"/>
      <c r="T45" s="46"/>
      <c r="U45" s="19"/>
      <c r="V45" s="19"/>
    </row>
    <row r="46" spans="3:22" s="17" customFormat="1" ht="15" x14ac:dyDescent="0.2">
      <c r="C46" s="1"/>
      <c r="D46" s="1"/>
      <c r="L46" s="19"/>
      <c r="M46" s="19"/>
      <c r="N46" s="19"/>
      <c r="O46" s="19"/>
      <c r="P46" s="19"/>
      <c r="Q46" s="19"/>
      <c r="R46" s="19"/>
      <c r="S46" s="19"/>
      <c r="T46" s="46"/>
      <c r="U46" s="19"/>
      <c r="V46" s="19"/>
    </row>
    <row r="47" spans="3:22" s="17" customFormat="1" ht="15" x14ac:dyDescent="0.2">
      <c r="C47" s="1"/>
      <c r="D47" s="1"/>
      <c r="L47" s="19"/>
      <c r="M47" s="19"/>
      <c r="N47" s="19"/>
      <c r="O47" s="19"/>
      <c r="P47" s="19"/>
      <c r="Q47" s="19"/>
      <c r="R47" s="19"/>
      <c r="S47" s="19"/>
      <c r="T47" s="46"/>
      <c r="U47" s="19"/>
      <c r="V47" s="19"/>
    </row>
    <row r="48" spans="3:22" s="17" customFormat="1" ht="15" x14ac:dyDescent="0.2">
      <c r="C48" s="1"/>
      <c r="D48" s="1"/>
      <c r="L48" s="19"/>
      <c r="M48" s="19"/>
      <c r="N48" s="19"/>
      <c r="O48" s="19"/>
      <c r="P48" s="19"/>
      <c r="Q48" s="19"/>
      <c r="R48" s="19"/>
      <c r="S48" s="19"/>
      <c r="T48" s="46"/>
      <c r="U48" s="19"/>
      <c r="V48" s="19"/>
    </row>
    <row r="49" spans="3:22" s="17" customFormat="1" ht="15" x14ac:dyDescent="0.2">
      <c r="C49" s="1"/>
      <c r="D49" s="1"/>
      <c r="L49" s="19"/>
      <c r="M49" s="19"/>
      <c r="N49" s="19"/>
      <c r="O49" s="19"/>
      <c r="P49" s="19"/>
      <c r="Q49" s="19"/>
      <c r="R49" s="19"/>
      <c r="S49" s="19"/>
      <c r="T49" s="46"/>
      <c r="U49" s="19"/>
      <c r="V49" s="19"/>
    </row>
    <row r="50" spans="3:22" s="17" customFormat="1" ht="15" x14ac:dyDescent="0.2">
      <c r="C50" s="1"/>
      <c r="D50" s="1"/>
      <c r="L50" s="19"/>
      <c r="M50" s="19"/>
      <c r="N50" s="19"/>
      <c r="O50" s="19"/>
      <c r="P50" s="19"/>
      <c r="Q50" s="19"/>
      <c r="R50" s="19"/>
      <c r="S50" s="19"/>
      <c r="T50" s="46"/>
      <c r="U50" s="19"/>
      <c r="V50" s="19"/>
    </row>
    <row r="51" spans="3:22" s="17" customFormat="1" ht="15" x14ac:dyDescent="0.2">
      <c r="C51" s="1"/>
      <c r="D51" s="1"/>
      <c r="L51" s="19"/>
      <c r="M51" s="19"/>
      <c r="N51" s="19"/>
      <c r="O51" s="19"/>
      <c r="P51" s="19"/>
      <c r="Q51" s="19"/>
      <c r="R51" s="19"/>
      <c r="S51" s="19"/>
      <c r="T51" s="46"/>
      <c r="U51" s="19"/>
      <c r="V51" s="19"/>
    </row>
  </sheetData>
  <sortState xmlns:xlrd2="http://schemas.microsoft.com/office/spreadsheetml/2017/richdata2" ref="A4:Y18">
    <sortCondition ref="Q4:Q18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3D3ED-C1A6-4F2D-B6DB-B041422490C1}">
  <sheetPr codeName="Sheet73"/>
  <dimension ref="A1:Z50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O31" sqref="O31"/>
    </sheetView>
  </sheetViews>
  <sheetFormatPr defaultColWidth="9.140625" defaultRowHeight="15.75" x14ac:dyDescent="0.25"/>
  <cols>
    <col min="1" max="1" width="20.5703125" style="17" customWidth="1"/>
    <col min="2" max="2" width="0.140625" style="17" customWidth="1"/>
    <col min="3" max="3" width="3.85546875" style="17" hidden="1" customWidth="1"/>
    <col min="4" max="5" width="2.5703125" style="17" hidden="1" customWidth="1"/>
    <col min="6" max="6" width="13.42578125" style="17" hidden="1" customWidth="1"/>
    <col min="7" max="7" width="10.85546875" style="17" hidden="1" customWidth="1"/>
    <col min="8" max="8" width="12.140625" style="17" hidden="1" customWidth="1"/>
    <col min="9" max="11" width="9.5703125" style="17" hidden="1" customWidth="1"/>
    <col min="12" max="12" width="20" style="19" bestFit="1" customWidth="1"/>
    <col min="13" max="13" width="15.85546875" style="19" bestFit="1" customWidth="1"/>
    <col min="14" max="14" width="13.42578125" style="19" customWidth="1"/>
    <col min="15" max="15" width="14.42578125" style="19" bestFit="1" customWidth="1"/>
    <col min="16" max="18" width="13.5703125" style="19" bestFit="1" customWidth="1"/>
    <col min="19" max="19" width="12.140625" style="19" bestFit="1" customWidth="1"/>
    <col min="20" max="20" width="10.85546875" style="46" bestFit="1" customWidth="1"/>
    <col min="21" max="21" width="13.5703125" style="19" bestFit="1" customWidth="1"/>
    <col min="22" max="22" width="16.5703125" style="19" bestFit="1" customWidth="1"/>
  </cols>
  <sheetData>
    <row r="1" spans="1:26" s="28" customFormat="1" x14ac:dyDescent="0.25">
      <c r="A1" s="27" t="s">
        <v>74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8</v>
      </c>
      <c r="J1" s="27" t="s">
        <v>2</v>
      </c>
      <c r="K1" s="27" t="s">
        <v>9</v>
      </c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44" t="s">
        <v>12</v>
      </c>
      <c r="U1" s="29" t="s">
        <v>10</v>
      </c>
      <c r="V1" s="29" t="s">
        <v>11</v>
      </c>
    </row>
    <row r="2" spans="1:26" ht="17.25" hidden="1" customHeight="1" x14ac:dyDescent="0.25">
      <c r="A2" s="17" t="s">
        <v>623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AcylPE 49:1</v>
      </c>
      <c r="C2" s="1" t="str">
        <f>MID(B2,8,FIND(":",B2)-FIND(" ",B2)-1)</f>
        <v>49</v>
      </c>
      <c r="D2" s="1" t="str">
        <f>IF(ISNUMBER(SEARCH("__",B2)),MID(B2,FIND(":",B2)+1,FIND("__",B2)-FIND(":",B2)-1),MID(B2,FIND(":",B2)+1,7))</f>
        <v>1</v>
      </c>
      <c r="E2" s="17" t="str">
        <f>MID(A2,9,1)</f>
        <v>9</v>
      </c>
      <c r="G2" s="17">
        <f t="shared" ref="G2" si="0">C2+5</f>
        <v>54</v>
      </c>
      <c r="H2" s="17">
        <f>(-2)+2*G2-(2*D2)-((LEN(A2)-LEN(SUBSTITUTE(A2,"_O_","")))/LEN("_O_"))*2-((LEN(A2)-LEN(SUBSTITUTE(A2,"_CHO_","")))/LEN("_CHO_"))*2-((LEN(A2)-LEN(SUBSTITUTE(A2,"_COOH_","")))/LEN("_COOH_"))*2</f>
        <v>104</v>
      </c>
      <c r="I2" s="17">
        <v>1</v>
      </c>
      <c r="J2" s="17">
        <f>9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9</v>
      </c>
      <c r="K2" s="17">
        <v>1</v>
      </c>
      <c r="L2" s="19" t="str">
        <f t="shared" ref="L2" si="1">CONCATENATE("C",G2,"H",H2,"N",I2,"O",J2,"P",K2)</f>
        <v>C54H104N1O9P1</v>
      </c>
      <c r="M2" s="19">
        <f t="shared" ref="M2" si="2">(G2*12)+(H2*1.0078246)+(I2*14.003074)+(J2*15.994915)+(K2*30.973763)</f>
        <v>941.74483039999996</v>
      </c>
      <c r="N2" s="19">
        <f>M2+1.0078246-0.00055</f>
        <v>942.75210500000003</v>
      </c>
      <c r="O2" s="19">
        <f>N2-18.01057-0.00055</f>
        <v>924.74098500000002</v>
      </c>
      <c r="P2" s="19">
        <f>M2+18.03437-0.00055</f>
        <v>959.77865039999995</v>
      </c>
      <c r="Q2" s="19">
        <f>M2+22.98977-0.00055</f>
        <v>964.7340504</v>
      </c>
      <c r="R2" s="19">
        <f>M2+38.96371-0.00055</f>
        <v>980.70799039999997</v>
      </c>
      <c r="S2" s="19">
        <f>M2+7.01601-0.00055</f>
        <v>948.76029040000003</v>
      </c>
      <c r="T2" s="46">
        <f>M2-1.0078246+0.00055</f>
        <v>940.73755579999988</v>
      </c>
      <c r="U2" s="19">
        <f>M2+44.99767+0.00055</f>
        <v>986.7430503999999</v>
      </c>
      <c r="V2" s="19">
        <f>M2+59.01332+0.00055</f>
        <v>1000.7587004</v>
      </c>
    </row>
    <row r="3" spans="1:26" x14ac:dyDescent="0.25">
      <c r="C3" s="1"/>
      <c r="D3" s="1"/>
    </row>
    <row r="4" spans="1:26" x14ac:dyDescent="0.25">
      <c r="A4" s="17" t="s">
        <v>692</v>
      </c>
      <c r="B4" s="17" t="str">
        <f t="shared" ref="B4:B27" si="3"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AcylPE 45:2</v>
      </c>
      <c r="C4" s="1" t="str">
        <f t="shared" ref="C4:C27" si="4">MID(B4,8,FIND(":",B4)-FIND(" ",B4)-1)</f>
        <v>45</v>
      </c>
      <c r="D4" s="1" t="str">
        <f t="shared" ref="D4:D27" si="5">IF(ISNUMBER(SEARCH("__",B4)),MID(B4,FIND(":",B4)+1,FIND("__",B4)-FIND(":",B4)-1),MID(B4,FIND(":",B4)+1,7))</f>
        <v>2</v>
      </c>
      <c r="E4" s="17" t="str">
        <f t="shared" ref="E4:E27" si="6">MID(A4,9,1)</f>
        <v>5</v>
      </c>
      <c r="G4" s="17">
        <f t="shared" ref="G4:G27" si="7">C4+5</f>
        <v>50</v>
      </c>
      <c r="H4" s="17">
        <f t="shared" ref="H4:H27" si="8">(-2)+2*G4-(2*D4)-((LEN(A4)-LEN(SUBSTITUTE(A4,"_O_","")))/LEN("_O_"))*2-((LEN(A4)-LEN(SUBSTITUTE(A4,"_CHO_","")))/LEN("_CHO_"))*2-((LEN(A4)-LEN(SUBSTITUTE(A4,"_COOH_","")))/LEN("_COOH_"))*2</f>
        <v>94</v>
      </c>
      <c r="I4" s="17">
        <v>1</v>
      </c>
      <c r="J4" s="17">
        <f t="shared" ref="J4:J27" si="9">9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9</v>
      </c>
      <c r="K4" s="17">
        <v>1</v>
      </c>
      <c r="L4" s="19" t="str">
        <f t="shared" ref="L4:L27" si="10">CONCATENATE("C",G4,"H",H4,"N",I4,"O",J4,"P",K4)</f>
        <v>C50H94N1O9P1</v>
      </c>
      <c r="M4" s="19">
        <f t="shared" ref="M4:M27" si="11">(G4*12)+(H4*1.0078246)+(I4*14.003074)+(J4*15.994915)+(K4*30.973763)</f>
        <v>883.66658439999992</v>
      </c>
      <c r="N4" s="19">
        <f t="shared" ref="N4:N27" si="12">M4+1.0078246-0.00055</f>
        <v>884.67385899999999</v>
      </c>
      <c r="O4" s="19">
        <f t="shared" ref="O4:O27" si="13">N4-18.01057-0.00055</f>
        <v>866.66273899999999</v>
      </c>
      <c r="P4" s="19">
        <f t="shared" ref="P4:P27" si="14">M4+18.03437-0.00055</f>
        <v>901.70040439999991</v>
      </c>
      <c r="Q4" s="19">
        <f t="shared" ref="Q4:Q27" si="15">M4+22.98977-0.00055</f>
        <v>906.65580439999997</v>
      </c>
      <c r="R4" s="19">
        <f t="shared" ref="R4:R27" si="16">M4+38.96371-0.00055</f>
        <v>922.62974439999994</v>
      </c>
      <c r="S4" s="19">
        <f t="shared" ref="S4:S27" si="17">M4+7.01601-0.00055</f>
        <v>890.6820444</v>
      </c>
      <c r="T4" s="46">
        <f t="shared" ref="T4:T27" si="18">M4-1.0078246+0.00055</f>
        <v>882.65930979999985</v>
      </c>
      <c r="U4" s="19">
        <f t="shared" ref="U4:U27" si="19">M4+44.99767+0.00055</f>
        <v>928.66480439999987</v>
      </c>
      <c r="V4" s="19">
        <f t="shared" ref="V4:V27" si="20">M4+59.01332+0.00055</f>
        <v>942.68045439999992</v>
      </c>
      <c r="W4" s="62"/>
      <c r="X4" s="62"/>
      <c r="Y4" s="62"/>
      <c r="Z4" s="62"/>
    </row>
    <row r="5" spans="1:26" x14ac:dyDescent="0.25">
      <c r="A5" s="17" t="s">
        <v>693</v>
      </c>
      <c r="B5" s="17" t="str">
        <f>IF(ISNUMBER(SEARCH("(",A5)),IF(ISNUMBER(SEARCH("/",A5)),CONCATENATE(MID(A5,1,2)," ",(SUM(MID(A5,FIND("(",A5)+1,FIND(":",A5)-FIND("(",A5)-1),MID(A5,FIND("/",A5)+1,FIND(":",A5,FIND("/",A5))-FIND("/",A5)-1))),":",SUM(MID(A5,FIND(":",A5)+1,FIND("/",A5)-FIND(":",A5)-1),MID(A5,FIND(":",A5,FIND("/",A5))+1,FIND(")",A5)-FIND(":",A5,FIND("/",A5))-1)),MID(A5,(FIND(")",A5)+1),100)),CONCATENATE(MID(A5,1,2)," ",(SUM(MID(A5,FIND("(",A5)+1,FIND(":",A5)-FIND("(",A5)-1),MID(A5,FIND("_",A5)+1,FIND(":",A5,FIND("_",A5))-FIND("_",A5)-1))),":",SUM(MID(A5,FIND(":",A5)+1,FIND("_",A5)-FIND(":",A5)-1),MID(A5,FIND(":",A5,FIND("_",A5))+1,FIND(")",A5)-FIND(":",A5,FIND("_",A5))-1)),MID(A5,(FIND(")",A5)+1),100))),A5)</f>
        <v>AcylPE 45:1</v>
      </c>
      <c r="C5" s="1" t="str">
        <f>MID(B5,8,FIND(":",B5)-FIND(" ",B5)-1)</f>
        <v>45</v>
      </c>
      <c r="D5" s="1" t="str">
        <f>IF(ISNUMBER(SEARCH("__",B5)),MID(B5,FIND(":",B5)+1,FIND("__",B5)-FIND(":",B5)-1),MID(B5,FIND(":",B5)+1,7))</f>
        <v>1</v>
      </c>
      <c r="E5" s="17" t="str">
        <f>MID(A5,9,1)</f>
        <v>5</v>
      </c>
      <c r="G5" s="17">
        <f t="shared" si="7"/>
        <v>50</v>
      </c>
      <c r="H5" s="17">
        <f>(-2)+2*G5-(2*D5)-((LEN(A5)-LEN(SUBSTITUTE(A5,"_O_","")))/LEN("_O_"))*2-((LEN(A5)-LEN(SUBSTITUTE(A5,"_CHO_","")))/LEN("_CHO_"))*2-((LEN(A5)-LEN(SUBSTITUTE(A5,"_COOH_","")))/LEN("_COOH_"))*2</f>
        <v>96</v>
      </c>
      <c r="I5" s="17">
        <v>1</v>
      </c>
      <c r="J5" s="17">
        <f>9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9</v>
      </c>
      <c r="K5" s="17">
        <v>1</v>
      </c>
      <c r="L5" s="19" t="str">
        <f t="shared" si="10"/>
        <v>C50H96N1O9P1</v>
      </c>
      <c r="M5" s="19">
        <f t="shared" si="11"/>
        <v>885.6822335999999</v>
      </c>
      <c r="N5" s="19">
        <f>M5+1.0078246-0.00055</f>
        <v>886.68950819999998</v>
      </c>
      <c r="O5" s="19">
        <f>N5-18.01057-0.00055</f>
        <v>868.67838819999997</v>
      </c>
      <c r="P5" s="19">
        <f>M5+18.03437-0.00055</f>
        <v>903.7160535999999</v>
      </c>
      <c r="Q5" s="19">
        <f>M5+22.98977-0.00055</f>
        <v>908.67145359999995</v>
      </c>
      <c r="R5" s="19">
        <f>M5+38.96371-0.00055</f>
        <v>924.64539359999992</v>
      </c>
      <c r="S5" s="19">
        <f>M5+7.01601-0.00055</f>
        <v>892.69769359999998</v>
      </c>
      <c r="T5" s="46">
        <f>M5-1.0078246+0.00055</f>
        <v>884.67495899999983</v>
      </c>
      <c r="U5" s="19">
        <f>M5+44.99767+0.00055</f>
        <v>930.68045359999985</v>
      </c>
      <c r="V5" s="19">
        <f>M5+59.01332+0.00055</f>
        <v>944.6961035999999</v>
      </c>
      <c r="W5" s="62"/>
      <c r="X5" s="62"/>
      <c r="Y5" s="62"/>
      <c r="Z5" s="62"/>
    </row>
    <row r="6" spans="1:26" x14ac:dyDescent="0.25">
      <c r="A6" s="17" t="s">
        <v>694</v>
      </c>
      <c r="B6" s="17" t="str">
        <f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AcylPE 46:2</v>
      </c>
      <c r="C6" s="1" t="str">
        <f>MID(B6,8,FIND(":",B6)-FIND(" ",B6)-1)</f>
        <v>46</v>
      </c>
      <c r="D6" s="1" t="str">
        <f>IF(ISNUMBER(SEARCH("__",B6)),MID(B6,FIND(":",B6)+1,FIND("__",B6)-FIND(":",B6)-1),MID(B6,FIND(":",B6)+1,7))</f>
        <v>2</v>
      </c>
      <c r="E6" s="17" t="str">
        <f>MID(A6,9,1)</f>
        <v>6</v>
      </c>
      <c r="G6" s="17">
        <f t="shared" si="7"/>
        <v>51</v>
      </c>
      <c r="H6" s="17">
        <f>(-2)+2*G6-(2*D6)-((LEN(A6)-LEN(SUBSTITUTE(A6,"_O_","")))/LEN("_O_"))*2-((LEN(A6)-LEN(SUBSTITUTE(A6,"_CHO_","")))/LEN("_CHO_"))*2-((LEN(A6)-LEN(SUBSTITUTE(A6,"_COOH_","")))/LEN("_COOH_"))*2</f>
        <v>96</v>
      </c>
      <c r="I6" s="17">
        <v>1</v>
      </c>
      <c r="J6" s="17">
        <f>9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9</v>
      </c>
      <c r="K6" s="17">
        <v>1</v>
      </c>
      <c r="L6" s="19" t="str">
        <f t="shared" si="10"/>
        <v>C51H96N1O9P1</v>
      </c>
      <c r="M6" s="19">
        <f t="shared" si="11"/>
        <v>897.6822335999999</v>
      </c>
      <c r="N6" s="19">
        <f>M6+1.0078246-0.00055</f>
        <v>898.68950819999998</v>
      </c>
      <c r="O6" s="19">
        <f>N6-18.01057-0.00055</f>
        <v>880.67838819999997</v>
      </c>
      <c r="P6" s="19">
        <f>M6+18.03437-0.00055</f>
        <v>915.7160535999999</v>
      </c>
      <c r="Q6" s="19">
        <f>M6+22.98977-0.00055</f>
        <v>920.67145359999995</v>
      </c>
      <c r="R6" s="19">
        <f>M6+38.96371-0.00055</f>
        <v>936.64539359999992</v>
      </c>
      <c r="S6" s="19">
        <f>M6+7.01601-0.00055</f>
        <v>904.69769359999998</v>
      </c>
      <c r="T6" s="46">
        <f>M6-1.0078246+0.00055</f>
        <v>896.67495899999983</v>
      </c>
      <c r="U6" s="19">
        <f>M6+44.99767+0.00055</f>
        <v>942.68045359999985</v>
      </c>
      <c r="V6" s="19">
        <f>M6+59.01332+0.00055</f>
        <v>956.6961035999999</v>
      </c>
      <c r="W6" s="62"/>
      <c r="X6" s="62"/>
      <c r="Y6" s="62"/>
      <c r="Z6" s="62"/>
    </row>
    <row r="7" spans="1:26" x14ac:dyDescent="0.25">
      <c r="A7" s="17" t="s">
        <v>624</v>
      </c>
      <c r="B7" s="17" t="str">
        <f>IF(ISNUMBER(SEARCH("(",A7)),IF(ISNUMBER(SEARCH("/",A7)),CONCATENATE(MID(A7,1,2)," ",(SUM(MID(A7,FIND("(",A7)+1,FIND(":",A7)-FIND("(",A7)-1),MID(A7,FIND("/",A7)+1,FIND(":",A7,FIND("/",A7))-FIND("/",A7)-1))),":",SUM(MID(A7,FIND(":",A7)+1,FIND("/",A7)-FIND(":",A7)-1),MID(A7,FIND(":",A7,FIND("/",A7))+1,FIND(")",A7)-FIND(":",A7,FIND("/",A7))-1)),MID(A7,(FIND(")",A7)+1),100)),CONCATENATE(MID(A7,1,2)," ",(SUM(MID(A7,FIND("(",A7)+1,FIND(":",A7)-FIND("(",A7)-1),MID(A7,FIND("_",A7)+1,FIND(":",A7,FIND("_",A7))-FIND("_",A7)-1))),":",SUM(MID(A7,FIND(":",A7)+1,FIND("_",A7)-FIND(":",A7)-1),MID(A7,FIND(":",A7,FIND("_",A7))+1,FIND(")",A7)-FIND(":",A7,FIND("_",A7))-1)),MID(A7,(FIND(")",A7)+1),100))),A7)</f>
        <v>AcylPE 46:1</v>
      </c>
      <c r="C7" s="1" t="str">
        <f>MID(B7,8,FIND(":",B7)-FIND(" ",B7)-1)</f>
        <v>46</v>
      </c>
      <c r="D7" s="1" t="str">
        <f>IF(ISNUMBER(SEARCH("__",B7)),MID(B7,FIND(":",B7)+1,FIND("__",B7)-FIND(":",B7)-1),MID(B7,FIND(":",B7)+1,7))</f>
        <v>1</v>
      </c>
      <c r="E7" s="17" t="str">
        <f>MID(A7,9,1)</f>
        <v>6</v>
      </c>
      <c r="G7" s="17">
        <f t="shared" si="7"/>
        <v>51</v>
      </c>
      <c r="H7" s="17">
        <f>(-2)+2*G7-(2*D7)-((LEN(A7)-LEN(SUBSTITUTE(A7,"_O_","")))/LEN("_O_"))*2-((LEN(A7)-LEN(SUBSTITUTE(A7,"_CHO_","")))/LEN("_CHO_"))*2-((LEN(A7)-LEN(SUBSTITUTE(A7,"_COOH_","")))/LEN("_COOH_"))*2</f>
        <v>98</v>
      </c>
      <c r="I7" s="17">
        <v>1</v>
      </c>
      <c r="J7" s="17">
        <f>9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9</v>
      </c>
      <c r="K7" s="17">
        <v>1</v>
      </c>
      <c r="L7" s="19" t="str">
        <f t="shared" si="10"/>
        <v>C51H98N1O9P1</v>
      </c>
      <c r="M7" s="19">
        <f t="shared" si="11"/>
        <v>899.6978828</v>
      </c>
      <c r="N7" s="19">
        <f>M7+1.0078246-0.00055</f>
        <v>900.70515740000008</v>
      </c>
      <c r="O7" s="19">
        <f>N7-18.01057-0.00055</f>
        <v>882.69403740000007</v>
      </c>
      <c r="P7" s="19">
        <f>M7+18.03437-0.00055</f>
        <v>917.73170279999999</v>
      </c>
      <c r="Q7" s="19">
        <f>M7+22.98977-0.00055</f>
        <v>922.68710280000005</v>
      </c>
      <c r="R7" s="19">
        <f>M7+38.96371-0.00055</f>
        <v>938.66104280000002</v>
      </c>
      <c r="S7" s="19">
        <f>M7+7.01601-0.00055</f>
        <v>906.71334280000008</v>
      </c>
      <c r="T7" s="46">
        <f>M7-1.0078246+0.00055</f>
        <v>898.69060819999993</v>
      </c>
      <c r="U7" s="19">
        <f>M7+44.99767+0.00055</f>
        <v>944.69610279999995</v>
      </c>
      <c r="V7" s="19">
        <f>M7+59.01332+0.00055</f>
        <v>958.7117528</v>
      </c>
      <c r="W7" s="62"/>
      <c r="X7" s="62"/>
      <c r="Y7" s="62"/>
      <c r="Z7" s="62"/>
    </row>
    <row r="8" spans="1:26" x14ac:dyDescent="0.25">
      <c r="A8" s="17" t="s">
        <v>695</v>
      </c>
      <c r="B8" s="17" t="str">
        <f>IF(ISNUMBER(SEARCH("(",A8)),IF(ISNUMBER(SEARCH("/",A8)),CONCATENATE(MID(A8,1,2)," ",(SUM(MID(A8,FIND("(",A8)+1,FIND(":",A8)-FIND("(",A8)-1),MID(A8,FIND("/",A8)+1,FIND(":",A8,FIND("/",A8))-FIND("/",A8)-1))),":",SUM(MID(A8,FIND(":",A8)+1,FIND("/",A8)-FIND(":",A8)-1),MID(A8,FIND(":",A8,FIND("/",A8))+1,FIND(")",A8)-FIND(":",A8,FIND("/",A8))-1)),MID(A8,(FIND(")",A8)+1),100)),CONCATENATE(MID(A8,1,2)," ",(SUM(MID(A8,FIND("(",A8)+1,FIND(":",A8)-FIND("(",A8)-1),MID(A8,FIND("_",A8)+1,FIND(":",A8,FIND("_",A8))-FIND("_",A8)-1))),":",SUM(MID(A8,FIND(":",A8)+1,FIND("_",A8)-FIND(":",A8)-1),MID(A8,FIND(":",A8,FIND("_",A8))+1,FIND(")",A8)-FIND(":",A8,FIND("_",A8))-1)),MID(A8,(FIND(")",A8)+1),100))),A8)</f>
        <v>AcylPE 47:2</v>
      </c>
      <c r="C8" s="1" t="str">
        <f>MID(B8,8,FIND(":",B8)-FIND(" ",B8)-1)</f>
        <v>47</v>
      </c>
      <c r="D8" s="1" t="str">
        <f>IF(ISNUMBER(SEARCH("__",B8)),MID(B8,FIND(":",B8)+1,FIND("__",B8)-FIND(":",B8)-1),MID(B8,FIND(":",B8)+1,7))</f>
        <v>2</v>
      </c>
      <c r="E8" s="17" t="str">
        <f>MID(A8,9,1)</f>
        <v>7</v>
      </c>
      <c r="G8" s="17">
        <f t="shared" si="7"/>
        <v>52</v>
      </c>
      <c r="H8" s="17">
        <f>(-2)+2*G8-(2*D8)-((LEN(A8)-LEN(SUBSTITUTE(A8,"_O_","")))/LEN("_O_"))*2-((LEN(A8)-LEN(SUBSTITUTE(A8,"_CHO_","")))/LEN("_CHO_"))*2-((LEN(A8)-LEN(SUBSTITUTE(A8,"_COOH_","")))/LEN("_COOH_"))*2</f>
        <v>98</v>
      </c>
      <c r="I8" s="17">
        <v>1</v>
      </c>
      <c r="J8" s="17">
        <f>9+((LEN(A8)-LEN(SUBSTITUTE(A8,"_OH_","")))/LEN("_OH_"))*1+((LEN(A8)-LEN(SUBSTITUTE(A8,"_OOH_","")))/LEN("_OOH_"))*2+((LEN(A8)-LEN(SUBSTITUTE(A8,"_O_","")))/LEN("_O_"))*1+((LEN(A8)-LEN(SUBSTITUTE(A8,"_CHO_","")))/LEN("_CHO_"))*1+((LEN(A8)-LEN(SUBSTITUTE(A8,"_COOH_","")))/LEN("_COOH_"))*2</f>
        <v>9</v>
      </c>
      <c r="K8" s="17">
        <v>1</v>
      </c>
      <c r="L8" s="19" t="str">
        <f t="shared" si="10"/>
        <v>C52H98N1O9P1</v>
      </c>
      <c r="M8" s="19">
        <f t="shared" si="11"/>
        <v>911.6978828</v>
      </c>
      <c r="N8" s="19">
        <f>M8+1.0078246-0.00055</f>
        <v>912.70515740000008</v>
      </c>
      <c r="O8" s="19">
        <f>N8-18.01057-0.00055</f>
        <v>894.69403740000007</v>
      </c>
      <c r="P8" s="19">
        <f>M8+18.03437-0.00055</f>
        <v>929.73170279999999</v>
      </c>
      <c r="Q8" s="19">
        <f>M8+22.98977-0.00055</f>
        <v>934.68710280000005</v>
      </c>
      <c r="R8" s="19">
        <f>M8+38.96371-0.00055</f>
        <v>950.66104280000002</v>
      </c>
      <c r="S8" s="19">
        <f>M8+7.01601-0.00055</f>
        <v>918.71334280000008</v>
      </c>
      <c r="T8" s="46">
        <f>M8-1.0078246+0.00055</f>
        <v>910.69060819999993</v>
      </c>
      <c r="U8" s="19">
        <f>M8+44.99767+0.00055</f>
        <v>956.69610279999995</v>
      </c>
      <c r="V8" s="19">
        <f>M8+59.01332+0.00055</f>
        <v>970.7117528</v>
      </c>
      <c r="W8" s="62"/>
      <c r="X8" s="62"/>
      <c r="Y8" s="62"/>
      <c r="Z8" s="62"/>
    </row>
    <row r="9" spans="1:26" x14ac:dyDescent="0.25">
      <c r="A9" s="17" t="s">
        <v>625</v>
      </c>
      <c r="B9" s="17" t="str">
        <f>IF(ISNUMBER(SEARCH("(",A9)),IF(ISNUMBER(SEARCH("/",A9)),CONCATENATE(MID(A9,1,2)," ",(SUM(MID(A9,FIND("(",A9)+1,FIND(":",A9)-FIND("(",A9)-1),MID(A9,FIND("/",A9)+1,FIND(":",A9,FIND("/",A9))-FIND("/",A9)-1))),":",SUM(MID(A9,FIND(":",A9)+1,FIND("/",A9)-FIND(":",A9)-1),MID(A9,FIND(":",A9,FIND("/",A9))+1,FIND(")",A9)-FIND(":",A9,FIND("/",A9))-1)),MID(A9,(FIND(")",A9)+1),100)),CONCATENATE(MID(A9,1,2)," ",(SUM(MID(A9,FIND("(",A9)+1,FIND(":",A9)-FIND("(",A9)-1),MID(A9,FIND("_",A9)+1,FIND(":",A9,FIND("_",A9))-FIND("_",A9)-1))),":",SUM(MID(A9,FIND(":",A9)+1,FIND("_",A9)-FIND(":",A9)-1),MID(A9,FIND(":",A9,FIND("_",A9))+1,FIND(")",A9)-FIND(":",A9,FIND("_",A9))-1)),MID(A9,(FIND(")",A9)+1),100))),A9)</f>
        <v>AcylPE 47:1</v>
      </c>
      <c r="C9" s="1" t="str">
        <f>MID(B9,8,FIND(":",B9)-FIND(" ",B9)-1)</f>
        <v>47</v>
      </c>
      <c r="D9" s="1" t="str">
        <f>IF(ISNUMBER(SEARCH("__",B9)),MID(B9,FIND(":",B9)+1,FIND("__",B9)-FIND(":",B9)-1),MID(B9,FIND(":",B9)+1,7))</f>
        <v>1</v>
      </c>
      <c r="E9" s="17" t="str">
        <f>MID(A9,9,1)</f>
        <v>7</v>
      </c>
      <c r="G9" s="17">
        <f t="shared" si="7"/>
        <v>52</v>
      </c>
      <c r="H9" s="17">
        <f>(-2)+2*G9-(2*D9)-((LEN(A9)-LEN(SUBSTITUTE(A9,"_O_","")))/LEN("_O_"))*2-((LEN(A9)-LEN(SUBSTITUTE(A9,"_CHO_","")))/LEN("_CHO_"))*2-((LEN(A9)-LEN(SUBSTITUTE(A9,"_COOH_","")))/LEN("_COOH_"))*2</f>
        <v>100</v>
      </c>
      <c r="I9" s="17">
        <v>1</v>
      </c>
      <c r="J9" s="17">
        <f>9+((LEN(A9)-LEN(SUBSTITUTE(A9,"_OH_","")))/LEN("_OH_"))*1+((LEN(A9)-LEN(SUBSTITUTE(A9,"_OOH_","")))/LEN("_OOH_"))*2+((LEN(A9)-LEN(SUBSTITUTE(A9,"_O_","")))/LEN("_O_"))*1+((LEN(A9)-LEN(SUBSTITUTE(A9,"_CHO_","")))/LEN("_CHO_"))*1+((LEN(A9)-LEN(SUBSTITUTE(A9,"_COOH_","")))/LEN("_COOH_"))*2</f>
        <v>9</v>
      </c>
      <c r="K9" s="17">
        <v>1</v>
      </c>
      <c r="L9" s="19" t="str">
        <f t="shared" si="10"/>
        <v>C52H100N1O9P1</v>
      </c>
      <c r="M9" s="19">
        <f t="shared" si="11"/>
        <v>913.71353199999999</v>
      </c>
      <c r="N9" s="19">
        <f>M9+1.0078246-0.00055</f>
        <v>914.72080660000006</v>
      </c>
      <c r="O9" s="19">
        <f>N9-18.01057-0.00055</f>
        <v>896.70968660000005</v>
      </c>
      <c r="P9" s="19">
        <f>M9+18.03437-0.00055</f>
        <v>931.74735199999998</v>
      </c>
      <c r="Q9" s="19">
        <f>M9+22.98977-0.00055</f>
        <v>936.70275200000003</v>
      </c>
      <c r="R9" s="19">
        <f>M9+38.96371-0.00055</f>
        <v>952.676692</v>
      </c>
      <c r="S9" s="19">
        <f>M9+7.01601-0.00055</f>
        <v>920.72899200000006</v>
      </c>
      <c r="T9" s="46">
        <f>M9-1.0078246+0.00055</f>
        <v>912.70625739999991</v>
      </c>
      <c r="U9" s="19">
        <f>M9+44.99767+0.00055</f>
        <v>958.71175199999993</v>
      </c>
      <c r="V9" s="19">
        <f>M9+59.01332+0.00055</f>
        <v>972.72740199999998</v>
      </c>
      <c r="W9" s="62"/>
      <c r="X9" s="62"/>
      <c r="Y9" s="62"/>
      <c r="Z9" s="62"/>
    </row>
    <row r="10" spans="1:26" x14ac:dyDescent="0.25">
      <c r="A10" s="17" t="s">
        <v>696</v>
      </c>
      <c r="B10" s="17" t="str">
        <f>IF(ISNUMBER(SEARCH("(",A10)),IF(ISNUMBER(SEARCH("/",A10)),CONCATENATE(MID(A10,1,2)," ",(SUM(MID(A10,FIND("(",A10)+1,FIND(":",A10)-FIND("(",A10)-1),MID(A10,FIND("/",A10)+1,FIND(":",A10,FIND("/",A10))-FIND("/",A10)-1))),":",SUM(MID(A10,FIND(":",A10)+1,FIND("/",A10)-FIND(":",A10)-1),MID(A10,FIND(":",A10,FIND("/",A10))+1,FIND(")",A10)-FIND(":",A10,FIND("/",A10))-1)),MID(A10,(FIND(")",A10)+1),100)),CONCATENATE(MID(A10,1,2)," ",(SUM(MID(A10,FIND("(",A10)+1,FIND(":",A10)-FIND("(",A10)-1),MID(A10,FIND("_",A10)+1,FIND(":",A10,FIND("_",A10))-FIND("_",A10)-1))),":",SUM(MID(A10,FIND(":",A10)+1,FIND("_",A10)-FIND(":",A10)-1),MID(A10,FIND(":",A10,FIND("_",A10))+1,FIND(")",A10)-FIND(":",A10,FIND("_",A10))-1)),MID(A10,(FIND(")",A10)+1),100))),A10)</f>
        <v>AcylPE 48:2</v>
      </c>
      <c r="C10" s="1" t="str">
        <f>MID(B10,8,FIND(":",B10)-FIND(" ",B10)-1)</f>
        <v>48</v>
      </c>
      <c r="D10" s="1" t="str">
        <f>IF(ISNUMBER(SEARCH("__",B10)),MID(B10,FIND(":",B10)+1,FIND("__",B10)-FIND(":",B10)-1),MID(B10,FIND(":",B10)+1,7))</f>
        <v>2</v>
      </c>
      <c r="E10" s="17" t="str">
        <f>MID(A10,9,1)</f>
        <v>8</v>
      </c>
      <c r="G10" s="17">
        <f t="shared" si="7"/>
        <v>53</v>
      </c>
      <c r="H10" s="17">
        <f>(-2)+2*G10-(2*D10)-((LEN(A10)-LEN(SUBSTITUTE(A10,"_O_","")))/LEN("_O_"))*2-((LEN(A10)-LEN(SUBSTITUTE(A10,"_CHO_","")))/LEN("_CHO_"))*2-((LEN(A10)-LEN(SUBSTITUTE(A10,"_COOH_","")))/LEN("_COOH_"))*2</f>
        <v>100</v>
      </c>
      <c r="I10" s="17">
        <v>1</v>
      </c>
      <c r="J10" s="17">
        <f>9+((LEN(A10)-LEN(SUBSTITUTE(A10,"_OH_","")))/LEN("_OH_"))*1+((LEN(A10)-LEN(SUBSTITUTE(A10,"_OOH_","")))/LEN("_OOH_"))*2+((LEN(A10)-LEN(SUBSTITUTE(A10,"_O_","")))/LEN("_O_"))*1+((LEN(A10)-LEN(SUBSTITUTE(A10,"_CHO_","")))/LEN("_CHO_"))*1+((LEN(A10)-LEN(SUBSTITUTE(A10,"_COOH_","")))/LEN("_COOH_"))*2</f>
        <v>9</v>
      </c>
      <c r="K10" s="17">
        <v>1</v>
      </c>
      <c r="L10" s="19" t="str">
        <f t="shared" si="10"/>
        <v>C53H100N1O9P1</v>
      </c>
      <c r="M10" s="19">
        <f t="shared" si="11"/>
        <v>925.71353199999999</v>
      </c>
      <c r="N10" s="19">
        <f>M10+1.0078246-0.00055</f>
        <v>926.72080660000006</v>
      </c>
      <c r="O10" s="19">
        <f>N10-18.01057-0.00055</f>
        <v>908.70968660000005</v>
      </c>
      <c r="P10" s="19">
        <f>M10+18.03437-0.00055</f>
        <v>943.74735199999998</v>
      </c>
      <c r="Q10" s="19">
        <f>M10+22.98977-0.00055</f>
        <v>948.70275200000003</v>
      </c>
      <c r="R10" s="19">
        <f>M10+38.96371-0.00055</f>
        <v>964.676692</v>
      </c>
      <c r="S10" s="19">
        <f>M10+7.01601-0.00055</f>
        <v>932.72899200000006</v>
      </c>
      <c r="T10" s="46">
        <f>M10-1.0078246+0.00055</f>
        <v>924.70625739999991</v>
      </c>
      <c r="U10" s="19">
        <f>M10+44.99767+0.00055</f>
        <v>970.71175199999993</v>
      </c>
      <c r="V10" s="19">
        <f>M10+59.01332+0.00055</f>
        <v>984.72740199999998</v>
      </c>
      <c r="W10" s="62"/>
      <c r="X10" s="62"/>
      <c r="Y10" s="62"/>
      <c r="Z10" s="62"/>
    </row>
    <row r="11" spans="1:26" x14ac:dyDescent="0.25">
      <c r="A11" s="17" t="s">
        <v>626</v>
      </c>
      <c r="B11" s="17" t="str">
        <f>IF(ISNUMBER(SEARCH("(",A11)),IF(ISNUMBER(SEARCH("/",A11)),CONCATENATE(MID(A11,1,2)," ",(SUM(MID(A11,FIND("(",A11)+1,FIND(":",A11)-FIND("(",A11)-1),MID(A11,FIND("/",A11)+1,FIND(":",A11,FIND("/",A11))-FIND("/",A11)-1))),":",SUM(MID(A11,FIND(":",A11)+1,FIND("/",A11)-FIND(":",A11)-1),MID(A11,FIND(":",A11,FIND("/",A11))+1,FIND(")",A11)-FIND(":",A11,FIND("/",A11))-1)),MID(A11,(FIND(")",A11)+1),100)),CONCATENATE(MID(A11,1,2)," ",(SUM(MID(A11,FIND("(",A11)+1,FIND(":",A11)-FIND("(",A11)-1),MID(A11,FIND("_",A11)+1,FIND(":",A11,FIND("_",A11))-FIND("_",A11)-1))),":",SUM(MID(A11,FIND(":",A11)+1,FIND("_",A11)-FIND(":",A11)-1),MID(A11,FIND(":",A11,FIND("_",A11))+1,FIND(")",A11)-FIND(":",A11,FIND("_",A11))-1)),MID(A11,(FIND(")",A11)+1),100))),A11)</f>
        <v>AcylPE 48:1</v>
      </c>
      <c r="C11" s="1" t="str">
        <f>MID(B11,8,FIND(":",B11)-FIND(" ",B11)-1)</f>
        <v>48</v>
      </c>
      <c r="D11" s="1" t="str">
        <f>IF(ISNUMBER(SEARCH("__",B11)),MID(B11,FIND(":",B11)+1,FIND("__",B11)-FIND(":",B11)-1),MID(B11,FIND(":",B11)+1,7))</f>
        <v>1</v>
      </c>
      <c r="E11" s="17" t="str">
        <f>MID(A11,9,1)</f>
        <v>8</v>
      </c>
      <c r="G11" s="17">
        <f t="shared" si="7"/>
        <v>53</v>
      </c>
      <c r="H11" s="17">
        <f>(-2)+2*G11-(2*D11)-((LEN(A11)-LEN(SUBSTITUTE(A11,"_O_","")))/LEN("_O_"))*2-((LEN(A11)-LEN(SUBSTITUTE(A11,"_CHO_","")))/LEN("_CHO_"))*2-((LEN(A11)-LEN(SUBSTITUTE(A11,"_COOH_","")))/LEN("_COOH_"))*2</f>
        <v>102</v>
      </c>
      <c r="I11" s="17">
        <v>1</v>
      </c>
      <c r="J11" s="17">
        <f>9+((LEN(A11)-LEN(SUBSTITUTE(A11,"_OH_","")))/LEN("_OH_"))*1+((LEN(A11)-LEN(SUBSTITUTE(A11,"_OOH_","")))/LEN("_OOH_"))*2+((LEN(A11)-LEN(SUBSTITUTE(A11,"_O_","")))/LEN("_O_"))*1+((LEN(A11)-LEN(SUBSTITUTE(A11,"_CHO_","")))/LEN("_CHO_"))*1+((LEN(A11)-LEN(SUBSTITUTE(A11,"_COOH_","")))/LEN("_COOH_"))*2</f>
        <v>9</v>
      </c>
      <c r="K11" s="17">
        <v>1</v>
      </c>
      <c r="L11" s="19" t="str">
        <f t="shared" si="10"/>
        <v>C53H102N1O9P1</v>
      </c>
      <c r="M11" s="19">
        <f t="shared" si="11"/>
        <v>927.72918119999997</v>
      </c>
      <c r="N11" s="19">
        <f>M11+1.0078246-0.00055</f>
        <v>928.73645580000004</v>
      </c>
      <c r="O11" s="19">
        <f>N11-18.01057-0.00055</f>
        <v>910.72533580000004</v>
      </c>
      <c r="P11" s="19">
        <f>M11+18.03437-0.00055</f>
        <v>945.76300119999996</v>
      </c>
      <c r="Q11" s="19">
        <f>M11+22.98977-0.00055</f>
        <v>950.71840120000002</v>
      </c>
      <c r="R11" s="19">
        <f>M11+38.96371-0.00055</f>
        <v>966.69234119999999</v>
      </c>
      <c r="S11" s="19">
        <f>M11+7.01601-0.00055</f>
        <v>934.74464120000005</v>
      </c>
      <c r="T11" s="46">
        <f>M11-1.0078246+0.00055</f>
        <v>926.7219065999999</v>
      </c>
      <c r="U11" s="19">
        <f>M11+44.99767+0.00055</f>
        <v>972.72740119999992</v>
      </c>
      <c r="V11" s="19">
        <f>M11+59.01332+0.00055</f>
        <v>986.74305119999997</v>
      </c>
      <c r="W11" s="62"/>
      <c r="X11" s="62"/>
      <c r="Y11" s="62"/>
      <c r="Z11" s="62"/>
    </row>
    <row r="12" spans="1:26" x14ac:dyDescent="0.25">
      <c r="A12" s="17" t="s">
        <v>697</v>
      </c>
      <c r="B12" s="17" t="str">
        <f>IF(ISNUMBER(SEARCH("(",A12)),IF(ISNUMBER(SEARCH("/",A12)),CONCATENATE(MID(A12,1,2)," ",(SUM(MID(A12,FIND("(",A12)+1,FIND(":",A12)-FIND("(",A12)-1),MID(A12,FIND("/",A12)+1,FIND(":",A12,FIND("/",A12))-FIND("/",A12)-1))),":",SUM(MID(A12,FIND(":",A12)+1,FIND("/",A12)-FIND(":",A12)-1),MID(A12,FIND(":",A12,FIND("/",A12))+1,FIND(")",A12)-FIND(":",A12,FIND("/",A12))-1)),MID(A12,(FIND(")",A12)+1),100)),CONCATENATE(MID(A12,1,2)," ",(SUM(MID(A12,FIND("(",A12)+1,FIND(":",A12)-FIND("(",A12)-1),MID(A12,FIND("_",A12)+1,FIND(":",A12,FIND("_",A12))-FIND("_",A12)-1))),":",SUM(MID(A12,FIND(":",A12)+1,FIND("_",A12)-FIND(":",A12)-1),MID(A12,FIND(":",A12,FIND("_",A12))+1,FIND(")",A12)-FIND(":",A12,FIND("_",A12))-1)),MID(A12,(FIND(")",A12)+1),100))),A12)</f>
        <v>AcylPE 49:2</v>
      </c>
      <c r="C12" s="1" t="str">
        <f>MID(B12,8,FIND(":",B12)-FIND(" ",B12)-1)</f>
        <v>49</v>
      </c>
      <c r="D12" s="1" t="str">
        <f>IF(ISNUMBER(SEARCH("__",B12)),MID(B12,FIND(":",B12)+1,FIND("__",B12)-FIND(":",B12)-1),MID(B12,FIND(":",B12)+1,7))</f>
        <v>2</v>
      </c>
      <c r="E12" s="17" t="str">
        <f>MID(A12,9,1)</f>
        <v>9</v>
      </c>
      <c r="G12" s="17">
        <f t="shared" si="7"/>
        <v>54</v>
      </c>
      <c r="H12" s="17">
        <f>(-2)+2*G12-(2*D12)-((LEN(A12)-LEN(SUBSTITUTE(A12,"_O_","")))/LEN("_O_"))*2-((LEN(A12)-LEN(SUBSTITUTE(A12,"_CHO_","")))/LEN("_CHO_"))*2-((LEN(A12)-LEN(SUBSTITUTE(A12,"_COOH_","")))/LEN("_COOH_"))*2</f>
        <v>102</v>
      </c>
      <c r="I12" s="17">
        <v>1</v>
      </c>
      <c r="J12" s="17">
        <f>9+((LEN(A12)-LEN(SUBSTITUTE(A12,"_OH_","")))/LEN("_OH_"))*1+((LEN(A12)-LEN(SUBSTITUTE(A12,"_OOH_","")))/LEN("_OOH_"))*2+((LEN(A12)-LEN(SUBSTITUTE(A12,"_O_","")))/LEN("_O_"))*1+((LEN(A12)-LEN(SUBSTITUTE(A12,"_CHO_","")))/LEN("_CHO_"))*1+((LEN(A12)-LEN(SUBSTITUTE(A12,"_COOH_","")))/LEN("_COOH_"))*2</f>
        <v>9</v>
      </c>
      <c r="K12" s="17">
        <v>1</v>
      </c>
      <c r="L12" s="19" t="str">
        <f t="shared" si="10"/>
        <v>C54H102N1O9P1</v>
      </c>
      <c r="M12" s="19">
        <f t="shared" si="11"/>
        <v>939.72918119999997</v>
      </c>
      <c r="N12" s="19">
        <f>M12+1.0078246-0.00055</f>
        <v>940.73645580000004</v>
      </c>
      <c r="O12" s="19">
        <f>N12-18.01057-0.00055</f>
        <v>922.72533580000004</v>
      </c>
      <c r="P12" s="19">
        <f>M12+18.03437-0.00055</f>
        <v>957.76300119999996</v>
      </c>
      <c r="Q12" s="19">
        <f>M12+22.98977-0.00055</f>
        <v>962.71840120000002</v>
      </c>
      <c r="R12" s="19">
        <f>M12+38.96371-0.00055</f>
        <v>978.69234119999999</v>
      </c>
      <c r="S12" s="19">
        <f>M12+7.01601-0.00055</f>
        <v>946.74464120000005</v>
      </c>
      <c r="T12" s="46">
        <f>M12-1.0078246+0.00055</f>
        <v>938.7219065999999</v>
      </c>
      <c r="U12" s="19">
        <f>M12+44.99767+0.00055</f>
        <v>984.72740119999992</v>
      </c>
      <c r="V12" s="19">
        <f>M12+59.01332+0.00055</f>
        <v>998.74305119999997</v>
      </c>
      <c r="W12" s="62"/>
      <c r="X12" s="62"/>
      <c r="Y12" s="62"/>
      <c r="Z12" s="62"/>
    </row>
    <row r="13" spans="1:26" x14ac:dyDescent="0.25">
      <c r="A13" s="17" t="s">
        <v>623</v>
      </c>
      <c r="B13" s="17" t="str">
        <f>IF(ISNUMBER(SEARCH("(",A13)),IF(ISNUMBER(SEARCH("/",A13)),CONCATENATE(MID(A13,1,2)," ",(SUM(MID(A13,FIND("(",A13)+1,FIND(":",A13)-FIND("(",A13)-1),MID(A13,FIND("/",A13)+1,FIND(":",A13,FIND("/",A13))-FIND("/",A13)-1))),":",SUM(MID(A13,FIND(":",A13)+1,FIND("/",A13)-FIND(":",A13)-1),MID(A13,FIND(":",A13,FIND("/",A13))+1,FIND(")",A13)-FIND(":",A13,FIND("/",A13))-1)),MID(A13,(FIND(")",A13)+1),100)),CONCATENATE(MID(A13,1,2)," ",(SUM(MID(A13,FIND("(",A13)+1,FIND(":",A13)-FIND("(",A13)-1),MID(A13,FIND("_",A13)+1,FIND(":",A13,FIND("_",A13))-FIND("_",A13)-1))),":",SUM(MID(A13,FIND(":",A13)+1,FIND("_",A13)-FIND(":",A13)-1),MID(A13,FIND(":",A13,FIND("_",A13))+1,FIND(")",A13)-FIND(":",A13,FIND("_",A13))-1)),MID(A13,(FIND(")",A13)+1),100))),A13)</f>
        <v>AcylPE 49:1</v>
      </c>
      <c r="C13" s="1" t="str">
        <f>MID(B13,8,FIND(":",B13)-FIND(" ",B13)-1)</f>
        <v>49</v>
      </c>
      <c r="D13" s="1" t="str">
        <f>IF(ISNUMBER(SEARCH("__",B13)),MID(B13,FIND(":",B13)+1,FIND("__",B13)-FIND(":",B13)-1),MID(B13,FIND(":",B13)+1,7))</f>
        <v>1</v>
      </c>
      <c r="E13" s="17" t="str">
        <f>MID(A13,9,1)</f>
        <v>9</v>
      </c>
      <c r="G13" s="17">
        <f t="shared" si="7"/>
        <v>54</v>
      </c>
      <c r="H13" s="17">
        <f>(-2)+2*G13-(2*D13)-((LEN(A13)-LEN(SUBSTITUTE(A13,"_O_","")))/LEN("_O_"))*2-((LEN(A13)-LEN(SUBSTITUTE(A13,"_CHO_","")))/LEN("_CHO_"))*2-((LEN(A13)-LEN(SUBSTITUTE(A13,"_COOH_","")))/LEN("_COOH_"))*2</f>
        <v>104</v>
      </c>
      <c r="I13" s="17">
        <v>1</v>
      </c>
      <c r="J13" s="17">
        <f>9+((LEN(A13)-LEN(SUBSTITUTE(A13,"_OH_","")))/LEN("_OH_"))*1+((LEN(A13)-LEN(SUBSTITUTE(A13,"_OOH_","")))/LEN("_OOH_"))*2+((LEN(A13)-LEN(SUBSTITUTE(A13,"_O_","")))/LEN("_O_"))*1+((LEN(A13)-LEN(SUBSTITUTE(A13,"_CHO_","")))/LEN("_CHO_"))*1+((LEN(A13)-LEN(SUBSTITUTE(A13,"_COOH_","")))/LEN("_COOH_"))*2</f>
        <v>9</v>
      </c>
      <c r="K13" s="17">
        <v>1</v>
      </c>
      <c r="L13" s="19" t="str">
        <f t="shared" si="10"/>
        <v>C54H104N1O9P1</v>
      </c>
      <c r="M13" s="19">
        <f t="shared" si="11"/>
        <v>941.74483039999996</v>
      </c>
      <c r="N13" s="19">
        <f>M13+1.0078246-0.00055</f>
        <v>942.75210500000003</v>
      </c>
      <c r="O13" s="19">
        <f>N13-18.01057-0.00055</f>
        <v>924.74098500000002</v>
      </c>
      <c r="P13" s="19">
        <f>M13+18.03437-0.00055</f>
        <v>959.77865039999995</v>
      </c>
      <c r="Q13" s="19">
        <f>M13+22.98977-0.00055</f>
        <v>964.7340504</v>
      </c>
      <c r="R13" s="19">
        <f>M13+38.96371-0.00055</f>
        <v>980.70799039999997</v>
      </c>
      <c r="S13" s="19">
        <f>M13+7.01601-0.00055</f>
        <v>948.76029040000003</v>
      </c>
      <c r="T13" s="46">
        <f>M13-1.0078246+0.00055</f>
        <v>940.73755579999988</v>
      </c>
      <c r="U13" s="19">
        <f>M13+44.99767+0.00055</f>
        <v>986.7430503999999</v>
      </c>
      <c r="V13" s="19">
        <f>M13+59.01332+0.00055</f>
        <v>1000.7587004</v>
      </c>
      <c r="W13" s="62"/>
      <c r="X13" s="62"/>
      <c r="Y13" s="62"/>
      <c r="Z13" s="62"/>
    </row>
    <row r="14" spans="1:26" x14ac:dyDescent="0.25">
      <c r="A14" s="17" t="s">
        <v>632</v>
      </c>
      <c r="B14" s="17" t="str">
        <f>IF(ISNUMBER(SEARCH("(",A14)),IF(ISNUMBER(SEARCH("/",A14)),CONCATENATE(MID(A14,1,2)," ",(SUM(MID(A14,FIND("(",A14)+1,FIND(":",A14)-FIND("(",A14)-1),MID(A14,FIND("/",A14)+1,FIND(":",A14,FIND("/",A14))-FIND("/",A14)-1))),":",SUM(MID(A14,FIND(":",A14)+1,FIND("/",A14)-FIND(":",A14)-1),MID(A14,FIND(":",A14,FIND("/",A14))+1,FIND(")",A14)-FIND(":",A14,FIND("/",A14))-1)),MID(A14,(FIND(")",A14)+1),100)),CONCATENATE(MID(A14,1,2)," ",(SUM(MID(A14,FIND("(",A14)+1,FIND(":",A14)-FIND("(",A14)-1),MID(A14,FIND("_",A14)+1,FIND(":",A14,FIND("_",A14))-FIND("_",A14)-1))),":",SUM(MID(A14,FIND(":",A14)+1,FIND("_",A14)-FIND(":",A14)-1),MID(A14,FIND(":",A14,FIND("_",A14))+1,FIND(")",A14)-FIND(":",A14,FIND("_",A14))-1)),MID(A14,(FIND(")",A14)+1),100))),A14)</f>
        <v>AcylPE 50:2</v>
      </c>
      <c r="C14" s="1" t="str">
        <f>MID(B14,8,FIND(":",B14)-FIND(" ",B14)-1)</f>
        <v>50</v>
      </c>
      <c r="D14" s="1" t="str">
        <f>IF(ISNUMBER(SEARCH("__",B14)),MID(B14,FIND(":",B14)+1,FIND("__",B14)-FIND(":",B14)-1),MID(B14,FIND(":",B14)+1,7))</f>
        <v>2</v>
      </c>
      <c r="E14" s="17" t="str">
        <f>MID(A14,9,1)</f>
        <v>0</v>
      </c>
      <c r="G14" s="17">
        <f t="shared" si="7"/>
        <v>55</v>
      </c>
      <c r="H14" s="17">
        <f>(-2)+2*G14-(2*D14)-((LEN(A14)-LEN(SUBSTITUTE(A14,"_O_","")))/LEN("_O_"))*2-((LEN(A14)-LEN(SUBSTITUTE(A14,"_CHO_","")))/LEN("_CHO_"))*2-((LEN(A14)-LEN(SUBSTITUTE(A14,"_COOH_","")))/LEN("_COOH_"))*2</f>
        <v>104</v>
      </c>
      <c r="I14" s="17">
        <v>1</v>
      </c>
      <c r="J14" s="17">
        <f>9+((LEN(A14)-LEN(SUBSTITUTE(A14,"_OH_","")))/LEN("_OH_"))*1+((LEN(A14)-LEN(SUBSTITUTE(A14,"_OOH_","")))/LEN("_OOH_"))*2+((LEN(A14)-LEN(SUBSTITUTE(A14,"_O_","")))/LEN("_O_"))*1+((LEN(A14)-LEN(SUBSTITUTE(A14,"_CHO_","")))/LEN("_CHO_"))*1+((LEN(A14)-LEN(SUBSTITUTE(A14,"_COOH_","")))/LEN("_COOH_"))*2</f>
        <v>9</v>
      </c>
      <c r="K14" s="17">
        <v>1</v>
      </c>
      <c r="L14" s="19" t="str">
        <f t="shared" si="10"/>
        <v>C55H104N1O9P1</v>
      </c>
      <c r="M14" s="19">
        <f t="shared" si="11"/>
        <v>953.74483039999996</v>
      </c>
      <c r="N14" s="19">
        <f>M14+1.0078246-0.00055</f>
        <v>954.75210500000003</v>
      </c>
      <c r="O14" s="19">
        <f>N14-18.01057-0.00055</f>
        <v>936.74098500000002</v>
      </c>
      <c r="P14" s="19">
        <f>M14+18.03437-0.00055</f>
        <v>971.77865039999995</v>
      </c>
      <c r="Q14" s="19">
        <f>M14+22.98977-0.00055</f>
        <v>976.7340504</v>
      </c>
      <c r="R14" s="19">
        <f>M14+38.96371-0.00055</f>
        <v>992.70799039999997</v>
      </c>
      <c r="S14" s="19">
        <f>M14+7.01601-0.00055</f>
        <v>960.76029040000003</v>
      </c>
      <c r="T14" s="46">
        <f>M14-1.0078246+0.00055</f>
        <v>952.73755579999988</v>
      </c>
      <c r="U14" s="19">
        <f>M14+44.99767+0.00055</f>
        <v>998.7430503999999</v>
      </c>
      <c r="V14" s="19">
        <f>M14+59.01332+0.00055</f>
        <v>1012.7587004</v>
      </c>
      <c r="W14" s="62"/>
      <c r="X14" s="62"/>
      <c r="Y14" s="62"/>
      <c r="Z14" s="62"/>
    </row>
    <row r="15" spans="1:26" x14ac:dyDescent="0.25">
      <c r="A15" s="17" t="s">
        <v>627</v>
      </c>
      <c r="B15" s="17" t="str">
        <f>IF(ISNUMBER(SEARCH("(",A15)),IF(ISNUMBER(SEARCH("/",A15)),CONCATENATE(MID(A15,1,2)," ",(SUM(MID(A15,FIND("(",A15)+1,FIND(":",A15)-FIND("(",A15)-1),MID(A15,FIND("/",A15)+1,FIND(":",A15,FIND("/",A15))-FIND("/",A15)-1))),":",SUM(MID(A15,FIND(":",A15)+1,FIND("/",A15)-FIND(":",A15)-1),MID(A15,FIND(":",A15,FIND("/",A15))+1,FIND(")",A15)-FIND(":",A15,FIND("/",A15))-1)),MID(A15,(FIND(")",A15)+1),100)),CONCATENATE(MID(A15,1,2)," ",(SUM(MID(A15,FIND("(",A15)+1,FIND(":",A15)-FIND("(",A15)-1),MID(A15,FIND("_",A15)+1,FIND(":",A15,FIND("_",A15))-FIND("_",A15)-1))),":",SUM(MID(A15,FIND(":",A15)+1,FIND("_",A15)-FIND(":",A15)-1),MID(A15,FIND(":",A15,FIND("_",A15))+1,FIND(")",A15)-FIND(":",A15,FIND("_",A15))-1)),MID(A15,(FIND(")",A15)+1),100))),A15)</f>
        <v>AcylPE 50:1</v>
      </c>
      <c r="C15" s="1" t="str">
        <f>MID(B15,8,FIND(":",B15)-FIND(" ",B15)-1)</f>
        <v>50</v>
      </c>
      <c r="D15" s="1" t="str">
        <f>IF(ISNUMBER(SEARCH("__",B15)),MID(B15,FIND(":",B15)+1,FIND("__",B15)-FIND(":",B15)-1),MID(B15,FIND(":",B15)+1,7))</f>
        <v>1</v>
      </c>
      <c r="E15" s="17" t="str">
        <f>MID(A15,9,1)</f>
        <v>0</v>
      </c>
      <c r="G15" s="17">
        <f t="shared" si="7"/>
        <v>55</v>
      </c>
      <c r="H15" s="17">
        <f>(-2)+2*G15-(2*D15)-((LEN(A15)-LEN(SUBSTITUTE(A15,"_O_","")))/LEN("_O_"))*2-((LEN(A15)-LEN(SUBSTITUTE(A15,"_CHO_","")))/LEN("_CHO_"))*2-((LEN(A15)-LEN(SUBSTITUTE(A15,"_COOH_","")))/LEN("_COOH_"))*2</f>
        <v>106</v>
      </c>
      <c r="I15" s="17">
        <v>1</v>
      </c>
      <c r="J15" s="17">
        <f>9+((LEN(A15)-LEN(SUBSTITUTE(A15,"_OH_","")))/LEN("_OH_"))*1+((LEN(A15)-LEN(SUBSTITUTE(A15,"_OOH_","")))/LEN("_OOH_"))*2+((LEN(A15)-LEN(SUBSTITUTE(A15,"_O_","")))/LEN("_O_"))*1+((LEN(A15)-LEN(SUBSTITUTE(A15,"_CHO_","")))/LEN("_CHO_"))*1+((LEN(A15)-LEN(SUBSTITUTE(A15,"_COOH_","")))/LEN("_COOH_"))*2</f>
        <v>9</v>
      </c>
      <c r="K15" s="17">
        <v>1</v>
      </c>
      <c r="L15" s="19" t="str">
        <f t="shared" si="10"/>
        <v>C55H106N1O9P1</v>
      </c>
      <c r="M15" s="19">
        <f t="shared" si="11"/>
        <v>955.76047959999994</v>
      </c>
      <c r="N15" s="19">
        <f>M15+1.0078246-0.00055</f>
        <v>956.76775420000001</v>
      </c>
      <c r="O15" s="19">
        <f>N15-18.01057-0.00055</f>
        <v>938.75663420000001</v>
      </c>
      <c r="P15" s="19">
        <f>M15+18.03437-0.00055</f>
        <v>973.79429959999993</v>
      </c>
      <c r="Q15" s="19">
        <f>M15+22.98977-0.00055</f>
        <v>978.74969959999999</v>
      </c>
      <c r="R15" s="19">
        <f>M15+38.96371-0.00055</f>
        <v>994.72363959999996</v>
      </c>
      <c r="S15" s="19">
        <f>M15+7.01601-0.00055</f>
        <v>962.77593960000002</v>
      </c>
      <c r="T15" s="46">
        <f>M15-1.0078246+0.00055</f>
        <v>954.75320499999987</v>
      </c>
      <c r="U15" s="19">
        <f>M15+44.99767+0.00055</f>
        <v>1000.7586995999999</v>
      </c>
      <c r="V15" s="19">
        <f>M15+59.01332+0.00055</f>
        <v>1014.7743495999999</v>
      </c>
      <c r="W15" s="62"/>
      <c r="X15" s="62"/>
      <c r="Y15" s="62"/>
      <c r="Z15" s="62"/>
    </row>
    <row r="16" spans="1:26" x14ac:dyDescent="0.25">
      <c r="A16" s="17" t="s">
        <v>698</v>
      </c>
      <c r="B16" s="17" t="str">
        <f>IF(ISNUMBER(SEARCH("(",A16)),IF(ISNUMBER(SEARCH("/",A16)),CONCATENATE(MID(A16,1,2)," ",(SUM(MID(A16,FIND("(",A16)+1,FIND(":",A16)-FIND("(",A16)-1),MID(A16,FIND("/",A16)+1,FIND(":",A16,FIND("/",A16))-FIND("/",A16)-1))),":",SUM(MID(A16,FIND(":",A16)+1,FIND("/",A16)-FIND(":",A16)-1),MID(A16,FIND(":",A16,FIND("/",A16))+1,FIND(")",A16)-FIND(":",A16,FIND("/",A16))-1)),MID(A16,(FIND(")",A16)+1),100)),CONCATENATE(MID(A16,1,2)," ",(SUM(MID(A16,FIND("(",A16)+1,FIND(":",A16)-FIND("(",A16)-1),MID(A16,FIND("_",A16)+1,FIND(":",A16,FIND("_",A16))-FIND("_",A16)-1))),":",SUM(MID(A16,FIND(":",A16)+1,FIND("_",A16)-FIND(":",A16)-1),MID(A16,FIND(":",A16,FIND("_",A16))+1,FIND(")",A16)-FIND(":",A16,FIND("_",A16))-1)),MID(A16,(FIND(")",A16)+1),100))),A16)</f>
        <v>AcylPE 51:3</v>
      </c>
      <c r="C16" s="1" t="str">
        <f>MID(B16,8,FIND(":",B16)-FIND(" ",B16)-1)</f>
        <v>51</v>
      </c>
      <c r="D16" s="1" t="str">
        <f>IF(ISNUMBER(SEARCH("__",B16)),MID(B16,FIND(":",B16)+1,FIND("__",B16)-FIND(":",B16)-1),MID(B16,FIND(":",B16)+1,7))</f>
        <v>3</v>
      </c>
      <c r="E16" s="17" t="str">
        <f>MID(A16,9,1)</f>
        <v>1</v>
      </c>
      <c r="G16" s="17">
        <f t="shared" si="7"/>
        <v>56</v>
      </c>
      <c r="H16" s="17">
        <f>(-2)+2*G16-(2*D16)-((LEN(A16)-LEN(SUBSTITUTE(A16,"_O_","")))/LEN("_O_"))*2-((LEN(A16)-LEN(SUBSTITUTE(A16,"_CHO_","")))/LEN("_CHO_"))*2-((LEN(A16)-LEN(SUBSTITUTE(A16,"_COOH_","")))/LEN("_COOH_"))*2</f>
        <v>104</v>
      </c>
      <c r="I16" s="17">
        <v>1</v>
      </c>
      <c r="J16" s="17">
        <f>9+((LEN(A16)-LEN(SUBSTITUTE(A16,"_OH_","")))/LEN("_OH_"))*1+((LEN(A16)-LEN(SUBSTITUTE(A16,"_OOH_","")))/LEN("_OOH_"))*2+((LEN(A16)-LEN(SUBSTITUTE(A16,"_O_","")))/LEN("_O_"))*1+((LEN(A16)-LEN(SUBSTITUTE(A16,"_CHO_","")))/LEN("_CHO_"))*1+((LEN(A16)-LEN(SUBSTITUTE(A16,"_COOH_","")))/LEN("_COOH_"))*2</f>
        <v>9</v>
      </c>
      <c r="K16" s="17">
        <v>1</v>
      </c>
      <c r="L16" s="19" t="str">
        <f t="shared" si="10"/>
        <v>C56H104N1O9P1</v>
      </c>
      <c r="M16" s="19">
        <f t="shared" si="11"/>
        <v>965.74483039999996</v>
      </c>
      <c r="N16" s="19">
        <f>M16+1.0078246-0.00055</f>
        <v>966.75210500000003</v>
      </c>
      <c r="O16" s="19">
        <f>N16-18.01057-0.00055</f>
        <v>948.74098500000002</v>
      </c>
      <c r="P16" s="19">
        <f>M16+18.03437-0.00055</f>
        <v>983.77865039999995</v>
      </c>
      <c r="Q16" s="19">
        <f>M16+22.98977-0.00055</f>
        <v>988.7340504</v>
      </c>
      <c r="R16" s="19">
        <f>M16+38.96371-0.00055</f>
        <v>1004.7079904</v>
      </c>
      <c r="S16" s="19">
        <f>M16+7.01601-0.00055</f>
        <v>972.76029040000003</v>
      </c>
      <c r="T16" s="46">
        <f>M16-1.0078246+0.00055</f>
        <v>964.73755579999988</v>
      </c>
      <c r="U16" s="19">
        <f>M16+44.99767+0.00055</f>
        <v>1010.7430503999999</v>
      </c>
      <c r="V16" s="19">
        <f>M16+59.01332+0.00055</f>
        <v>1024.7587004</v>
      </c>
      <c r="W16" s="62"/>
      <c r="X16" s="62"/>
      <c r="Y16" s="62"/>
      <c r="Z16" s="62"/>
    </row>
    <row r="17" spans="1:26" x14ac:dyDescent="0.25">
      <c r="A17" s="17" t="s">
        <v>631</v>
      </c>
      <c r="B17" s="17" t="str">
        <f>IF(ISNUMBER(SEARCH("(",A17)),IF(ISNUMBER(SEARCH("/",A17)),CONCATENATE(MID(A17,1,2)," ",(SUM(MID(A17,FIND("(",A17)+1,FIND(":",A17)-FIND("(",A17)-1),MID(A17,FIND("/",A17)+1,FIND(":",A17,FIND("/",A17))-FIND("/",A17)-1))),":",SUM(MID(A17,FIND(":",A17)+1,FIND("/",A17)-FIND(":",A17)-1),MID(A17,FIND(":",A17,FIND("/",A17))+1,FIND(")",A17)-FIND(":",A17,FIND("/",A17))-1)),MID(A17,(FIND(")",A17)+1),100)),CONCATENATE(MID(A17,1,2)," ",(SUM(MID(A17,FIND("(",A17)+1,FIND(":",A17)-FIND("(",A17)-1),MID(A17,FIND("_",A17)+1,FIND(":",A17,FIND("_",A17))-FIND("_",A17)-1))),":",SUM(MID(A17,FIND(":",A17)+1,FIND("_",A17)-FIND(":",A17)-1),MID(A17,FIND(":",A17,FIND("_",A17))+1,FIND(")",A17)-FIND(":",A17,FIND("_",A17))-1)),MID(A17,(FIND(")",A17)+1),100))),A17)</f>
        <v>AcylPE 51:2</v>
      </c>
      <c r="C17" s="1" t="str">
        <f>MID(B17,8,FIND(":",B17)-FIND(" ",B17)-1)</f>
        <v>51</v>
      </c>
      <c r="D17" s="1" t="str">
        <f>IF(ISNUMBER(SEARCH("__",B17)),MID(B17,FIND(":",B17)+1,FIND("__",B17)-FIND(":",B17)-1),MID(B17,FIND(":",B17)+1,7))</f>
        <v>2</v>
      </c>
      <c r="E17" s="17" t="str">
        <f>MID(A17,9,1)</f>
        <v>1</v>
      </c>
      <c r="G17" s="17">
        <f t="shared" si="7"/>
        <v>56</v>
      </c>
      <c r="H17" s="17">
        <f>(-2)+2*G17-(2*D17)-((LEN(A17)-LEN(SUBSTITUTE(A17,"_O_","")))/LEN("_O_"))*2-((LEN(A17)-LEN(SUBSTITUTE(A17,"_CHO_","")))/LEN("_CHO_"))*2-((LEN(A17)-LEN(SUBSTITUTE(A17,"_COOH_","")))/LEN("_COOH_"))*2</f>
        <v>106</v>
      </c>
      <c r="I17" s="17">
        <v>1</v>
      </c>
      <c r="J17" s="17">
        <f>9+((LEN(A17)-LEN(SUBSTITUTE(A17,"_OH_","")))/LEN("_OH_"))*1+((LEN(A17)-LEN(SUBSTITUTE(A17,"_OOH_","")))/LEN("_OOH_"))*2+((LEN(A17)-LEN(SUBSTITUTE(A17,"_O_","")))/LEN("_O_"))*1+((LEN(A17)-LEN(SUBSTITUTE(A17,"_CHO_","")))/LEN("_CHO_"))*1+((LEN(A17)-LEN(SUBSTITUTE(A17,"_COOH_","")))/LEN("_COOH_"))*2</f>
        <v>9</v>
      </c>
      <c r="K17" s="17">
        <v>1</v>
      </c>
      <c r="L17" s="19" t="str">
        <f t="shared" si="10"/>
        <v>C56H106N1O9P1</v>
      </c>
      <c r="M17" s="19">
        <f t="shared" si="11"/>
        <v>967.76047959999994</v>
      </c>
      <c r="N17" s="19">
        <f>M17+1.0078246-0.00055</f>
        <v>968.76775420000001</v>
      </c>
      <c r="O17" s="19">
        <f>N17-18.01057-0.00055</f>
        <v>950.75663420000001</v>
      </c>
      <c r="P17" s="19">
        <f>M17+18.03437-0.00055</f>
        <v>985.79429959999993</v>
      </c>
      <c r="Q17" s="19">
        <f>M17+22.98977-0.00055</f>
        <v>990.74969959999999</v>
      </c>
      <c r="R17" s="19">
        <f>M17+38.96371-0.00055</f>
        <v>1006.7236396</v>
      </c>
      <c r="S17" s="19">
        <f>M17+7.01601-0.00055</f>
        <v>974.77593960000002</v>
      </c>
      <c r="T17" s="46">
        <f>M17-1.0078246+0.00055</f>
        <v>966.75320499999987</v>
      </c>
      <c r="U17" s="19">
        <f>M17+44.99767+0.00055</f>
        <v>1012.7586995999999</v>
      </c>
      <c r="V17" s="19">
        <f>M17+59.01332+0.00055</f>
        <v>1026.7743495999998</v>
      </c>
      <c r="W17" s="62"/>
      <c r="X17" s="62"/>
      <c r="Y17" s="62"/>
      <c r="Z17" s="62"/>
    </row>
    <row r="18" spans="1:26" x14ac:dyDescent="0.25">
      <c r="A18" s="17" t="s">
        <v>628</v>
      </c>
      <c r="B18" s="17" t="str">
        <f>IF(ISNUMBER(SEARCH("(",A18)),IF(ISNUMBER(SEARCH("/",A18)),CONCATENATE(MID(A18,1,2)," ",(SUM(MID(A18,FIND("(",A18)+1,FIND(":",A18)-FIND("(",A18)-1),MID(A18,FIND("/",A18)+1,FIND(":",A18,FIND("/",A18))-FIND("/",A18)-1))),":",SUM(MID(A18,FIND(":",A18)+1,FIND("/",A18)-FIND(":",A18)-1),MID(A18,FIND(":",A18,FIND("/",A18))+1,FIND(")",A18)-FIND(":",A18,FIND("/",A18))-1)),MID(A18,(FIND(")",A18)+1),100)),CONCATENATE(MID(A18,1,2)," ",(SUM(MID(A18,FIND("(",A18)+1,FIND(":",A18)-FIND("(",A18)-1),MID(A18,FIND("_",A18)+1,FIND(":",A18,FIND("_",A18))-FIND("_",A18)-1))),":",SUM(MID(A18,FIND(":",A18)+1,FIND("_",A18)-FIND(":",A18)-1),MID(A18,FIND(":",A18,FIND("_",A18))+1,FIND(")",A18)-FIND(":",A18,FIND("_",A18))-1)),MID(A18,(FIND(")",A18)+1),100))),A18)</f>
        <v>AcylPE 51:1</v>
      </c>
      <c r="C18" s="1" t="str">
        <f>MID(B18,8,FIND(":",B18)-FIND(" ",B18)-1)</f>
        <v>51</v>
      </c>
      <c r="D18" s="1" t="str">
        <f>IF(ISNUMBER(SEARCH("__",B18)),MID(B18,FIND(":",B18)+1,FIND("__",B18)-FIND(":",B18)-1),MID(B18,FIND(":",B18)+1,7))</f>
        <v>1</v>
      </c>
      <c r="E18" s="17" t="str">
        <f>MID(A18,9,1)</f>
        <v>1</v>
      </c>
      <c r="G18" s="17">
        <f t="shared" si="7"/>
        <v>56</v>
      </c>
      <c r="H18" s="17">
        <f>(-2)+2*G18-(2*D18)-((LEN(A18)-LEN(SUBSTITUTE(A18,"_O_","")))/LEN("_O_"))*2-((LEN(A18)-LEN(SUBSTITUTE(A18,"_CHO_","")))/LEN("_CHO_"))*2-((LEN(A18)-LEN(SUBSTITUTE(A18,"_COOH_","")))/LEN("_COOH_"))*2</f>
        <v>108</v>
      </c>
      <c r="I18" s="17">
        <v>1</v>
      </c>
      <c r="J18" s="17">
        <f>9+((LEN(A18)-LEN(SUBSTITUTE(A18,"_OH_","")))/LEN("_OH_"))*1+((LEN(A18)-LEN(SUBSTITUTE(A18,"_OOH_","")))/LEN("_OOH_"))*2+((LEN(A18)-LEN(SUBSTITUTE(A18,"_O_","")))/LEN("_O_"))*1+((LEN(A18)-LEN(SUBSTITUTE(A18,"_CHO_","")))/LEN("_CHO_"))*1+((LEN(A18)-LEN(SUBSTITUTE(A18,"_COOH_","")))/LEN("_COOH_"))*2</f>
        <v>9</v>
      </c>
      <c r="K18" s="17">
        <v>1</v>
      </c>
      <c r="L18" s="19" t="str">
        <f t="shared" si="10"/>
        <v>C56H108N1O9P1</v>
      </c>
      <c r="M18" s="19">
        <f t="shared" si="11"/>
        <v>969.77612879999992</v>
      </c>
      <c r="N18" s="19">
        <f>M18+1.0078246-0.00055</f>
        <v>970.7834034</v>
      </c>
      <c r="O18" s="19">
        <f>N18-18.01057-0.00055</f>
        <v>952.77228339999999</v>
      </c>
      <c r="P18" s="19">
        <f>M18+18.03437-0.00055</f>
        <v>987.80994879999992</v>
      </c>
      <c r="Q18" s="19">
        <f>M18+22.98977-0.00055</f>
        <v>992.76534879999997</v>
      </c>
      <c r="R18" s="19">
        <f>M18+38.96371-0.00055</f>
        <v>1008.7392887999999</v>
      </c>
      <c r="S18" s="19">
        <f>M18+7.01601-0.00055</f>
        <v>976.7915888</v>
      </c>
      <c r="T18" s="46">
        <f>M18-1.0078246+0.00055</f>
        <v>968.76885419999985</v>
      </c>
      <c r="U18" s="19">
        <f>M18+44.99767+0.00055</f>
        <v>1014.7743487999999</v>
      </c>
      <c r="V18" s="19">
        <f>M18+59.01332+0.00055</f>
        <v>1028.7899987999999</v>
      </c>
      <c r="W18" s="62"/>
      <c r="X18" s="62"/>
      <c r="Y18" s="62"/>
      <c r="Z18" s="62"/>
    </row>
    <row r="19" spans="1:26" x14ac:dyDescent="0.25">
      <c r="A19" s="17" t="s">
        <v>699</v>
      </c>
      <c r="B19" s="17" t="str">
        <f>IF(ISNUMBER(SEARCH("(",A19)),IF(ISNUMBER(SEARCH("/",A19)),CONCATENATE(MID(A19,1,2)," ",(SUM(MID(A19,FIND("(",A19)+1,FIND(":",A19)-FIND("(",A19)-1),MID(A19,FIND("/",A19)+1,FIND(":",A19,FIND("/",A19))-FIND("/",A19)-1))),":",SUM(MID(A19,FIND(":",A19)+1,FIND("/",A19)-FIND(":",A19)-1),MID(A19,FIND(":",A19,FIND("/",A19))+1,FIND(")",A19)-FIND(":",A19,FIND("/",A19))-1)),MID(A19,(FIND(")",A19)+1),100)),CONCATENATE(MID(A19,1,2)," ",(SUM(MID(A19,FIND("(",A19)+1,FIND(":",A19)-FIND("(",A19)-1),MID(A19,FIND("_",A19)+1,FIND(":",A19,FIND("_",A19))-FIND("_",A19)-1))),":",SUM(MID(A19,FIND(":",A19)+1,FIND("_",A19)-FIND(":",A19)-1),MID(A19,FIND(":",A19,FIND("_",A19))+1,FIND(")",A19)-FIND(":",A19,FIND("_",A19))-1)),MID(A19,(FIND(")",A19)+1),100))),A19)</f>
        <v>AcylPE 52:3</v>
      </c>
      <c r="C19" s="1" t="str">
        <f>MID(B19,8,FIND(":",B19)-FIND(" ",B19)-1)</f>
        <v>52</v>
      </c>
      <c r="D19" s="1" t="str">
        <f>IF(ISNUMBER(SEARCH("__",B19)),MID(B19,FIND(":",B19)+1,FIND("__",B19)-FIND(":",B19)-1),MID(B19,FIND(":",B19)+1,7))</f>
        <v>3</v>
      </c>
      <c r="E19" s="17" t="str">
        <f>MID(A19,9,1)</f>
        <v>2</v>
      </c>
      <c r="G19" s="17">
        <f t="shared" si="7"/>
        <v>57</v>
      </c>
      <c r="H19" s="17">
        <f>(-2)+2*G19-(2*D19)-((LEN(A19)-LEN(SUBSTITUTE(A19,"_O_","")))/LEN("_O_"))*2-((LEN(A19)-LEN(SUBSTITUTE(A19,"_CHO_","")))/LEN("_CHO_"))*2-((LEN(A19)-LEN(SUBSTITUTE(A19,"_COOH_","")))/LEN("_COOH_"))*2</f>
        <v>106</v>
      </c>
      <c r="I19" s="17">
        <v>1</v>
      </c>
      <c r="J19" s="17">
        <f>9+((LEN(A19)-LEN(SUBSTITUTE(A19,"_OH_","")))/LEN("_OH_"))*1+((LEN(A19)-LEN(SUBSTITUTE(A19,"_OOH_","")))/LEN("_OOH_"))*2+((LEN(A19)-LEN(SUBSTITUTE(A19,"_O_","")))/LEN("_O_"))*1+((LEN(A19)-LEN(SUBSTITUTE(A19,"_CHO_","")))/LEN("_CHO_"))*1+((LEN(A19)-LEN(SUBSTITUTE(A19,"_COOH_","")))/LEN("_COOH_"))*2</f>
        <v>9</v>
      </c>
      <c r="K19" s="17">
        <v>1</v>
      </c>
      <c r="L19" s="19" t="str">
        <f t="shared" si="10"/>
        <v>C57H106N1O9P1</v>
      </c>
      <c r="M19" s="19">
        <f t="shared" si="11"/>
        <v>979.76047959999994</v>
      </c>
      <c r="N19" s="19">
        <f>M19+1.0078246-0.00055</f>
        <v>980.76775420000001</v>
      </c>
      <c r="O19" s="19">
        <f>N19-18.01057-0.00055</f>
        <v>962.75663420000001</v>
      </c>
      <c r="P19" s="19">
        <f>M19+18.03437-0.00055</f>
        <v>997.79429959999993</v>
      </c>
      <c r="Q19" s="19">
        <f>M19+22.98977-0.00055</f>
        <v>1002.7496996</v>
      </c>
      <c r="R19" s="19">
        <f>M19+38.96371-0.00055</f>
        <v>1018.7236396</v>
      </c>
      <c r="S19" s="19">
        <f>M19+7.01601-0.00055</f>
        <v>986.77593960000002</v>
      </c>
      <c r="T19" s="46">
        <f>M19-1.0078246+0.00055</f>
        <v>978.75320499999987</v>
      </c>
      <c r="U19" s="19">
        <f>M19+44.99767+0.00055</f>
        <v>1024.7586996</v>
      </c>
      <c r="V19" s="19">
        <f>M19+59.01332+0.00055</f>
        <v>1038.7743495999998</v>
      </c>
      <c r="W19" s="62"/>
      <c r="X19" s="62"/>
      <c r="Y19" s="62"/>
      <c r="Z19" s="62"/>
    </row>
    <row r="20" spans="1:26" x14ac:dyDescent="0.25">
      <c r="A20" s="17" t="s">
        <v>630</v>
      </c>
      <c r="B20" s="17" t="str">
        <f>IF(ISNUMBER(SEARCH("(",A20)),IF(ISNUMBER(SEARCH("/",A20)),CONCATENATE(MID(A20,1,2)," ",(SUM(MID(A20,FIND("(",A20)+1,FIND(":",A20)-FIND("(",A20)-1),MID(A20,FIND("/",A20)+1,FIND(":",A20,FIND("/",A20))-FIND("/",A20)-1))),":",SUM(MID(A20,FIND(":",A20)+1,FIND("/",A20)-FIND(":",A20)-1),MID(A20,FIND(":",A20,FIND("/",A20))+1,FIND(")",A20)-FIND(":",A20,FIND("/",A20))-1)),MID(A20,(FIND(")",A20)+1),100)),CONCATENATE(MID(A20,1,2)," ",(SUM(MID(A20,FIND("(",A20)+1,FIND(":",A20)-FIND("(",A20)-1),MID(A20,FIND("_",A20)+1,FIND(":",A20,FIND("_",A20))-FIND("_",A20)-1))),":",SUM(MID(A20,FIND(":",A20)+1,FIND("_",A20)-FIND(":",A20)-1),MID(A20,FIND(":",A20,FIND("_",A20))+1,FIND(")",A20)-FIND(":",A20,FIND("_",A20))-1)),MID(A20,(FIND(")",A20)+1),100))),A20)</f>
        <v>AcylPE 52:2</v>
      </c>
      <c r="C20" s="1" t="str">
        <f>MID(B20,8,FIND(":",B20)-FIND(" ",B20)-1)</f>
        <v>52</v>
      </c>
      <c r="D20" s="1" t="str">
        <f>IF(ISNUMBER(SEARCH("__",B20)),MID(B20,FIND(":",B20)+1,FIND("__",B20)-FIND(":",B20)-1),MID(B20,FIND(":",B20)+1,7))</f>
        <v>2</v>
      </c>
      <c r="E20" s="17" t="str">
        <f>MID(A20,9,1)</f>
        <v>2</v>
      </c>
      <c r="G20" s="17">
        <f t="shared" si="7"/>
        <v>57</v>
      </c>
      <c r="H20" s="17">
        <f>(-2)+2*G20-(2*D20)-((LEN(A20)-LEN(SUBSTITUTE(A20,"_O_","")))/LEN("_O_"))*2-((LEN(A20)-LEN(SUBSTITUTE(A20,"_CHO_","")))/LEN("_CHO_"))*2-((LEN(A20)-LEN(SUBSTITUTE(A20,"_COOH_","")))/LEN("_COOH_"))*2</f>
        <v>108</v>
      </c>
      <c r="I20" s="17">
        <v>1</v>
      </c>
      <c r="J20" s="17">
        <f>9+((LEN(A20)-LEN(SUBSTITUTE(A20,"_OH_","")))/LEN("_OH_"))*1+((LEN(A20)-LEN(SUBSTITUTE(A20,"_OOH_","")))/LEN("_OOH_"))*2+((LEN(A20)-LEN(SUBSTITUTE(A20,"_O_","")))/LEN("_O_"))*1+((LEN(A20)-LEN(SUBSTITUTE(A20,"_CHO_","")))/LEN("_CHO_"))*1+((LEN(A20)-LEN(SUBSTITUTE(A20,"_COOH_","")))/LEN("_COOH_"))*2</f>
        <v>9</v>
      </c>
      <c r="K20" s="17">
        <v>1</v>
      </c>
      <c r="L20" s="19" t="str">
        <f t="shared" si="10"/>
        <v>C57H108N1O9P1</v>
      </c>
      <c r="M20" s="19">
        <f t="shared" si="11"/>
        <v>981.77612879999992</v>
      </c>
      <c r="N20" s="19">
        <f>M20+1.0078246-0.00055</f>
        <v>982.7834034</v>
      </c>
      <c r="O20" s="19">
        <f>N20-18.01057-0.00055</f>
        <v>964.77228339999999</v>
      </c>
      <c r="P20" s="19">
        <f>M20+18.03437-0.00055</f>
        <v>999.80994879999992</v>
      </c>
      <c r="Q20" s="19">
        <f>M20+22.98977-0.00055</f>
        <v>1004.7653488</v>
      </c>
      <c r="R20" s="19">
        <f>M20+38.96371-0.00055</f>
        <v>1020.7392887999999</v>
      </c>
      <c r="S20" s="19">
        <f>M20+7.01601-0.00055</f>
        <v>988.7915888</v>
      </c>
      <c r="T20" s="46">
        <f>M20-1.0078246+0.00055</f>
        <v>980.76885419999985</v>
      </c>
      <c r="U20" s="19">
        <f>M20+44.99767+0.00055</f>
        <v>1026.7743487999999</v>
      </c>
      <c r="V20" s="19">
        <f>M20+59.01332+0.00055</f>
        <v>1040.7899987999999</v>
      </c>
      <c r="W20" s="62"/>
      <c r="X20" s="62"/>
      <c r="Y20" s="62"/>
      <c r="Z20" s="62"/>
    </row>
    <row r="21" spans="1:26" x14ac:dyDescent="0.25">
      <c r="A21" s="17" t="s">
        <v>629</v>
      </c>
      <c r="B21" s="17" t="str">
        <f>IF(ISNUMBER(SEARCH("(",A21)),IF(ISNUMBER(SEARCH("/",A21)),CONCATENATE(MID(A21,1,2)," ",(SUM(MID(A21,FIND("(",A21)+1,FIND(":",A21)-FIND("(",A21)-1),MID(A21,FIND("/",A21)+1,FIND(":",A21,FIND("/",A21))-FIND("/",A21)-1))),":",SUM(MID(A21,FIND(":",A21)+1,FIND("/",A21)-FIND(":",A21)-1),MID(A21,FIND(":",A21,FIND("/",A21))+1,FIND(")",A21)-FIND(":",A21,FIND("/",A21))-1)),MID(A21,(FIND(")",A21)+1),100)),CONCATENATE(MID(A21,1,2)," ",(SUM(MID(A21,FIND("(",A21)+1,FIND(":",A21)-FIND("(",A21)-1),MID(A21,FIND("_",A21)+1,FIND(":",A21,FIND("_",A21))-FIND("_",A21)-1))),":",SUM(MID(A21,FIND(":",A21)+1,FIND("_",A21)-FIND(":",A21)-1),MID(A21,FIND(":",A21,FIND("_",A21))+1,FIND(")",A21)-FIND(":",A21,FIND("_",A21))-1)),MID(A21,(FIND(")",A21)+1),100))),A21)</f>
        <v>AcylPE 52:1</v>
      </c>
      <c r="C21" s="1" t="str">
        <f>MID(B21,8,FIND(":",B21)-FIND(" ",B21)-1)</f>
        <v>52</v>
      </c>
      <c r="D21" s="1" t="str">
        <f>IF(ISNUMBER(SEARCH("__",B21)),MID(B21,FIND(":",B21)+1,FIND("__",B21)-FIND(":",B21)-1),MID(B21,FIND(":",B21)+1,7))</f>
        <v>1</v>
      </c>
      <c r="E21" s="17" t="str">
        <f>MID(A21,9,1)</f>
        <v>2</v>
      </c>
      <c r="G21" s="17">
        <f t="shared" si="7"/>
        <v>57</v>
      </c>
      <c r="H21" s="17">
        <f>(-2)+2*G21-(2*D21)-((LEN(A21)-LEN(SUBSTITUTE(A21,"_O_","")))/LEN("_O_"))*2-((LEN(A21)-LEN(SUBSTITUTE(A21,"_CHO_","")))/LEN("_CHO_"))*2-((LEN(A21)-LEN(SUBSTITUTE(A21,"_COOH_","")))/LEN("_COOH_"))*2</f>
        <v>110</v>
      </c>
      <c r="I21" s="17">
        <v>1</v>
      </c>
      <c r="J21" s="17">
        <f>9+((LEN(A21)-LEN(SUBSTITUTE(A21,"_OH_","")))/LEN("_OH_"))*1+((LEN(A21)-LEN(SUBSTITUTE(A21,"_OOH_","")))/LEN("_OOH_"))*2+((LEN(A21)-LEN(SUBSTITUTE(A21,"_O_","")))/LEN("_O_"))*1+((LEN(A21)-LEN(SUBSTITUTE(A21,"_CHO_","")))/LEN("_CHO_"))*1+((LEN(A21)-LEN(SUBSTITUTE(A21,"_COOH_","")))/LEN("_COOH_"))*2</f>
        <v>9</v>
      </c>
      <c r="K21" s="17">
        <v>1</v>
      </c>
      <c r="L21" s="19" t="str">
        <f t="shared" si="10"/>
        <v>C57H110N1O9P1</v>
      </c>
      <c r="M21" s="19">
        <f t="shared" si="11"/>
        <v>983.79177799999991</v>
      </c>
      <c r="N21" s="19">
        <f>M21+1.0078246-0.00055</f>
        <v>984.79905259999998</v>
      </c>
      <c r="O21" s="19">
        <f>N21-18.01057-0.00055</f>
        <v>966.78793259999998</v>
      </c>
      <c r="P21" s="19">
        <f>M21+18.03437-0.00055</f>
        <v>1001.8255979999999</v>
      </c>
      <c r="Q21" s="19">
        <f>M21+22.98977-0.00055</f>
        <v>1006.780998</v>
      </c>
      <c r="R21" s="19">
        <f>M21+38.96371-0.00055</f>
        <v>1022.7549379999999</v>
      </c>
      <c r="S21" s="19">
        <f>M21+7.01601-0.00055</f>
        <v>990.80723799999998</v>
      </c>
      <c r="T21" s="46">
        <f>M21-1.0078246+0.00055</f>
        <v>982.78450339999983</v>
      </c>
      <c r="U21" s="19">
        <f>M21+44.99767+0.00055</f>
        <v>1028.789998</v>
      </c>
      <c r="V21" s="19">
        <f>M21+59.01332+0.00055</f>
        <v>1042.8056479999998</v>
      </c>
      <c r="W21" s="62"/>
      <c r="X21" s="62"/>
      <c r="Y21" s="62"/>
      <c r="Z21" s="62"/>
    </row>
    <row r="22" spans="1:26" x14ac:dyDescent="0.25">
      <c r="A22" s="17" t="s">
        <v>700</v>
      </c>
      <c r="B22" s="17" t="str">
        <f>IF(ISNUMBER(SEARCH("(",A22)),IF(ISNUMBER(SEARCH("/",A22)),CONCATENATE(MID(A22,1,2)," ",(SUM(MID(A22,FIND("(",A22)+1,FIND(":",A22)-FIND("(",A22)-1),MID(A22,FIND("/",A22)+1,FIND(":",A22,FIND("/",A22))-FIND("/",A22)-1))),":",SUM(MID(A22,FIND(":",A22)+1,FIND("/",A22)-FIND(":",A22)-1),MID(A22,FIND(":",A22,FIND("/",A22))+1,FIND(")",A22)-FIND(":",A22,FIND("/",A22))-1)),MID(A22,(FIND(")",A22)+1),100)),CONCATENATE(MID(A22,1,2)," ",(SUM(MID(A22,FIND("(",A22)+1,FIND(":",A22)-FIND("(",A22)-1),MID(A22,FIND("_",A22)+1,FIND(":",A22,FIND("_",A22))-FIND("_",A22)-1))),":",SUM(MID(A22,FIND(":",A22)+1,FIND("_",A22)-FIND(":",A22)-1),MID(A22,FIND(":",A22,FIND("_",A22))+1,FIND(")",A22)-FIND(":",A22,FIND("_",A22))-1)),MID(A22,(FIND(")",A22)+1),100))),A22)</f>
        <v>AcylPE 53:3</v>
      </c>
      <c r="C22" s="1" t="str">
        <f>MID(B22,8,FIND(":",B22)-FIND(" ",B22)-1)</f>
        <v>53</v>
      </c>
      <c r="D22" s="1" t="str">
        <f>IF(ISNUMBER(SEARCH("__",B22)),MID(B22,FIND(":",B22)+1,FIND("__",B22)-FIND(":",B22)-1),MID(B22,FIND(":",B22)+1,7))</f>
        <v>3</v>
      </c>
      <c r="E22" s="17" t="str">
        <f>MID(A22,9,1)</f>
        <v>3</v>
      </c>
      <c r="G22" s="17">
        <f t="shared" si="7"/>
        <v>58</v>
      </c>
      <c r="H22" s="17">
        <f>(-2)+2*G22-(2*D22)-((LEN(A22)-LEN(SUBSTITUTE(A22,"_O_","")))/LEN("_O_"))*2-((LEN(A22)-LEN(SUBSTITUTE(A22,"_CHO_","")))/LEN("_CHO_"))*2-((LEN(A22)-LEN(SUBSTITUTE(A22,"_COOH_","")))/LEN("_COOH_"))*2</f>
        <v>108</v>
      </c>
      <c r="I22" s="17">
        <v>1</v>
      </c>
      <c r="J22" s="17">
        <f>9+((LEN(A22)-LEN(SUBSTITUTE(A22,"_OH_","")))/LEN("_OH_"))*1+((LEN(A22)-LEN(SUBSTITUTE(A22,"_OOH_","")))/LEN("_OOH_"))*2+((LEN(A22)-LEN(SUBSTITUTE(A22,"_O_","")))/LEN("_O_"))*1+((LEN(A22)-LEN(SUBSTITUTE(A22,"_CHO_","")))/LEN("_CHO_"))*1+((LEN(A22)-LEN(SUBSTITUTE(A22,"_COOH_","")))/LEN("_COOH_"))*2</f>
        <v>9</v>
      </c>
      <c r="K22" s="17">
        <v>1</v>
      </c>
      <c r="L22" s="19" t="str">
        <f t="shared" si="10"/>
        <v>C58H108N1O9P1</v>
      </c>
      <c r="M22" s="19">
        <f t="shared" si="11"/>
        <v>993.77612879999992</v>
      </c>
      <c r="N22" s="19">
        <f>M22+1.0078246-0.00055</f>
        <v>994.7834034</v>
      </c>
      <c r="O22" s="19">
        <f>N22-18.01057-0.00055</f>
        <v>976.77228339999999</v>
      </c>
      <c r="P22" s="19">
        <f>M22+18.03437-0.00055</f>
        <v>1011.8099487999999</v>
      </c>
      <c r="Q22" s="19">
        <f>M22+22.98977-0.00055</f>
        <v>1016.7653488</v>
      </c>
      <c r="R22" s="19">
        <f>M22+38.96371-0.00055</f>
        <v>1032.7392887999999</v>
      </c>
      <c r="S22" s="19">
        <f>M22+7.01601-0.00055</f>
        <v>1000.7915888</v>
      </c>
      <c r="T22" s="46">
        <f>M22-1.0078246+0.00055</f>
        <v>992.76885419999985</v>
      </c>
      <c r="U22" s="19">
        <f>M22+44.99767+0.00055</f>
        <v>1038.7743487999999</v>
      </c>
      <c r="V22" s="19">
        <f>M22+59.01332+0.00055</f>
        <v>1052.7899987999999</v>
      </c>
      <c r="W22" s="62"/>
      <c r="X22" s="62"/>
      <c r="Y22" s="62"/>
      <c r="Z22" s="62"/>
    </row>
    <row r="23" spans="1:26" x14ac:dyDescent="0.25">
      <c r="A23" s="17" t="s">
        <v>701</v>
      </c>
      <c r="B23" s="17" t="str">
        <f>IF(ISNUMBER(SEARCH("(",A23)),IF(ISNUMBER(SEARCH("/",A23)),CONCATENATE(MID(A23,1,2)," ",(SUM(MID(A23,FIND("(",A23)+1,FIND(":",A23)-FIND("(",A23)-1),MID(A23,FIND("/",A23)+1,FIND(":",A23,FIND("/",A23))-FIND("/",A23)-1))),":",SUM(MID(A23,FIND(":",A23)+1,FIND("/",A23)-FIND(":",A23)-1),MID(A23,FIND(":",A23,FIND("/",A23))+1,FIND(")",A23)-FIND(":",A23,FIND("/",A23))-1)),MID(A23,(FIND(")",A23)+1),100)),CONCATENATE(MID(A23,1,2)," ",(SUM(MID(A23,FIND("(",A23)+1,FIND(":",A23)-FIND("(",A23)-1),MID(A23,FIND("_",A23)+1,FIND(":",A23,FIND("_",A23))-FIND("_",A23)-1))),":",SUM(MID(A23,FIND(":",A23)+1,FIND("_",A23)-FIND(":",A23)-1),MID(A23,FIND(":",A23,FIND("_",A23))+1,FIND(")",A23)-FIND(":",A23,FIND("_",A23))-1)),MID(A23,(FIND(")",A23)+1),100))),A23)</f>
        <v>AcylPE 53:2</v>
      </c>
      <c r="C23" s="1" t="str">
        <f>MID(B23,8,FIND(":",B23)-FIND(" ",B23)-1)</f>
        <v>53</v>
      </c>
      <c r="D23" s="1" t="str">
        <f>IF(ISNUMBER(SEARCH("__",B23)),MID(B23,FIND(":",B23)+1,FIND("__",B23)-FIND(":",B23)-1),MID(B23,FIND(":",B23)+1,7))</f>
        <v>2</v>
      </c>
      <c r="E23" s="17" t="str">
        <f>MID(A23,9,1)</f>
        <v>3</v>
      </c>
      <c r="G23" s="17">
        <f t="shared" si="7"/>
        <v>58</v>
      </c>
      <c r="H23" s="17">
        <f>(-2)+2*G23-(2*D23)-((LEN(A23)-LEN(SUBSTITUTE(A23,"_O_","")))/LEN("_O_"))*2-((LEN(A23)-LEN(SUBSTITUTE(A23,"_CHO_","")))/LEN("_CHO_"))*2-((LEN(A23)-LEN(SUBSTITUTE(A23,"_COOH_","")))/LEN("_COOH_"))*2</f>
        <v>110</v>
      </c>
      <c r="I23" s="17">
        <v>1</v>
      </c>
      <c r="J23" s="17">
        <f>9+((LEN(A23)-LEN(SUBSTITUTE(A23,"_OH_","")))/LEN("_OH_"))*1+((LEN(A23)-LEN(SUBSTITUTE(A23,"_OOH_","")))/LEN("_OOH_"))*2+((LEN(A23)-LEN(SUBSTITUTE(A23,"_O_","")))/LEN("_O_"))*1+((LEN(A23)-LEN(SUBSTITUTE(A23,"_CHO_","")))/LEN("_CHO_"))*1+((LEN(A23)-LEN(SUBSTITUTE(A23,"_COOH_","")))/LEN("_COOH_"))*2</f>
        <v>9</v>
      </c>
      <c r="K23" s="17">
        <v>1</v>
      </c>
      <c r="L23" s="19" t="str">
        <f t="shared" si="10"/>
        <v>C58H110N1O9P1</v>
      </c>
      <c r="M23" s="19">
        <f t="shared" si="11"/>
        <v>995.79177799999991</v>
      </c>
      <c r="N23" s="19">
        <f>M23+1.0078246-0.00055</f>
        <v>996.79905259999998</v>
      </c>
      <c r="O23" s="19">
        <f>N23-18.01057-0.00055</f>
        <v>978.78793259999998</v>
      </c>
      <c r="P23" s="19">
        <f>M23+18.03437-0.00055</f>
        <v>1013.8255979999999</v>
      </c>
      <c r="Q23" s="19">
        <f>M23+22.98977-0.00055</f>
        <v>1018.780998</v>
      </c>
      <c r="R23" s="19">
        <f>M23+38.96371-0.00055</f>
        <v>1034.754938</v>
      </c>
      <c r="S23" s="19">
        <f>M23+7.01601-0.00055</f>
        <v>1002.807238</v>
      </c>
      <c r="T23" s="46">
        <f>M23-1.0078246+0.00055</f>
        <v>994.78450339999983</v>
      </c>
      <c r="U23" s="19">
        <f>M23+44.99767+0.00055</f>
        <v>1040.789998</v>
      </c>
      <c r="V23" s="19">
        <f>M23+59.01332+0.00055</f>
        <v>1054.8056479999998</v>
      </c>
      <c r="W23" s="62"/>
      <c r="X23" s="62"/>
      <c r="Y23" s="62"/>
      <c r="Z23" s="62"/>
    </row>
    <row r="24" spans="1:26" x14ac:dyDescent="0.25">
      <c r="A24" s="17" t="s">
        <v>702</v>
      </c>
      <c r="B24" s="17" t="str">
        <f>IF(ISNUMBER(SEARCH("(",A24)),IF(ISNUMBER(SEARCH("/",A24)),CONCATENATE(MID(A24,1,2)," ",(SUM(MID(A24,FIND("(",A24)+1,FIND(":",A24)-FIND("(",A24)-1),MID(A24,FIND("/",A24)+1,FIND(":",A24,FIND("/",A24))-FIND("/",A24)-1))),":",SUM(MID(A24,FIND(":",A24)+1,FIND("/",A24)-FIND(":",A24)-1),MID(A24,FIND(":",A24,FIND("/",A24))+1,FIND(")",A24)-FIND(":",A24,FIND("/",A24))-1)),MID(A24,(FIND(")",A24)+1),100)),CONCATENATE(MID(A24,1,2)," ",(SUM(MID(A24,FIND("(",A24)+1,FIND(":",A24)-FIND("(",A24)-1),MID(A24,FIND("_",A24)+1,FIND(":",A24,FIND("_",A24))-FIND("_",A24)-1))),":",SUM(MID(A24,FIND(":",A24)+1,FIND("_",A24)-FIND(":",A24)-1),MID(A24,FIND(":",A24,FIND("_",A24))+1,FIND(")",A24)-FIND(":",A24,FIND("_",A24))-1)),MID(A24,(FIND(")",A24)+1),100))),A24)</f>
        <v>AcylPE 53:1</v>
      </c>
      <c r="C24" s="1" t="str">
        <f>MID(B24,8,FIND(":",B24)-FIND(" ",B24)-1)</f>
        <v>53</v>
      </c>
      <c r="D24" s="1" t="str">
        <f>IF(ISNUMBER(SEARCH("__",B24)),MID(B24,FIND(":",B24)+1,FIND("__",B24)-FIND(":",B24)-1),MID(B24,FIND(":",B24)+1,7))</f>
        <v>1</v>
      </c>
      <c r="E24" s="17" t="str">
        <f>MID(A24,9,1)</f>
        <v>3</v>
      </c>
      <c r="G24" s="17">
        <f t="shared" si="7"/>
        <v>58</v>
      </c>
      <c r="H24" s="17">
        <f>(-2)+2*G24-(2*D24)-((LEN(A24)-LEN(SUBSTITUTE(A24,"_O_","")))/LEN("_O_"))*2-((LEN(A24)-LEN(SUBSTITUTE(A24,"_CHO_","")))/LEN("_CHO_"))*2-((LEN(A24)-LEN(SUBSTITUTE(A24,"_COOH_","")))/LEN("_COOH_"))*2</f>
        <v>112</v>
      </c>
      <c r="I24" s="17">
        <v>1</v>
      </c>
      <c r="J24" s="17">
        <f>9+((LEN(A24)-LEN(SUBSTITUTE(A24,"_OH_","")))/LEN("_OH_"))*1+((LEN(A24)-LEN(SUBSTITUTE(A24,"_OOH_","")))/LEN("_OOH_"))*2+((LEN(A24)-LEN(SUBSTITUTE(A24,"_O_","")))/LEN("_O_"))*1+((LEN(A24)-LEN(SUBSTITUTE(A24,"_CHO_","")))/LEN("_CHO_"))*1+((LEN(A24)-LEN(SUBSTITUTE(A24,"_COOH_","")))/LEN("_COOH_"))*2</f>
        <v>9</v>
      </c>
      <c r="K24" s="17">
        <v>1</v>
      </c>
      <c r="L24" s="19" t="str">
        <f t="shared" si="10"/>
        <v>C58H112N1O9P1</v>
      </c>
      <c r="M24" s="19">
        <f t="shared" si="11"/>
        <v>997.80742720000001</v>
      </c>
      <c r="N24" s="19">
        <f>M24+1.0078246-0.00055</f>
        <v>998.81470180000008</v>
      </c>
      <c r="O24" s="19">
        <f>N24-18.01057-0.00055</f>
        <v>980.80358180000007</v>
      </c>
      <c r="P24" s="19">
        <f>M24+18.03437-0.00055</f>
        <v>1015.8412472</v>
      </c>
      <c r="Q24" s="19">
        <f>M24+22.98977-0.00055</f>
        <v>1020.7966472000001</v>
      </c>
      <c r="R24" s="19">
        <f>M24+38.96371-0.00055</f>
        <v>1036.7705872000001</v>
      </c>
      <c r="S24" s="19">
        <f>M24+7.01601-0.00055</f>
        <v>1004.8228872000001</v>
      </c>
      <c r="T24" s="46">
        <f>M24-1.0078246+0.00055</f>
        <v>996.80015259999993</v>
      </c>
      <c r="U24" s="19">
        <f>M24+44.99767+0.00055</f>
        <v>1042.8056472000001</v>
      </c>
      <c r="V24" s="19">
        <f>M24+59.01332+0.00055</f>
        <v>1056.8212971999999</v>
      </c>
      <c r="W24" s="62"/>
      <c r="X24" s="62"/>
      <c r="Y24" s="62"/>
      <c r="Z24" s="62"/>
    </row>
    <row r="25" spans="1:26" x14ac:dyDescent="0.25">
      <c r="A25" s="17" t="s">
        <v>703</v>
      </c>
      <c r="B25" s="17" t="str">
        <f>IF(ISNUMBER(SEARCH("(",A25)),IF(ISNUMBER(SEARCH("/",A25)),CONCATENATE(MID(A25,1,2)," ",(SUM(MID(A25,FIND("(",A25)+1,FIND(":",A25)-FIND("(",A25)-1),MID(A25,FIND("/",A25)+1,FIND(":",A25,FIND("/",A25))-FIND("/",A25)-1))),":",SUM(MID(A25,FIND(":",A25)+1,FIND("/",A25)-FIND(":",A25)-1),MID(A25,FIND(":",A25,FIND("/",A25))+1,FIND(")",A25)-FIND(":",A25,FIND("/",A25))-1)),MID(A25,(FIND(")",A25)+1),100)),CONCATENATE(MID(A25,1,2)," ",(SUM(MID(A25,FIND("(",A25)+1,FIND(":",A25)-FIND("(",A25)-1),MID(A25,FIND("_",A25)+1,FIND(":",A25,FIND("_",A25))-FIND("_",A25)-1))),":",SUM(MID(A25,FIND(":",A25)+1,FIND("_",A25)-FIND(":",A25)-1),MID(A25,FIND(":",A25,FIND("_",A25))+1,FIND(")",A25)-FIND(":",A25,FIND("_",A25))-1)),MID(A25,(FIND(")",A25)+1),100))),A25)</f>
        <v>AcylPE 54:3</v>
      </c>
      <c r="C25" s="1" t="str">
        <f>MID(B25,8,FIND(":",B25)-FIND(" ",B25)-1)</f>
        <v>54</v>
      </c>
      <c r="D25" s="1" t="str">
        <f>IF(ISNUMBER(SEARCH("__",B25)),MID(B25,FIND(":",B25)+1,FIND("__",B25)-FIND(":",B25)-1),MID(B25,FIND(":",B25)+1,7))</f>
        <v>3</v>
      </c>
      <c r="E25" s="17" t="str">
        <f>MID(A25,9,1)</f>
        <v>4</v>
      </c>
      <c r="G25" s="17">
        <f t="shared" si="7"/>
        <v>59</v>
      </c>
      <c r="H25" s="17">
        <f>(-2)+2*G25-(2*D25)-((LEN(A25)-LEN(SUBSTITUTE(A25,"_O_","")))/LEN("_O_"))*2-((LEN(A25)-LEN(SUBSTITUTE(A25,"_CHO_","")))/LEN("_CHO_"))*2-((LEN(A25)-LEN(SUBSTITUTE(A25,"_COOH_","")))/LEN("_COOH_"))*2</f>
        <v>110</v>
      </c>
      <c r="I25" s="17">
        <v>1</v>
      </c>
      <c r="J25" s="17">
        <f>9+((LEN(A25)-LEN(SUBSTITUTE(A25,"_OH_","")))/LEN("_OH_"))*1+((LEN(A25)-LEN(SUBSTITUTE(A25,"_OOH_","")))/LEN("_OOH_"))*2+((LEN(A25)-LEN(SUBSTITUTE(A25,"_O_","")))/LEN("_O_"))*1+((LEN(A25)-LEN(SUBSTITUTE(A25,"_CHO_","")))/LEN("_CHO_"))*1+((LEN(A25)-LEN(SUBSTITUTE(A25,"_COOH_","")))/LEN("_COOH_"))*2</f>
        <v>9</v>
      </c>
      <c r="K25" s="17">
        <v>1</v>
      </c>
      <c r="L25" s="19" t="str">
        <f t="shared" si="10"/>
        <v>C59H110N1O9P1</v>
      </c>
      <c r="M25" s="19">
        <f t="shared" si="11"/>
        <v>1007.7917779999999</v>
      </c>
      <c r="N25" s="19">
        <f>M25+1.0078246-0.00055</f>
        <v>1008.7990526</v>
      </c>
      <c r="O25" s="19">
        <f>N25-18.01057-0.00055</f>
        <v>990.78793259999998</v>
      </c>
      <c r="P25" s="19">
        <f>M25+18.03437-0.00055</f>
        <v>1025.8255979999999</v>
      </c>
      <c r="Q25" s="19">
        <f>M25+22.98977-0.00055</f>
        <v>1030.780998</v>
      </c>
      <c r="R25" s="19">
        <f>M25+38.96371-0.00055</f>
        <v>1046.754938</v>
      </c>
      <c r="S25" s="19">
        <f>M25+7.01601-0.00055</f>
        <v>1014.807238</v>
      </c>
      <c r="T25" s="46">
        <f>M25-1.0078246+0.00055</f>
        <v>1006.7845033999998</v>
      </c>
      <c r="U25" s="19">
        <f>M25+44.99767+0.00055</f>
        <v>1052.789998</v>
      </c>
      <c r="V25" s="19">
        <f>M25+59.01332+0.00055</f>
        <v>1066.8056479999998</v>
      </c>
      <c r="W25" s="62"/>
      <c r="X25" s="62"/>
      <c r="Y25" s="62"/>
      <c r="Z25" s="62"/>
    </row>
    <row r="26" spans="1:26" x14ac:dyDescent="0.25">
      <c r="A26" s="17" t="s">
        <v>704</v>
      </c>
      <c r="B26" s="17" t="str">
        <f>IF(ISNUMBER(SEARCH("(",A26)),IF(ISNUMBER(SEARCH("/",A26)),CONCATENATE(MID(A26,1,2)," ",(SUM(MID(A26,FIND("(",A26)+1,FIND(":",A26)-FIND("(",A26)-1),MID(A26,FIND("/",A26)+1,FIND(":",A26,FIND("/",A26))-FIND("/",A26)-1))),":",SUM(MID(A26,FIND(":",A26)+1,FIND("/",A26)-FIND(":",A26)-1),MID(A26,FIND(":",A26,FIND("/",A26))+1,FIND(")",A26)-FIND(":",A26,FIND("/",A26))-1)),MID(A26,(FIND(")",A26)+1),100)),CONCATENATE(MID(A26,1,2)," ",(SUM(MID(A26,FIND("(",A26)+1,FIND(":",A26)-FIND("(",A26)-1),MID(A26,FIND("_",A26)+1,FIND(":",A26,FIND("_",A26))-FIND("_",A26)-1))),":",SUM(MID(A26,FIND(":",A26)+1,FIND("_",A26)-FIND(":",A26)-1),MID(A26,FIND(":",A26,FIND("_",A26))+1,FIND(")",A26)-FIND(":",A26,FIND("_",A26))-1)),MID(A26,(FIND(")",A26)+1),100))),A26)</f>
        <v>AcylPE 54:2</v>
      </c>
      <c r="C26" s="1" t="str">
        <f>MID(B26,8,FIND(":",B26)-FIND(" ",B26)-1)</f>
        <v>54</v>
      </c>
      <c r="D26" s="1" t="str">
        <f>IF(ISNUMBER(SEARCH("__",B26)),MID(B26,FIND(":",B26)+1,FIND("__",B26)-FIND(":",B26)-1),MID(B26,FIND(":",B26)+1,7))</f>
        <v>2</v>
      </c>
      <c r="E26" s="17" t="str">
        <f>MID(A26,9,1)</f>
        <v>4</v>
      </c>
      <c r="G26" s="17">
        <f t="shared" si="7"/>
        <v>59</v>
      </c>
      <c r="H26" s="17">
        <f>(-2)+2*G26-(2*D26)-((LEN(A26)-LEN(SUBSTITUTE(A26,"_O_","")))/LEN("_O_"))*2-((LEN(A26)-LEN(SUBSTITUTE(A26,"_CHO_","")))/LEN("_CHO_"))*2-((LEN(A26)-LEN(SUBSTITUTE(A26,"_COOH_","")))/LEN("_COOH_"))*2</f>
        <v>112</v>
      </c>
      <c r="I26" s="17">
        <v>1</v>
      </c>
      <c r="J26" s="17">
        <f>9+((LEN(A26)-LEN(SUBSTITUTE(A26,"_OH_","")))/LEN("_OH_"))*1+((LEN(A26)-LEN(SUBSTITUTE(A26,"_OOH_","")))/LEN("_OOH_"))*2+((LEN(A26)-LEN(SUBSTITUTE(A26,"_O_","")))/LEN("_O_"))*1+((LEN(A26)-LEN(SUBSTITUTE(A26,"_CHO_","")))/LEN("_CHO_"))*1+((LEN(A26)-LEN(SUBSTITUTE(A26,"_COOH_","")))/LEN("_COOH_"))*2</f>
        <v>9</v>
      </c>
      <c r="K26" s="17">
        <v>1</v>
      </c>
      <c r="L26" s="19" t="str">
        <f t="shared" si="10"/>
        <v>C59H112N1O9P1</v>
      </c>
      <c r="M26" s="19">
        <f t="shared" si="11"/>
        <v>1009.8074272</v>
      </c>
      <c r="N26" s="19">
        <f>M26+1.0078246-0.00055</f>
        <v>1010.8147018000001</v>
      </c>
      <c r="O26" s="19">
        <f>N26-18.01057-0.00055</f>
        <v>992.80358180000007</v>
      </c>
      <c r="P26" s="19">
        <f>M26+18.03437-0.00055</f>
        <v>1027.8412472</v>
      </c>
      <c r="Q26" s="19">
        <f>M26+22.98977-0.00055</f>
        <v>1032.7966472000001</v>
      </c>
      <c r="R26" s="19">
        <f>M26+38.96371-0.00055</f>
        <v>1048.7705872000001</v>
      </c>
      <c r="S26" s="19">
        <f>M26+7.01601-0.00055</f>
        <v>1016.8228872000001</v>
      </c>
      <c r="T26" s="46">
        <f>M26-1.0078246+0.00055</f>
        <v>1008.8001525999999</v>
      </c>
      <c r="U26" s="19">
        <f>M26+44.99767+0.00055</f>
        <v>1054.8056472000001</v>
      </c>
      <c r="V26" s="19">
        <f>M26+59.01332+0.00055</f>
        <v>1068.8212971999999</v>
      </c>
      <c r="W26" s="62"/>
      <c r="X26" s="62"/>
      <c r="Y26" s="62"/>
      <c r="Z26" s="62"/>
    </row>
    <row r="27" spans="1:26" x14ac:dyDescent="0.25">
      <c r="A27" s="17" t="s">
        <v>705</v>
      </c>
      <c r="B27" s="17" t="str">
        <f>IF(ISNUMBER(SEARCH("(",A27)),IF(ISNUMBER(SEARCH("/",A27)),CONCATENATE(MID(A27,1,2)," ",(SUM(MID(A27,FIND("(",A27)+1,FIND(":",A27)-FIND("(",A27)-1),MID(A27,FIND("/",A27)+1,FIND(":",A27,FIND("/",A27))-FIND("/",A27)-1))),":",SUM(MID(A27,FIND(":",A27)+1,FIND("/",A27)-FIND(":",A27)-1),MID(A27,FIND(":",A27,FIND("/",A27))+1,FIND(")",A27)-FIND(":",A27,FIND("/",A27))-1)),MID(A27,(FIND(")",A27)+1),100)),CONCATENATE(MID(A27,1,2)," ",(SUM(MID(A27,FIND("(",A27)+1,FIND(":",A27)-FIND("(",A27)-1),MID(A27,FIND("_",A27)+1,FIND(":",A27,FIND("_",A27))-FIND("_",A27)-1))),":",SUM(MID(A27,FIND(":",A27)+1,FIND("_",A27)-FIND(":",A27)-1),MID(A27,FIND(":",A27,FIND("_",A27))+1,FIND(")",A27)-FIND(":",A27,FIND("_",A27))-1)),MID(A27,(FIND(")",A27)+1),100))),A27)</f>
        <v>AcylPE 54:1</v>
      </c>
      <c r="C27" s="1" t="str">
        <f>MID(B27,8,FIND(":",B27)-FIND(" ",B27)-1)</f>
        <v>54</v>
      </c>
      <c r="D27" s="1" t="str">
        <f>IF(ISNUMBER(SEARCH("__",B27)),MID(B27,FIND(":",B27)+1,FIND("__",B27)-FIND(":",B27)-1),MID(B27,FIND(":",B27)+1,7))</f>
        <v>1</v>
      </c>
      <c r="E27" s="17" t="str">
        <f>MID(A27,9,1)</f>
        <v>4</v>
      </c>
      <c r="G27" s="17">
        <f t="shared" si="7"/>
        <v>59</v>
      </c>
      <c r="H27" s="17">
        <f>(-2)+2*G27-(2*D27)-((LEN(A27)-LEN(SUBSTITUTE(A27,"_O_","")))/LEN("_O_"))*2-((LEN(A27)-LEN(SUBSTITUTE(A27,"_CHO_","")))/LEN("_CHO_"))*2-((LEN(A27)-LEN(SUBSTITUTE(A27,"_COOH_","")))/LEN("_COOH_"))*2</f>
        <v>114</v>
      </c>
      <c r="I27" s="17">
        <v>1</v>
      </c>
      <c r="J27" s="17">
        <f>9+((LEN(A27)-LEN(SUBSTITUTE(A27,"_OH_","")))/LEN("_OH_"))*1+((LEN(A27)-LEN(SUBSTITUTE(A27,"_OOH_","")))/LEN("_OOH_"))*2+((LEN(A27)-LEN(SUBSTITUTE(A27,"_O_","")))/LEN("_O_"))*1+((LEN(A27)-LEN(SUBSTITUTE(A27,"_CHO_","")))/LEN("_CHO_"))*1+((LEN(A27)-LEN(SUBSTITUTE(A27,"_COOH_","")))/LEN("_COOH_"))*2</f>
        <v>9</v>
      </c>
      <c r="K27" s="17">
        <v>1</v>
      </c>
      <c r="L27" s="19" t="str">
        <f t="shared" si="10"/>
        <v>C59H114N1O9P1</v>
      </c>
      <c r="M27" s="19">
        <f t="shared" si="11"/>
        <v>1011.8230764</v>
      </c>
      <c r="N27" s="19">
        <f>M27+1.0078246-0.00055</f>
        <v>1012.8303510000001</v>
      </c>
      <c r="O27" s="19">
        <f>N27-18.01057-0.00055</f>
        <v>994.81923100000006</v>
      </c>
      <c r="P27" s="19">
        <f>M27+18.03437-0.00055</f>
        <v>1029.8568964000001</v>
      </c>
      <c r="Q27" s="19">
        <f>M27+22.98977-0.00055</f>
        <v>1034.8122963999999</v>
      </c>
      <c r="R27" s="19">
        <f>M27+38.96371-0.00055</f>
        <v>1050.7862364</v>
      </c>
      <c r="S27" s="19">
        <f>M27+7.01601-0.00055</f>
        <v>1018.8385364000001</v>
      </c>
      <c r="T27" s="46">
        <f>M27-1.0078246+0.00055</f>
        <v>1010.8158017999999</v>
      </c>
      <c r="U27" s="19">
        <f>M27+44.99767+0.00055</f>
        <v>1056.8212963999999</v>
      </c>
      <c r="V27" s="19">
        <f>M27+59.01332+0.00055</f>
        <v>1070.8369464</v>
      </c>
      <c r="W27" s="62"/>
      <c r="X27" s="62"/>
      <c r="Y27" s="62"/>
      <c r="Z27" s="62"/>
    </row>
    <row r="28" spans="1:26" x14ac:dyDescent="0.25">
      <c r="C28" s="1"/>
      <c r="D28" s="1"/>
    </row>
    <row r="29" spans="1:26" x14ac:dyDescent="0.25">
      <c r="C29" s="1"/>
      <c r="D29" s="1"/>
    </row>
    <row r="30" spans="1:26" x14ac:dyDescent="0.25">
      <c r="C30" s="1"/>
      <c r="D30" s="1"/>
    </row>
    <row r="31" spans="1:26" x14ac:dyDescent="0.25">
      <c r="C31" s="1"/>
      <c r="D31" s="1"/>
    </row>
    <row r="32" spans="1:26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"/>
  <dimension ref="A1:V54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sqref="A1:A1048576"/>
    </sheetView>
  </sheetViews>
  <sheetFormatPr defaultColWidth="9.140625" defaultRowHeight="15.75" x14ac:dyDescent="0.25"/>
  <cols>
    <col min="1" max="1" width="22.85546875" style="17" customWidth="1"/>
    <col min="2" max="2" width="0.42578125" style="17" customWidth="1"/>
    <col min="3" max="3" width="3.85546875" style="17" hidden="1" customWidth="1"/>
    <col min="4" max="5" width="2.5703125" style="17" hidden="1" customWidth="1"/>
    <col min="6" max="6" width="9.140625" style="17" hidden="1" customWidth="1"/>
    <col min="7" max="8" width="10.85546875" style="17" hidden="1" customWidth="1"/>
    <col min="9" max="11" width="9.5703125" style="17" hidden="1" customWidth="1"/>
    <col min="12" max="12" width="18.7109375" style="19" bestFit="1" customWidth="1"/>
    <col min="13" max="13" width="15.85546875" style="19" bestFit="1" customWidth="1"/>
    <col min="14" max="19" width="16.7109375" style="19" customWidth="1"/>
    <col min="20" max="20" width="16.7109375" style="46" customWidth="1"/>
    <col min="21" max="22" width="16.7109375" style="19" customWidth="1"/>
  </cols>
  <sheetData>
    <row r="1" spans="1:22" s="28" customFormat="1" x14ac:dyDescent="0.25">
      <c r="A1" s="27" t="s">
        <v>74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8</v>
      </c>
      <c r="J1" s="27" t="s">
        <v>2</v>
      </c>
      <c r="K1" s="27" t="s">
        <v>9</v>
      </c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44" t="s">
        <v>12</v>
      </c>
      <c r="U1" s="29" t="s">
        <v>10</v>
      </c>
      <c r="V1" s="29" t="s">
        <v>11</v>
      </c>
    </row>
    <row r="2" spans="1:22" hidden="1" x14ac:dyDescent="0.25">
      <c r="A2" s="17" t="s">
        <v>108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PE 19:2</v>
      </c>
      <c r="C2" s="1" t="str">
        <f>MID(B2,4,FIND(":",B2)-FIND(" ",B2)-1)</f>
        <v>19</v>
      </c>
      <c r="D2" s="1" t="str">
        <f>IF(ISNUMBER(SEARCH("__",B2)),MID(B2,FIND(":",B2)+1,FIND("__",B2)-FIND(":",B2)-1),MID(B2,FIND(":",B2)+1,7))</f>
        <v>2</v>
      </c>
      <c r="E2" s="17" t="str">
        <f t="shared" ref="E2" si="0">MID(A2,5,1)</f>
        <v>9</v>
      </c>
      <c r="G2" s="17">
        <f t="shared" ref="G2" si="1">C2+5</f>
        <v>24</v>
      </c>
      <c r="H2" s="17">
        <f>2*G2-(2*D2)-((LEN(A2)-LEN(SUBSTITUTE(A2,"_O_","")))/LEN("_O_"))*2-((LEN(A2)-LEN(SUBSTITUTE(A2,"_CHO_","")))/LEN("_CHO_"))*2-((LEN(A2)-LEN(SUBSTITUTE(A2,"_COOH_","")))/LEN("_COOH_"))*2</f>
        <v>44</v>
      </c>
      <c r="I2" s="17">
        <v>1</v>
      </c>
      <c r="J2" s="17">
        <f>8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8</v>
      </c>
      <c r="K2" s="17">
        <v>1</v>
      </c>
      <c r="L2" s="19" t="str">
        <f t="shared" ref="L2" si="2">CONCATENATE("C",G2,"H",H2,"N",I2,"O",J2,"P",K2)</f>
        <v>C24H44N1O8P1</v>
      </c>
      <c r="M2" s="19">
        <f t="shared" ref="M2" si="3">(G2*12)+(H2*1.0078246)+(I2*14.003074)+(J2*15.994915)+(K2*30.973763)</f>
        <v>505.28043940000003</v>
      </c>
      <c r="N2" s="19">
        <f>M2+1.0078246-0.00055</f>
        <v>506.28771400000005</v>
      </c>
      <c r="O2" s="19">
        <f>N2-18.01057-0.00055</f>
        <v>488.27659400000005</v>
      </c>
      <c r="P2" s="19">
        <f>M2+18.03437-0.00055</f>
        <v>523.31425940000008</v>
      </c>
      <c r="Q2" s="19">
        <f>M2+22.98977-0.00055</f>
        <v>528.26965940000002</v>
      </c>
      <c r="R2" s="19">
        <f>M2+38.96371-0.00055</f>
        <v>544.24359940000011</v>
      </c>
      <c r="S2" s="19">
        <f>M2+7.01601-0.00055</f>
        <v>512.29589940000005</v>
      </c>
      <c r="T2" s="46">
        <f>M2-1.0078246+0.00055</f>
        <v>504.27316480000002</v>
      </c>
      <c r="U2" s="19">
        <f>M2+44.99767+0.00055</f>
        <v>550.27865940000004</v>
      </c>
      <c r="V2" s="19">
        <f>M2+59.01332+0.00055</f>
        <v>564.29430939999997</v>
      </c>
    </row>
    <row r="3" spans="1:22" x14ac:dyDescent="0.25">
      <c r="A3" s="17" t="s">
        <v>124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PE 36:2__CHO__</v>
      </c>
      <c r="C3" s="1" t="str">
        <f>MID(B3,4,FIND(":",B3)-FIND(" ",B3)-1)</f>
        <v>36</v>
      </c>
      <c r="D3" s="1" t="str">
        <f>IF(ISNUMBER(SEARCH("__",B3)),MID(B3,FIND(":",B3)+1,FIND("__",B3)-FIND(":",B3)-1),MID(B3,FIND(":",B3)+1,7))</f>
        <v>2</v>
      </c>
      <c r="E3" s="17" t="str">
        <f t="shared" ref="E3" si="4">MID(A3,5,1)</f>
        <v>8</v>
      </c>
      <c r="G3" s="17">
        <f t="shared" ref="G3" si="5">C3+5</f>
        <v>41</v>
      </c>
      <c r="H3" s="17">
        <f>2*G3-(2*D3)-((LEN(A3)-LEN(SUBSTITUTE(A3,"_O_","")))/LEN("_O_"))*2-((LEN(A3)-LEN(SUBSTITUTE(A3,"_CHO_","")))/LEN("_CHO_"))*2-((LEN(A3)-LEN(SUBSTITUTE(A3,"_COOH_","")))/LEN("_COOH_"))*2</f>
        <v>76</v>
      </c>
      <c r="I3" s="17">
        <v>1</v>
      </c>
      <c r="J3" s="17">
        <f>8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9</v>
      </c>
      <c r="K3" s="17">
        <v>1</v>
      </c>
      <c r="L3" s="19" t="str">
        <f t="shared" ref="L3" si="6">CONCATENATE("C",G3,"H",H3,"N",I3,"O",J3,"P",K3)</f>
        <v>C41H76N1O9P1</v>
      </c>
      <c r="M3" s="19">
        <f t="shared" ref="M3" si="7">(G3*12)+(H3*1.0078246)+(I3*14.003074)+(J3*15.994915)+(K3*30.973763)</f>
        <v>757.52574159999995</v>
      </c>
      <c r="N3" s="19">
        <f>M3+1.0078246-0.00055</f>
        <v>758.53301620000002</v>
      </c>
      <c r="O3" s="19">
        <f>N3-18.01057-0.00055</f>
        <v>740.52189620000001</v>
      </c>
      <c r="P3" s="19">
        <f>M3+18.03437-0.00055</f>
        <v>775.55956159999994</v>
      </c>
      <c r="Q3" s="19">
        <f>M3+22.98977-0.00055</f>
        <v>780.51496159999999</v>
      </c>
      <c r="R3" s="19">
        <f>M3+38.96371-0.00055</f>
        <v>796.48890159999996</v>
      </c>
      <c r="S3" s="19">
        <f>M3+7.01601-0.00055</f>
        <v>764.54120160000002</v>
      </c>
      <c r="T3" s="46">
        <f>M3-1.0078246+0.00055</f>
        <v>756.51846699999987</v>
      </c>
      <c r="U3" s="19">
        <f>M3+44.99767+0.00055</f>
        <v>802.52396159999989</v>
      </c>
      <c r="V3" s="19">
        <f>M3+59.01332+0.00055</f>
        <v>816.53961159999994</v>
      </c>
    </row>
    <row r="4" spans="1:22" x14ac:dyDescent="0.25">
      <c r="A4" s="17" t="s">
        <v>117</v>
      </c>
      <c r="B4" s="17" t="str">
        <f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PE 34:1</v>
      </c>
      <c r="C4" s="1" t="str">
        <f>MID(B4,4,FIND(":",B4)-FIND(" ",B4)-1)</f>
        <v>34</v>
      </c>
      <c r="D4" s="1" t="str">
        <f>IF(ISNUMBER(SEARCH("__",B4)),MID(B4,FIND(":",B4)+1,FIND("__",B4)-FIND(":",B4)-1),MID(B4,FIND(":",B4)+1,7))</f>
        <v>1</v>
      </c>
      <c r="E4" s="17" t="str">
        <f t="shared" ref="E4" si="8">MID(A4,5,1)</f>
        <v>6</v>
      </c>
      <c r="G4" s="17">
        <f t="shared" ref="G4" si="9">C4+5</f>
        <v>39</v>
      </c>
      <c r="H4" s="17">
        <f>2*G4-(2*D4)-((LEN(A4)-LEN(SUBSTITUTE(A4,"_O_","")))/LEN("_O_"))*2-((LEN(A4)-LEN(SUBSTITUTE(A4,"_CHO_","")))/LEN("_CHO_"))*2-((LEN(A4)-LEN(SUBSTITUTE(A4,"_COOH_","")))/LEN("_COOH_"))*2</f>
        <v>76</v>
      </c>
      <c r="I4" s="17">
        <v>1</v>
      </c>
      <c r="J4" s="17">
        <f>8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8</v>
      </c>
      <c r="K4" s="17">
        <v>1</v>
      </c>
      <c r="L4" s="19" t="str">
        <f t="shared" ref="L4" si="10">CONCATENATE("C",G4,"H",H4,"N",I4,"O",J4,"P",K4)</f>
        <v>C39H76N1O8P1</v>
      </c>
      <c r="M4" s="19">
        <f t="shared" ref="M4" si="11">(G4*12)+(H4*1.0078246)+(I4*14.003074)+(J4*15.994915)+(K4*30.973763)</f>
        <v>717.53082659999995</v>
      </c>
      <c r="N4" s="19">
        <f>M4+1.0078246-0.00055</f>
        <v>718.53810120000003</v>
      </c>
      <c r="O4" s="19">
        <f>N4-18.01057-0.00055</f>
        <v>700.52698120000002</v>
      </c>
      <c r="P4" s="19">
        <f>M4+18.03437-0.00055</f>
        <v>735.56464659999995</v>
      </c>
      <c r="Q4" s="19">
        <f>M4+22.98977-0.00055</f>
        <v>740.5200466</v>
      </c>
      <c r="R4" s="19">
        <f>M4+38.96371-0.00055</f>
        <v>756.49398659999997</v>
      </c>
      <c r="S4" s="19">
        <f>M4+7.01601-0.00055</f>
        <v>724.54628660000003</v>
      </c>
      <c r="T4" s="46">
        <f>M4-1.0078246+0.00055</f>
        <v>716.52355199999988</v>
      </c>
      <c r="U4" s="19">
        <f>M4+44.99767+0.00055</f>
        <v>762.5290465999999</v>
      </c>
      <c r="V4" s="19">
        <f>M4+59.01332+0.00055</f>
        <v>776.54469659999995</v>
      </c>
    </row>
    <row r="6" spans="1:22" x14ac:dyDescent="0.25">
      <c r="A6" s="17" t="s">
        <v>406</v>
      </c>
      <c r="B6" s="17" t="str">
        <f t="shared" ref="B6:B46" si="12"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PE 24:0</v>
      </c>
      <c r="C6" s="1" t="str">
        <f t="shared" ref="C6:C46" si="13">MID(B6,4,FIND(":",B6)-FIND(" ",B6)-1)</f>
        <v>24</v>
      </c>
      <c r="D6" s="1" t="str">
        <f t="shared" ref="D6:D46" si="14">IF(ISNUMBER(SEARCH("__",B6)),MID(B6,FIND(":",B6)+1,FIND("__",B6)-FIND(":",B6)-1),MID(B6,FIND(":",B6)+1,7))</f>
        <v>0</v>
      </c>
      <c r="E6" s="17" t="str">
        <f t="shared" ref="E6:E46" si="15">MID(A6,5,1)</f>
        <v>4</v>
      </c>
      <c r="G6" s="17">
        <f t="shared" ref="G6:G46" si="16">C6+5</f>
        <v>29</v>
      </c>
      <c r="H6" s="17">
        <f t="shared" ref="H6:H46" si="17">2*G6-(2*D6)-((LEN(A6)-LEN(SUBSTITUTE(A6,"_O_","")))/LEN("_O_"))*2-((LEN(A6)-LEN(SUBSTITUTE(A6,"_CHO_","")))/LEN("_CHO_"))*2-((LEN(A6)-LEN(SUBSTITUTE(A6,"_COOH_","")))/LEN("_COOH_"))*2</f>
        <v>58</v>
      </c>
      <c r="I6" s="17">
        <v>1</v>
      </c>
      <c r="J6" s="17">
        <f t="shared" ref="J6:J46" si="18">8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8</v>
      </c>
      <c r="K6" s="17">
        <v>1</v>
      </c>
      <c r="L6" s="19" t="str">
        <f t="shared" ref="L6:L46" si="19">CONCATENATE("C",G6,"H",H6,"N",I6,"O",J6,"P",K6)</f>
        <v>C29H58N1O8P1</v>
      </c>
      <c r="M6" s="19">
        <f t="shared" ref="M6:M46" si="20">(G6*12)+(H6*1.0078246)+(I6*14.003074)+(J6*15.994915)+(K6*30.973763)</f>
        <v>579.38998379999998</v>
      </c>
      <c r="N6" s="19">
        <f t="shared" ref="N6:N46" si="21">M6+1.0078246-0.00055</f>
        <v>580.39725840000006</v>
      </c>
      <c r="O6" s="19">
        <f t="shared" ref="O6:O46" si="22">N6-18.01057-0.00055</f>
        <v>562.38613840000005</v>
      </c>
      <c r="P6" s="19">
        <f t="shared" ref="P6:P46" si="23">M6+18.03437-0.00055</f>
        <v>597.42380379999997</v>
      </c>
      <c r="Q6" s="19">
        <f t="shared" ref="Q6:Q46" si="24">M6+22.98977-0.00055</f>
        <v>602.37920380000003</v>
      </c>
      <c r="R6" s="19">
        <f t="shared" ref="R6:R46" si="25">M6+38.96371-0.00055</f>
        <v>618.3531438</v>
      </c>
      <c r="S6" s="19">
        <f t="shared" ref="S6:S46" si="26">M6+7.01601-0.00055</f>
        <v>586.40544380000006</v>
      </c>
      <c r="T6" s="46">
        <f t="shared" ref="T6:T46" si="27">M6-1.0078246+0.00055</f>
        <v>578.38270919999991</v>
      </c>
      <c r="U6" s="19">
        <f t="shared" ref="U6:U46" si="28">M6+44.99767+0.00055</f>
        <v>624.38820379999993</v>
      </c>
      <c r="V6" s="19">
        <f t="shared" ref="V6:V46" si="29">M6+59.01332+0.00055</f>
        <v>638.40385379999998</v>
      </c>
    </row>
    <row r="7" spans="1:22" x14ac:dyDescent="0.25">
      <c r="A7" s="17" t="s">
        <v>407</v>
      </c>
      <c r="B7" s="17" t="str">
        <f t="shared" si="12"/>
        <v>PE 25:0</v>
      </c>
      <c r="C7" s="1" t="str">
        <f t="shared" si="13"/>
        <v>25</v>
      </c>
      <c r="D7" s="1" t="str">
        <f t="shared" si="14"/>
        <v>0</v>
      </c>
      <c r="E7" s="17" t="str">
        <f t="shared" si="15"/>
        <v>5</v>
      </c>
      <c r="G7" s="17">
        <f t="shared" si="16"/>
        <v>30</v>
      </c>
      <c r="H7" s="17">
        <f t="shared" si="17"/>
        <v>60</v>
      </c>
      <c r="I7" s="17">
        <v>1</v>
      </c>
      <c r="J7" s="17">
        <f t="shared" si="18"/>
        <v>8</v>
      </c>
      <c r="K7" s="17">
        <v>1</v>
      </c>
      <c r="L7" s="19" t="str">
        <f t="shared" si="19"/>
        <v>C30H60N1O8P1</v>
      </c>
      <c r="M7" s="19">
        <f t="shared" si="20"/>
        <v>593.40563299999997</v>
      </c>
      <c r="N7" s="19">
        <f t="shared" si="21"/>
        <v>594.41290760000004</v>
      </c>
      <c r="O7" s="19">
        <f t="shared" si="22"/>
        <v>576.40178760000003</v>
      </c>
      <c r="P7" s="19">
        <f t="shared" si="23"/>
        <v>611.43945299999996</v>
      </c>
      <c r="Q7" s="19">
        <f t="shared" si="24"/>
        <v>616.39485300000001</v>
      </c>
      <c r="R7" s="19">
        <f t="shared" si="25"/>
        <v>632.36879299999998</v>
      </c>
      <c r="S7" s="19">
        <f t="shared" si="26"/>
        <v>600.42109300000004</v>
      </c>
      <c r="T7" s="46">
        <f t="shared" si="27"/>
        <v>592.39835839999989</v>
      </c>
      <c r="U7" s="19">
        <f t="shared" si="28"/>
        <v>638.40385299999991</v>
      </c>
      <c r="V7" s="19">
        <f t="shared" si="29"/>
        <v>652.41950299999996</v>
      </c>
    </row>
    <row r="8" spans="1:22" x14ac:dyDescent="0.25">
      <c r="A8" s="17" t="s">
        <v>408</v>
      </c>
      <c r="B8" s="17" t="str">
        <f t="shared" si="12"/>
        <v>PE 26:0</v>
      </c>
      <c r="C8" s="1" t="str">
        <f t="shared" si="13"/>
        <v>26</v>
      </c>
      <c r="D8" s="1" t="str">
        <f t="shared" si="14"/>
        <v>0</v>
      </c>
      <c r="E8" s="17" t="str">
        <f t="shared" si="15"/>
        <v>6</v>
      </c>
      <c r="G8" s="17">
        <f t="shared" si="16"/>
        <v>31</v>
      </c>
      <c r="H8" s="17">
        <f t="shared" si="17"/>
        <v>62</v>
      </c>
      <c r="I8" s="17">
        <v>1</v>
      </c>
      <c r="J8" s="17">
        <f t="shared" si="18"/>
        <v>8</v>
      </c>
      <c r="K8" s="17">
        <v>1</v>
      </c>
      <c r="L8" s="19" t="str">
        <f t="shared" si="19"/>
        <v>C31H62N1O8P1</v>
      </c>
      <c r="M8" s="19">
        <f t="shared" si="20"/>
        <v>607.42128219999995</v>
      </c>
      <c r="N8" s="19">
        <f t="shared" si="21"/>
        <v>608.42855680000002</v>
      </c>
      <c r="O8" s="19">
        <f t="shared" si="22"/>
        <v>590.41743680000002</v>
      </c>
      <c r="P8" s="19">
        <f t="shared" si="23"/>
        <v>625.45510219999994</v>
      </c>
      <c r="Q8" s="19">
        <f t="shared" si="24"/>
        <v>630.4105022</v>
      </c>
      <c r="R8" s="19">
        <f t="shared" si="25"/>
        <v>646.38444219999997</v>
      </c>
      <c r="S8" s="19">
        <f t="shared" si="26"/>
        <v>614.43674220000003</v>
      </c>
      <c r="T8" s="46">
        <f t="shared" si="27"/>
        <v>606.41400759999988</v>
      </c>
      <c r="U8" s="19">
        <f t="shared" si="28"/>
        <v>652.4195021999999</v>
      </c>
      <c r="V8" s="19">
        <f t="shared" si="29"/>
        <v>666.43515219999995</v>
      </c>
    </row>
    <row r="9" spans="1:22" x14ac:dyDescent="0.25">
      <c r="A9" s="17" t="s">
        <v>409</v>
      </c>
      <c r="B9" s="17" t="str">
        <f t="shared" si="12"/>
        <v>PE 27:0</v>
      </c>
      <c r="C9" s="1" t="str">
        <f t="shared" si="13"/>
        <v>27</v>
      </c>
      <c r="D9" s="1" t="str">
        <f t="shared" si="14"/>
        <v>0</v>
      </c>
      <c r="E9" s="17" t="str">
        <f t="shared" si="15"/>
        <v>7</v>
      </c>
      <c r="G9" s="17">
        <f t="shared" si="16"/>
        <v>32</v>
      </c>
      <c r="H9" s="17">
        <f t="shared" si="17"/>
        <v>64</v>
      </c>
      <c r="I9" s="17">
        <v>1</v>
      </c>
      <c r="J9" s="17">
        <f t="shared" si="18"/>
        <v>8</v>
      </c>
      <c r="K9" s="17">
        <v>1</v>
      </c>
      <c r="L9" s="19" t="str">
        <f t="shared" si="19"/>
        <v>C32H64N1O8P1</v>
      </c>
      <c r="M9" s="19">
        <f t="shared" si="20"/>
        <v>621.43693140000005</v>
      </c>
      <c r="N9" s="19">
        <f t="shared" si="21"/>
        <v>622.44420600000012</v>
      </c>
      <c r="O9" s="19">
        <f t="shared" si="22"/>
        <v>604.43308600000012</v>
      </c>
      <c r="P9" s="19">
        <f t="shared" si="23"/>
        <v>639.47075140000004</v>
      </c>
      <c r="Q9" s="19">
        <f t="shared" si="24"/>
        <v>644.42615140000009</v>
      </c>
      <c r="R9" s="19">
        <f t="shared" si="25"/>
        <v>660.40009140000006</v>
      </c>
      <c r="S9" s="19">
        <f t="shared" si="26"/>
        <v>628.45239140000012</v>
      </c>
      <c r="T9" s="46">
        <f t="shared" si="27"/>
        <v>620.42965679999998</v>
      </c>
      <c r="U9" s="19">
        <f t="shared" si="28"/>
        <v>666.4351514</v>
      </c>
      <c r="V9" s="19">
        <f t="shared" si="29"/>
        <v>680.45080140000005</v>
      </c>
    </row>
    <row r="10" spans="1:22" x14ac:dyDescent="0.25">
      <c r="A10" s="17" t="s">
        <v>501</v>
      </c>
      <c r="B10" s="17" t="str">
        <f>IF(ISNUMBER(SEARCH("(",A10)),IF(ISNUMBER(SEARCH("/",A10)),CONCATENATE(MID(A10,1,2)," ",(SUM(MID(A10,FIND("(",A10)+1,FIND(":",A10)-FIND("(",A10)-1),MID(A10,FIND("/",A10)+1,FIND(":",A10,FIND("/",A10))-FIND("/",A10)-1))),":",SUM(MID(A10,FIND(":",A10)+1,FIND("/",A10)-FIND(":",A10)-1),MID(A10,FIND(":",A10,FIND("/",A10))+1,FIND(")",A10)-FIND(":",A10,FIND("/",A10))-1)),MID(A10,(FIND(")",A10)+1),100)),CONCATENATE(MID(A10,1,2)," ",(SUM(MID(A10,FIND("(",A10)+1,FIND(":",A10)-FIND("(",A10)-1),MID(A10,FIND("_",A10)+1,FIND(":",A10,FIND("_",A10))-FIND("_",A10)-1))),":",SUM(MID(A10,FIND(":",A10)+1,FIND("_",A10)-FIND(":",A10)-1),MID(A10,FIND(":",A10,FIND("_",A10))+1,FIND(")",A10)-FIND(":",A10,FIND("_",A10))-1)),MID(A10,(FIND(")",A10)+1),100))),A10)</f>
        <v>PE 28:2</v>
      </c>
      <c r="C10" s="1" t="str">
        <f>MID(B10,4,FIND(":",B10)-FIND(" ",B10)-1)</f>
        <v>28</v>
      </c>
      <c r="D10" s="1" t="str">
        <f>IF(ISNUMBER(SEARCH("__",B10)),MID(B10,FIND(":",B10)+1,FIND("__",B10)-FIND(":",B10)-1),MID(B10,FIND(":",B10)+1,7))</f>
        <v>2</v>
      </c>
      <c r="E10" s="17" t="str">
        <f t="shared" si="15"/>
        <v>8</v>
      </c>
      <c r="G10" s="17">
        <f t="shared" si="16"/>
        <v>33</v>
      </c>
      <c r="H10" s="17">
        <f>2*G10-(2*D10)-((LEN(A10)-LEN(SUBSTITUTE(A10,"_O_","")))/LEN("_O_"))*2-((LEN(A10)-LEN(SUBSTITUTE(A10,"_CHO_","")))/LEN("_CHO_"))*2-((LEN(A10)-LEN(SUBSTITUTE(A10,"_COOH_","")))/LEN("_COOH_"))*2</f>
        <v>62</v>
      </c>
      <c r="I10" s="17">
        <v>1</v>
      </c>
      <c r="J10" s="17">
        <f>8+((LEN(A10)-LEN(SUBSTITUTE(A10,"_OH_","")))/LEN("_OH_"))*1+((LEN(A10)-LEN(SUBSTITUTE(A10,"_OOH_","")))/LEN("_OOH_"))*2+((LEN(A10)-LEN(SUBSTITUTE(A10,"_O_","")))/LEN("_O_"))*1+((LEN(A10)-LEN(SUBSTITUTE(A10,"_CHO_","")))/LEN("_CHO_"))*1+((LEN(A10)-LEN(SUBSTITUTE(A10,"_COOH_","")))/LEN("_COOH_"))*2</f>
        <v>8</v>
      </c>
      <c r="K10" s="17">
        <v>1</v>
      </c>
      <c r="L10" s="19" t="str">
        <f t="shared" si="19"/>
        <v>C33H62N1O8P1</v>
      </c>
      <c r="M10" s="19">
        <f t="shared" si="20"/>
        <v>631.42128219999995</v>
      </c>
      <c r="N10" s="19">
        <f>M10+1.0078246-0.00055</f>
        <v>632.42855680000002</v>
      </c>
      <c r="O10" s="19">
        <f>N10-18.01057-0.00055</f>
        <v>614.41743680000002</v>
      </c>
      <c r="P10" s="19">
        <f>M10+18.03437-0.00055</f>
        <v>649.45510219999994</v>
      </c>
      <c r="Q10" s="19">
        <f>M10+22.98977-0.00055</f>
        <v>654.4105022</v>
      </c>
      <c r="R10" s="19">
        <f>M10+38.96371-0.00055</f>
        <v>670.38444219999997</v>
      </c>
      <c r="S10" s="19">
        <f>M10+7.01601-0.00055</f>
        <v>638.43674220000003</v>
      </c>
      <c r="T10" s="46">
        <f>M10-1.0078246+0.00055</f>
        <v>630.41400759999988</v>
      </c>
      <c r="U10" s="19">
        <f>M10+44.99767+0.00055</f>
        <v>676.4195021999999</v>
      </c>
      <c r="V10" s="19">
        <f>M10+59.01332+0.00055</f>
        <v>690.43515219999995</v>
      </c>
    </row>
    <row r="11" spans="1:22" x14ac:dyDescent="0.25">
      <c r="A11" s="17" t="s">
        <v>502</v>
      </c>
      <c r="B11" s="17" t="str">
        <f>IF(ISNUMBER(SEARCH("(",A11)),IF(ISNUMBER(SEARCH("/",A11)),CONCATENATE(MID(A11,1,2)," ",(SUM(MID(A11,FIND("(",A11)+1,FIND(":",A11)-FIND("(",A11)-1),MID(A11,FIND("/",A11)+1,FIND(":",A11,FIND("/",A11))-FIND("/",A11)-1))),":",SUM(MID(A11,FIND(":",A11)+1,FIND("/",A11)-FIND(":",A11)-1),MID(A11,FIND(":",A11,FIND("/",A11))+1,FIND(")",A11)-FIND(":",A11,FIND("/",A11))-1)),MID(A11,(FIND(")",A11)+1),100)),CONCATENATE(MID(A11,1,2)," ",(SUM(MID(A11,FIND("(",A11)+1,FIND(":",A11)-FIND("(",A11)-1),MID(A11,FIND("_",A11)+1,FIND(":",A11,FIND("_",A11))-FIND("_",A11)-1))),":",SUM(MID(A11,FIND(":",A11)+1,FIND("_",A11)-FIND(":",A11)-1),MID(A11,FIND(":",A11,FIND("_",A11))+1,FIND(")",A11)-FIND(":",A11,FIND("_",A11))-1)),MID(A11,(FIND(")",A11)+1),100))),A11)</f>
        <v>PE 28:1</v>
      </c>
      <c r="C11" s="1" t="str">
        <f>MID(B11,4,FIND(":",B11)-FIND(" ",B11)-1)</f>
        <v>28</v>
      </c>
      <c r="D11" s="1" t="str">
        <f>IF(ISNUMBER(SEARCH("__",B11)),MID(B11,FIND(":",B11)+1,FIND("__",B11)-FIND(":",B11)-1),MID(B11,FIND(":",B11)+1,7))</f>
        <v>1</v>
      </c>
      <c r="E11" s="17" t="str">
        <f t="shared" si="15"/>
        <v>8</v>
      </c>
      <c r="G11" s="17">
        <f t="shared" si="16"/>
        <v>33</v>
      </c>
      <c r="H11" s="17">
        <f>2*G11-(2*D11)-((LEN(A11)-LEN(SUBSTITUTE(A11,"_O_","")))/LEN("_O_"))*2-((LEN(A11)-LEN(SUBSTITUTE(A11,"_CHO_","")))/LEN("_CHO_"))*2-((LEN(A11)-LEN(SUBSTITUTE(A11,"_COOH_","")))/LEN("_COOH_"))*2</f>
        <v>64</v>
      </c>
      <c r="I11" s="17">
        <v>1</v>
      </c>
      <c r="J11" s="17">
        <f>8+((LEN(A11)-LEN(SUBSTITUTE(A11,"_OH_","")))/LEN("_OH_"))*1+((LEN(A11)-LEN(SUBSTITUTE(A11,"_OOH_","")))/LEN("_OOH_"))*2+((LEN(A11)-LEN(SUBSTITUTE(A11,"_O_","")))/LEN("_O_"))*1+((LEN(A11)-LEN(SUBSTITUTE(A11,"_CHO_","")))/LEN("_CHO_"))*1+((LEN(A11)-LEN(SUBSTITUTE(A11,"_COOH_","")))/LEN("_COOH_"))*2</f>
        <v>8</v>
      </c>
      <c r="K11" s="17">
        <v>1</v>
      </c>
      <c r="L11" s="19" t="str">
        <f t="shared" si="19"/>
        <v>C33H64N1O8P1</v>
      </c>
      <c r="M11" s="19">
        <f t="shared" si="20"/>
        <v>633.43693140000005</v>
      </c>
      <c r="N11" s="19">
        <f>M11+1.0078246-0.00055</f>
        <v>634.44420600000012</v>
      </c>
      <c r="O11" s="19">
        <f>N11-18.01057-0.00055</f>
        <v>616.43308600000012</v>
      </c>
      <c r="P11" s="19">
        <f>M11+18.03437-0.00055</f>
        <v>651.47075140000004</v>
      </c>
      <c r="Q11" s="19">
        <f>M11+22.98977-0.00055</f>
        <v>656.42615140000009</v>
      </c>
      <c r="R11" s="19">
        <f>M11+38.96371-0.00055</f>
        <v>672.40009140000006</v>
      </c>
      <c r="S11" s="19">
        <f>M11+7.01601-0.00055</f>
        <v>640.45239140000012</v>
      </c>
      <c r="T11" s="46">
        <f>M11-1.0078246+0.00055</f>
        <v>632.42965679999998</v>
      </c>
      <c r="U11" s="19">
        <f>M11+44.99767+0.00055</f>
        <v>678.4351514</v>
      </c>
      <c r="V11" s="19">
        <f>M11+59.01332+0.00055</f>
        <v>692.45080140000005</v>
      </c>
    </row>
    <row r="12" spans="1:22" x14ac:dyDescent="0.25">
      <c r="A12" s="17" t="s">
        <v>410</v>
      </c>
      <c r="B12" s="17" t="str">
        <f t="shared" si="12"/>
        <v>PE 28:0</v>
      </c>
      <c r="C12" s="1" t="str">
        <f t="shared" si="13"/>
        <v>28</v>
      </c>
      <c r="D12" s="1" t="str">
        <f t="shared" si="14"/>
        <v>0</v>
      </c>
      <c r="E12" s="17" t="str">
        <f t="shared" si="15"/>
        <v>8</v>
      </c>
      <c r="G12" s="17">
        <f t="shared" si="16"/>
        <v>33</v>
      </c>
      <c r="H12" s="17">
        <f t="shared" si="17"/>
        <v>66</v>
      </c>
      <c r="I12" s="17">
        <v>1</v>
      </c>
      <c r="J12" s="17">
        <f t="shared" si="18"/>
        <v>8</v>
      </c>
      <c r="K12" s="17">
        <v>1</v>
      </c>
      <c r="L12" s="19" t="str">
        <f t="shared" si="19"/>
        <v>C33H66N1O8P1</v>
      </c>
      <c r="M12" s="19">
        <f t="shared" si="20"/>
        <v>635.45258060000003</v>
      </c>
      <c r="N12" s="19">
        <f t="shared" si="21"/>
        <v>636.45985520000011</v>
      </c>
      <c r="O12" s="19">
        <f t="shared" si="22"/>
        <v>618.4487352000001</v>
      </c>
      <c r="P12" s="19">
        <f t="shared" si="23"/>
        <v>653.48640060000002</v>
      </c>
      <c r="Q12" s="19">
        <f t="shared" si="24"/>
        <v>658.44180060000008</v>
      </c>
      <c r="R12" s="19">
        <f t="shared" si="25"/>
        <v>674.41574060000005</v>
      </c>
      <c r="S12" s="19">
        <f t="shared" si="26"/>
        <v>642.46804060000011</v>
      </c>
      <c r="T12" s="46">
        <f t="shared" si="27"/>
        <v>634.44530599999996</v>
      </c>
      <c r="U12" s="19">
        <f t="shared" si="28"/>
        <v>680.45080059999998</v>
      </c>
      <c r="V12" s="19">
        <f t="shared" si="29"/>
        <v>694.46645060000003</v>
      </c>
    </row>
    <row r="13" spans="1:22" x14ac:dyDescent="0.25">
      <c r="A13" s="17" t="s">
        <v>503</v>
      </c>
      <c r="B13" s="17" t="str">
        <f>IF(ISNUMBER(SEARCH("(",A13)),IF(ISNUMBER(SEARCH("/",A13)),CONCATENATE(MID(A13,1,2)," ",(SUM(MID(A13,FIND("(",A13)+1,FIND(":",A13)-FIND("(",A13)-1),MID(A13,FIND("/",A13)+1,FIND(":",A13,FIND("/",A13))-FIND("/",A13)-1))),":",SUM(MID(A13,FIND(":",A13)+1,FIND("/",A13)-FIND(":",A13)-1),MID(A13,FIND(":",A13,FIND("/",A13))+1,FIND(")",A13)-FIND(":",A13,FIND("/",A13))-1)),MID(A13,(FIND(")",A13)+1),100)),CONCATENATE(MID(A13,1,2)," ",(SUM(MID(A13,FIND("(",A13)+1,FIND(":",A13)-FIND("(",A13)-1),MID(A13,FIND("_",A13)+1,FIND(":",A13,FIND("_",A13))-FIND("_",A13)-1))),":",SUM(MID(A13,FIND(":",A13)+1,FIND("_",A13)-FIND(":",A13)-1),MID(A13,FIND(":",A13,FIND("_",A13))+1,FIND(")",A13)-FIND(":",A13,FIND("_",A13))-1)),MID(A13,(FIND(")",A13)+1),100))),A13)</f>
        <v>PE 29:2</v>
      </c>
      <c r="C13" s="1" t="str">
        <f>MID(B13,4,FIND(":",B13)-FIND(" ",B13)-1)</f>
        <v>29</v>
      </c>
      <c r="D13" s="1" t="str">
        <f>IF(ISNUMBER(SEARCH("__",B13)),MID(B13,FIND(":",B13)+1,FIND("__",B13)-FIND(":",B13)-1),MID(B13,FIND(":",B13)+1,7))</f>
        <v>2</v>
      </c>
      <c r="E13" s="17" t="str">
        <f t="shared" si="15"/>
        <v>9</v>
      </c>
      <c r="G13" s="17">
        <f t="shared" si="16"/>
        <v>34</v>
      </c>
      <c r="H13" s="17">
        <f>2*G13-(2*D13)-((LEN(A13)-LEN(SUBSTITUTE(A13,"_O_","")))/LEN("_O_"))*2-((LEN(A13)-LEN(SUBSTITUTE(A13,"_CHO_","")))/LEN("_CHO_"))*2-((LEN(A13)-LEN(SUBSTITUTE(A13,"_COOH_","")))/LEN("_COOH_"))*2</f>
        <v>64</v>
      </c>
      <c r="I13" s="17">
        <v>1</v>
      </c>
      <c r="J13" s="17">
        <f>8+((LEN(A13)-LEN(SUBSTITUTE(A13,"_OH_","")))/LEN("_OH_"))*1+((LEN(A13)-LEN(SUBSTITUTE(A13,"_OOH_","")))/LEN("_OOH_"))*2+((LEN(A13)-LEN(SUBSTITUTE(A13,"_O_","")))/LEN("_O_"))*1+((LEN(A13)-LEN(SUBSTITUTE(A13,"_CHO_","")))/LEN("_CHO_"))*1+((LEN(A13)-LEN(SUBSTITUTE(A13,"_COOH_","")))/LEN("_COOH_"))*2</f>
        <v>8</v>
      </c>
      <c r="K13" s="17">
        <v>1</v>
      </c>
      <c r="L13" s="19" t="str">
        <f t="shared" si="19"/>
        <v>C34H64N1O8P1</v>
      </c>
      <c r="M13" s="19">
        <f t="shared" si="20"/>
        <v>645.43693140000005</v>
      </c>
      <c r="N13" s="19">
        <f>M13+1.0078246-0.00055</f>
        <v>646.44420600000012</v>
      </c>
      <c r="O13" s="19">
        <f>N13-18.01057-0.00055</f>
        <v>628.43308600000012</v>
      </c>
      <c r="P13" s="19">
        <f>M13+18.03437-0.00055</f>
        <v>663.47075140000004</v>
      </c>
      <c r="Q13" s="19">
        <f>M13+22.98977-0.00055</f>
        <v>668.42615140000009</v>
      </c>
      <c r="R13" s="19">
        <f>M13+38.96371-0.00055</f>
        <v>684.40009140000006</v>
      </c>
      <c r="S13" s="19">
        <f>M13+7.01601-0.00055</f>
        <v>652.45239140000012</v>
      </c>
      <c r="T13" s="46">
        <f>M13-1.0078246+0.00055</f>
        <v>644.42965679999998</v>
      </c>
      <c r="U13" s="19">
        <f>M13+44.99767+0.00055</f>
        <v>690.4351514</v>
      </c>
      <c r="V13" s="19">
        <f>M13+59.01332+0.00055</f>
        <v>704.45080140000005</v>
      </c>
    </row>
    <row r="14" spans="1:22" x14ac:dyDescent="0.25">
      <c r="A14" s="17" t="s">
        <v>504</v>
      </c>
      <c r="B14" s="17" t="str">
        <f>IF(ISNUMBER(SEARCH("(",A14)),IF(ISNUMBER(SEARCH("/",A14)),CONCATENATE(MID(A14,1,2)," ",(SUM(MID(A14,FIND("(",A14)+1,FIND(":",A14)-FIND("(",A14)-1),MID(A14,FIND("/",A14)+1,FIND(":",A14,FIND("/",A14))-FIND("/",A14)-1))),":",SUM(MID(A14,FIND(":",A14)+1,FIND("/",A14)-FIND(":",A14)-1),MID(A14,FIND(":",A14,FIND("/",A14))+1,FIND(")",A14)-FIND(":",A14,FIND("/",A14))-1)),MID(A14,(FIND(")",A14)+1),100)),CONCATENATE(MID(A14,1,2)," ",(SUM(MID(A14,FIND("(",A14)+1,FIND(":",A14)-FIND("(",A14)-1),MID(A14,FIND("_",A14)+1,FIND(":",A14,FIND("_",A14))-FIND("_",A14)-1))),":",SUM(MID(A14,FIND(":",A14)+1,FIND("_",A14)-FIND(":",A14)-1),MID(A14,FIND(":",A14,FIND("_",A14))+1,FIND(")",A14)-FIND(":",A14,FIND("_",A14))-1)),MID(A14,(FIND(")",A14)+1),100))),A14)</f>
        <v>PE 29:1</v>
      </c>
      <c r="C14" s="1" t="str">
        <f>MID(B14,4,FIND(":",B14)-FIND(" ",B14)-1)</f>
        <v>29</v>
      </c>
      <c r="D14" s="1" t="str">
        <f>IF(ISNUMBER(SEARCH("__",B14)),MID(B14,FIND(":",B14)+1,FIND("__",B14)-FIND(":",B14)-1),MID(B14,FIND(":",B14)+1,7))</f>
        <v>1</v>
      </c>
      <c r="E14" s="17" t="str">
        <f t="shared" si="15"/>
        <v>9</v>
      </c>
      <c r="G14" s="17">
        <f t="shared" si="16"/>
        <v>34</v>
      </c>
      <c r="H14" s="17">
        <f>2*G14-(2*D14)-((LEN(A14)-LEN(SUBSTITUTE(A14,"_O_","")))/LEN("_O_"))*2-((LEN(A14)-LEN(SUBSTITUTE(A14,"_CHO_","")))/LEN("_CHO_"))*2-((LEN(A14)-LEN(SUBSTITUTE(A14,"_COOH_","")))/LEN("_COOH_"))*2</f>
        <v>66</v>
      </c>
      <c r="I14" s="17">
        <v>1</v>
      </c>
      <c r="J14" s="17">
        <f>8+((LEN(A14)-LEN(SUBSTITUTE(A14,"_OH_","")))/LEN("_OH_"))*1+((LEN(A14)-LEN(SUBSTITUTE(A14,"_OOH_","")))/LEN("_OOH_"))*2+((LEN(A14)-LEN(SUBSTITUTE(A14,"_O_","")))/LEN("_O_"))*1+((LEN(A14)-LEN(SUBSTITUTE(A14,"_CHO_","")))/LEN("_CHO_"))*1+((LEN(A14)-LEN(SUBSTITUTE(A14,"_COOH_","")))/LEN("_COOH_"))*2</f>
        <v>8</v>
      </c>
      <c r="K14" s="17">
        <v>1</v>
      </c>
      <c r="L14" s="19" t="str">
        <f t="shared" si="19"/>
        <v>C34H66N1O8P1</v>
      </c>
      <c r="M14" s="19">
        <f t="shared" si="20"/>
        <v>647.45258060000003</v>
      </c>
      <c r="N14" s="19">
        <f>M14+1.0078246-0.00055</f>
        <v>648.45985520000011</v>
      </c>
      <c r="O14" s="19">
        <f>N14-18.01057-0.00055</f>
        <v>630.4487352000001</v>
      </c>
      <c r="P14" s="19">
        <f>M14+18.03437-0.00055</f>
        <v>665.48640060000002</v>
      </c>
      <c r="Q14" s="19">
        <f>M14+22.98977-0.00055</f>
        <v>670.44180060000008</v>
      </c>
      <c r="R14" s="19">
        <f>M14+38.96371-0.00055</f>
        <v>686.41574060000005</v>
      </c>
      <c r="S14" s="19">
        <f>M14+7.01601-0.00055</f>
        <v>654.46804060000011</v>
      </c>
      <c r="T14" s="46">
        <f>M14-1.0078246+0.00055</f>
        <v>646.44530599999996</v>
      </c>
      <c r="U14" s="19">
        <f>M14+44.99767+0.00055</f>
        <v>692.45080059999998</v>
      </c>
      <c r="V14" s="19">
        <f>M14+59.01332+0.00055</f>
        <v>706.46645060000003</v>
      </c>
    </row>
    <row r="15" spans="1:22" x14ac:dyDescent="0.25">
      <c r="A15" s="17" t="s">
        <v>411</v>
      </c>
      <c r="B15" s="17" t="str">
        <f t="shared" si="12"/>
        <v>PE 29:0</v>
      </c>
      <c r="C15" s="1" t="str">
        <f t="shared" si="13"/>
        <v>29</v>
      </c>
      <c r="D15" s="1" t="str">
        <f t="shared" si="14"/>
        <v>0</v>
      </c>
      <c r="E15" s="17" t="str">
        <f t="shared" si="15"/>
        <v>9</v>
      </c>
      <c r="G15" s="17">
        <f t="shared" si="16"/>
        <v>34</v>
      </c>
      <c r="H15" s="17">
        <f t="shared" si="17"/>
        <v>68</v>
      </c>
      <c r="I15" s="17">
        <v>1</v>
      </c>
      <c r="J15" s="17">
        <f t="shared" si="18"/>
        <v>8</v>
      </c>
      <c r="K15" s="17">
        <v>1</v>
      </c>
      <c r="L15" s="19" t="str">
        <f t="shared" si="19"/>
        <v>C34H68N1O8P1</v>
      </c>
      <c r="M15" s="19">
        <f t="shared" si="20"/>
        <v>649.46822980000002</v>
      </c>
      <c r="N15" s="19">
        <f t="shared" si="21"/>
        <v>650.47550440000009</v>
      </c>
      <c r="O15" s="19">
        <f t="shared" si="22"/>
        <v>632.46438440000009</v>
      </c>
      <c r="P15" s="19">
        <f t="shared" si="23"/>
        <v>667.50204980000001</v>
      </c>
      <c r="Q15" s="19">
        <f t="shared" si="24"/>
        <v>672.45744980000006</v>
      </c>
      <c r="R15" s="19">
        <f t="shared" si="25"/>
        <v>688.43138980000003</v>
      </c>
      <c r="S15" s="19">
        <f t="shared" si="26"/>
        <v>656.48368980000009</v>
      </c>
      <c r="T15" s="46">
        <f t="shared" si="27"/>
        <v>648.46095519999994</v>
      </c>
      <c r="U15" s="19">
        <f t="shared" si="28"/>
        <v>694.46644979999996</v>
      </c>
      <c r="V15" s="19">
        <f t="shared" si="29"/>
        <v>708.48209980000001</v>
      </c>
    </row>
    <row r="16" spans="1:22" x14ac:dyDescent="0.25">
      <c r="A16" s="17" t="s">
        <v>505</v>
      </c>
      <c r="B16" s="17" t="str">
        <f>IF(ISNUMBER(SEARCH("(",A16)),IF(ISNUMBER(SEARCH("/",A16)),CONCATENATE(MID(A16,1,2)," ",(SUM(MID(A16,FIND("(",A16)+1,FIND(":",A16)-FIND("(",A16)-1),MID(A16,FIND("/",A16)+1,FIND(":",A16,FIND("/",A16))-FIND("/",A16)-1))),":",SUM(MID(A16,FIND(":",A16)+1,FIND("/",A16)-FIND(":",A16)-1),MID(A16,FIND(":",A16,FIND("/",A16))+1,FIND(")",A16)-FIND(":",A16,FIND("/",A16))-1)),MID(A16,(FIND(")",A16)+1),100)),CONCATENATE(MID(A16,1,2)," ",(SUM(MID(A16,FIND("(",A16)+1,FIND(":",A16)-FIND("(",A16)-1),MID(A16,FIND("_",A16)+1,FIND(":",A16,FIND("_",A16))-FIND("_",A16)-1))),":",SUM(MID(A16,FIND(":",A16)+1,FIND("_",A16)-FIND(":",A16)-1),MID(A16,FIND(":",A16,FIND("_",A16))+1,FIND(")",A16)-FIND(":",A16,FIND("_",A16))-1)),MID(A16,(FIND(")",A16)+1),100))),A16)</f>
        <v>PE 30:2</v>
      </c>
      <c r="C16" s="1" t="str">
        <f>MID(B16,4,FIND(":",B16)-FIND(" ",B16)-1)</f>
        <v>30</v>
      </c>
      <c r="D16" s="1" t="str">
        <f>IF(ISNUMBER(SEARCH("__",B16)),MID(B16,FIND(":",B16)+1,FIND("__",B16)-FIND(":",B16)-1),MID(B16,FIND(":",B16)+1,7))</f>
        <v>2</v>
      </c>
      <c r="E16" s="17" t="str">
        <f t="shared" si="15"/>
        <v>0</v>
      </c>
      <c r="G16" s="17">
        <f t="shared" si="16"/>
        <v>35</v>
      </c>
      <c r="H16" s="17">
        <f>2*G16-(2*D16)-((LEN(A16)-LEN(SUBSTITUTE(A16,"_O_","")))/LEN("_O_"))*2-((LEN(A16)-LEN(SUBSTITUTE(A16,"_CHO_","")))/LEN("_CHO_"))*2-((LEN(A16)-LEN(SUBSTITUTE(A16,"_COOH_","")))/LEN("_COOH_"))*2</f>
        <v>66</v>
      </c>
      <c r="I16" s="17">
        <v>1</v>
      </c>
      <c r="J16" s="17">
        <f>8+((LEN(A16)-LEN(SUBSTITUTE(A16,"_OH_","")))/LEN("_OH_"))*1+((LEN(A16)-LEN(SUBSTITUTE(A16,"_OOH_","")))/LEN("_OOH_"))*2+((LEN(A16)-LEN(SUBSTITUTE(A16,"_O_","")))/LEN("_O_"))*1+((LEN(A16)-LEN(SUBSTITUTE(A16,"_CHO_","")))/LEN("_CHO_"))*1+((LEN(A16)-LEN(SUBSTITUTE(A16,"_COOH_","")))/LEN("_COOH_"))*2</f>
        <v>8</v>
      </c>
      <c r="K16" s="17">
        <v>1</v>
      </c>
      <c r="L16" s="19" t="str">
        <f t="shared" si="19"/>
        <v>C35H66N1O8P1</v>
      </c>
      <c r="M16" s="19">
        <f t="shared" si="20"/>
        <v>659.45258060000003</v>
      </c>
      <c r="N16" s="19">
        <f>M16+1.0078246-0.00055</f>
        <v>660.45985520000011</v>
      </c>
      <c r="O16" s="19">
        <f>N16-18.01057-0.00055</f>
        <v>642.4487352000001</v>
      </c>
      <c r="P16" s="19">
        <f>M16+18.03437-0.00055</f>
        <v>677.48640060000002</v>
      </c>
      <c r="Q16" s="19">
        <f>M16+22.98977-0.00055</f>
        <v>682.44180060000008</v>
      </c>
      <c r="R16" s="19">
        <f>M16+38.96371-0.00055</f>
        <v>698.41574060000005</v>
      </c>
      <c r="S16" s="19">
        <f>M16+7.01601-0.00055</f>
        <v>666.46804060000011</v>
      </c>
      <c r="T16" s="46">
        <f>M16-1.0078246+0.00055</f>
        <v>658.44530599999996</v>
      </c>
      <c r="U16" s="19">
        <f>M16+44.99767+0.00055</f>
        <v>704.45080059999998</v>
      </c>
      <c r="V16" s="19">
        <f>M16+59.01332+0.00055</f>
        <v>718.46645060000003</v>
      </c>
    </row>
    <row r="17" spans="1:22" x14ac:dyDescent="0.25">
      <c r="A17" s="17" t="s">
        <v>506</v>
      </c>
      <c r="B17" s="17" t="str">
        <f>IF(ISNUMBER(SEARCH("(",A17)),IF(ISNUMBER(SEARCH("/",A17)),CONCATENATE(MID(A17,1,2)," ",(SUM(MID(A17,FIND("(",A17)+1,FIND(":",A17)-FIND("(",A17)-1),MID(A17,FIND("/",A17)+1,FIND(":",A17,FIND("/",A17))-FIND("/",A17)-1))),":",SUM(MID(A17,FIND(":",A17)+1,FIND("/",A17)-FIND(":",A17)-1),MID(A17,FIND(":",A17,FIND("/",A17))+1,FIND(")",A17)-FIND(":",A17,FIND("/",A17))-1)),MID(A17,(FIND(")",A17)+1),100)),CONCATENATE(MID(A17,1,2)," ",(SUM(MID(A17,FIND("(",A17)+1,FIND(":",A17)-FIND("(",A17)-1),MID(A17,FIND("_",A17)+1,FIND(":",A17,FIND("_",A17))-FIND("_",A17)-1))),":",SUM(MID(A17,FIND(":",A17)+1,FIND("_",A17)-FIND(":",A17)-1),MID(A17,FIND(":",A17,FIND("_",A17))+1,FIND(")",A17)-FIND(":",A17,FIND("_",A17))-1)),MID(A17,(FIND(")",A17)+1),100))),A17)</f>
        <v>PE 30:1</v>
      </c>
      <c r="C17" s="1" t="str">
        <f>MID(B17,4,FIND(":",B17)-FIND(" ",B17)-1)</f>
        <v>30</v>
      </c>
      <c r="D17" s="1" t="str">
        <f>IF(ISNUMBER(SEARCH("__",B17)),MID(B17,FIND(":",B17)+1,FIND("__",B17)-FIND(":",B17)-1),MID(B17,FIND(":",B17)+1,7))</f>
        <v>1</v>
      </c>
      <c r="E17" s="17" t="str">
        <f t="shared" si="15"/>
        <v>0</v>
      </c>
      <c r="G17" s="17">
        <f t="shared" si="16"/>
        <v>35</v>
      </c>
      <c r="H17" s="17">
        <f>2*G17-(2*D17)-((LEN(A17)-LEN(SUBSTITUTE(A17,"_O_","")))/LEN("_O_"))*2-((LEN(A17)-LEN(SUBSTITUTE(A17,"_CHO_","")))/LEN("_CHO_"))*2-((LEN(A17)-LEN(SUBSTITUTE(A17,"_COOH_","")))/LEN("_COOH_"))*2</f>
        <v>68</v>
      </c>
      <c r="I17" s="17">
        <v>1</v>
      </c>
      <c r="J17" s="17">
        <f>8+((LEN(A17)-LEN(SUBSTITUTE(A17,"_OH_","")))/LEN("_OH_"))*1+((LEN(A17)-LEN(SUBSTITUTE(A17,"_OOH_","")))/LEN("_OOH_"))*2+((LEN(A17)-LEN(SUBSTITUTE(A17,"_O_","")))/LEN("_O_"))*1+((LEN(A17)-LEN(SUBSTITUTE(A17,"_CHO_","")))/LEN("_CHO_"))*1+((LEN(A17)-LEN(SUBSTITUTE(A17,"_COOH_","")))/LEN("_COOH_"))*2</f>
        <v>8</v>
      </c>
      <c r="K17" s="17">
        <v>1</v>
      </c>
      <c r="L17" s="19" t="str">
        <f t="shared" si="19"/>
        <v>C35H68N1O8P1</v>
      </c>
      <c r="M17" s="19">
        <f t="shared" si="20"/>
        <v>661.46822980000002</v>
      </c>
      <c r="N17" s="19">
        <f>M17+1.0078246-0.00055</f>
        <v>662.47550440000009</v>
      </c>
      <c r="O17" s="19">
        <f>N17-18.01057-0.00055</f>
        <v>644.46438440000009</v>
      </c>
      <c r="P17" s="19">
        <f>M17+18.03437-0.00055</f>
        <v>679.50204980000001</v>
      </c>
      <c r="Q17" s="19">
        <f>M17+22.98977-0.00055</f>
        <v>684.45744980000006</v>
      </c>
      <c r="R17" s="19">
        <f>M17+38.96371-0.00055</f>
        <v>700.43138980000003</v>
      </c>
      <c r="S17" s="19">
        <f>M17+7.01601-0.00055</f>
        <v>668.48368980000009</v>
      </c>
      <c r="T17" s="46">
        <f>M17-1.0078246+0.00055</f>
        <v>660.46095519999994</v>
      </c>
      <c r="U17" s="19">
        <f>M17+44.99767+0.00055</f>
        <v>706.46644979999996</v>
      </c>
      <c r="V17" s="19">
        <f>M17+59.01332+0.00055</f>
        <v>720.48209980000001</v>
      </c>
    </row>
    <row r="18" spans="1:22" x14ac:dyDescent="0.25">
      <c r="A18" s="17" t="s">
        <v>412</v>
      </c>
      <c r="B18" s="17" t="str">
        <f t="shared" si="12"/>
        <v>PE 30:0</v>
      </c>
      <c r="C18" s="1" t="str">
        <f t="shared" si="13"/>
        <v>30</v>
      </c>
      <c r="D18" s="1" t="str">
        <f t="shared" si="14"/>
        <v>0</v>
      </c>
      <c r="E18" s="17" t="str">
        <f t="shared" si="15"/>
        <v>0</v>
      </c>
      <c r="G18" s="17">
        <f t="shared" si="16"/>
        <v>35</v>
      </c>
      <c r="H18" s="17">
        <f t="shared" si="17"/>
        <v>70</v>
      </c>
      <c r="I18" s="17">
        <v>1</v>
      </c>
      <c r="J18" s="17">
        <f t="shared" si="18"/>
        <v>8</v>
      </c>
      <c r="K18" s="17">
        <v>1</v>
      </c>
      <c r="L18" s="19" t="str">
        <f t="shared" si="19"/>
        <v>C35H70N1O8P1</v>
      </c>
      <c r="M18" s="19">
        <f t="shared" si="20"/>
        <v>663.483879</v>
      </c>
      <c r="N18" s="19">
        <f t="shared" si="21"/>
        <v>664.49115360000008</v>
      </c>
      <c r="O18" s="19">
        <f t="shared" si="22"/>
        <v>646.48003360000007</v>
      </c>
      <c r="P18" s="19">
        <f t="shared" si="23"/>
        <v>681.51769899999999</v>
      </c>
      <c r="Q18" s="19">
        <f t="shared" si="24"/>
        <v>686.47309900000005</v>
      </c>
      <c r="R18" s="19">
        <f t="shared" si="25"/>
        <v>702.44703900000002</v>
      </c>
      <c r="S18" s="19">
        <f t="shared" si="26"/>
        <v>670.49933900000008</v>
      </c>
      <c r="T18" s="46">
        <f t="shared" si="27"/>
        <v>662.47660439999993</v>
      </c>
      <c r="U18" s="19">
        <f t="shared" si="28"/>
        <v>708.48209899999995</v>
      </c>
      <c r="V18" s="19">
        <f t="shared" si="29"/>
        <v>722.497749</v>
      </c>
    </row>
    <row r="19" spans="1:22" x14ac:dyDescent="0.25">
      <c r="A19" s="17" t="s">
        <v>507</v>
      </c>
      <c r="B19" s="17" t="str">
        <f>IF(ISNUMBER(SEARCH("(",A19)),IF(ISNUMBER(SEARCH("/",A19)),CONCATENATE(MID(A19,1,2)," ",(SUM(MID(A19,FIND("(",A19)+1,FIND(":",A19)-FIND("(",A19)-1),MID(A19,FIND("/",A19)+1,FIND(":",A19,FIND("/",A19))-FIND("/",A19)-1))),":",SUM(MID(A19,FIND(":",A19)+1,FIND("/",A19)-FIND(":",A19)-1),MID(A19,FIND(":",A19,FIND("/",A19))+1,FIND(")",A19)-FIND(":",A19,FIND("/",A19))-1)),MID(A19,(FIND(")",A19)+1),100)),CONCATENATE(MID(A19,1,2)," ",(SUM(MID(A19,FIND("(",A19)+1,FIND(":",A19)-FIND("(",A19)-1),MID(A19,FIND("_",A19)+1,FIND(":",A19,FIND("_",A19))-FIND("_",A19)-1))),":",SUM(MID(A19,FIND(":",A19)+1,FIND("_",A19)-FIND(":",A19)-1),MID(A19,FIND(":",A19,FIND("_",A19))+1,FIND(")",A19)-FIND(":",A19,FIND("_",A19))-1)),MID(A19,(FIND(")",A19)+1),100))),A19)</f>
        <v>PE 31:2</v>
      </c>
      <c r="C19" s="1" t="str">
        <f>MID(B19,4,FIND(":",B19)-FIND(" ",B19)-1)</f>
        <v>31</v>
      </c>
      <c r="D19" s="1" t="str">
        <f>IF(ISNUMBER(SEARCH("__",B19)),MID(B19,FIND(":",B19)+1,FIND("__",B19)-FIND(":",B19)-1),MID(B19,FIND(":",B19)+1,7))</f>
        <v>2</v>
      </c>
      <c r="E19" s="17" t="str">
        <f t="shared" si="15"/>
        <v>1</v>
      </c>
      <c r="G19" s="17">
        <f t="shared" si="16"/>
        <v>36</v>
      </c>
      <c r="H19" s="17">
        <f>2*G19-(2*D19)-((LEN(A19)-LEN(SUBSTITUTE(A19,"_O_","")))/LEN("_O_"))*2-((LEN(A19)-LEN(SUBSTITUTE(A19,"_CHO_","")))/LEN("_CHO_"))*2-((LEN(A19)-LEN(SUBSTITUTE(A19,"_COOH_","")))/LEN("_COOH_"))*2</f>
        <v>68</v>
      </c>
      <c r="I19" s="17">
        <v>1</v>
      </c>
      <c r="J19" s="17">
        <f>8+((LEN(A19)-LEN(SUBSTITUTE(A19,"_OH_","")))/LEN("_OH_"))*1+((LEN(A19)-LEN(SUBSTITUTE(A19,"_OOH_","")))/LEN("_OOH_"))*2+((LEN(A19)-LEN(SUBSTITUTE(A19,"_O_","")))/LEN("_O_"))*1+((LEN(A19)-LEN(SUBSTITUTE(A19,"_CHO_","")))/LEN("_CHO_"))*1+((LEN(A19)-LEN(SUBSTITUTE(A19,"_COOH_","")))/LEN("_COOH_"))*2</f>
        <v>8</v>
      </c>
      <c r="K19" s="17">
        <v>1</v>
      </c>
      <c r="L19" s="19" t="str">
        <f t="shared" si="19"/>
        <v>C36H68N1O8P1</v>
      </c>
      <c r="M19" s="19">
        <f t="shared" si="20"/>
        <v>673.46822980000002</v>
      </c>
      <c r="N19" s="19">
        <f>M19+1.0078246-0.00055</f>
        <v>674.47550440000009</v>
      </c>
      <c r="O19" s="19">
        <f>N19-18.01057-0.00055</f>
        <v>656.46438440000009</v>
      </c>
      <c r="P19" s="19">
        <f>M19+18.03437-0.00055</f>
        <v>691.50204980000001</v>
      </c>
      <c r="Q19" s="19">
        <f>M19+22.98977-0.00055</f>
        <v>696.45744980000006</v>
      </c>
      <c r="R19" s="19">
        <f>M19+38.96371-0.00055</f>
        <v>712.43138980000003</v>
      </c>
      <c r="S19" s="19">
        <f>M19+7.01601-0.00055</f>
        <v>680.48368980000009</v>
      </c>
      <c r="T19" s="46">
        <f>M19-1.0078246+0.00055</f>
        <v>672.46095519999994</v>
      </c>
      <c r="U19" s="19">
        <f>M19+44.99767+0.00055</f>
        <v>718.46644979999996</v>
      </c>
      <c r="V19" s="19">
        <f>M19+59.01332+0.00055</f>
        <v>732.48209980000001</v>
      </c>
    </row>
    <row r="20" spans="1:22" x14ac:dyDescent="0.25">
      <c r="A20" s="17" t="s">
        <v>508</v>
      </c>
      <c r="B20" s="17" t="str">
        <f>IF(ISNUMBER(SEARCH("(",A20)),IF(ISNUMBER(SEARCH("/",A20)),CONCATENATE(MID(A20,1,2)," ",(SUM(MID(A20,FIND("(",A20)+1,FIND(":",A20)-FIND("(",A20)-1),MID(A20,FIND("/",A20)+1,FIND(":",A20,FIND("/",A20))-FIND("/",A20)-1))),":",SUM(MID(A20,FIND(":",A20)+1,FIND("/",A20)-FIND(":",A20)-1),MID(A20,FIND(":",A20,FIND("/",A20))+1,FIND(")",A20)-FIND(":",A20,FIND("/",A20))-1)),MID(A20,(FIND(")",A20)+1),100)),CONCATENATE(MID(A20,1,2)," ",(SUM(MID(A20,FIND("(",A20)+1,FIND(":",A20)-FIND("(",A20)-1),MID(A20,FIND("_",A20)+1,FIND(":",A20,FIND("_",A20))-FIND("_",A20)-1))),":",SUM(MID(A20,FIND(":",A20)+1,FIND("_",A20)-FIND(":",A20)-1),MID(A20,FIND(":",A20,FIND("_",A20))+1,FIND(")",A20)-FIND(":",A20,FIND("_",A20))-1)),MID(A20,(FIND(")",A20)+1),100))),A20)</f>
        <v>PE 31:1</v>
      </c>
      <c r="C20" s="1" t="str">
        <f>MID(B20,4,FIND(":",B20)-FIND(" ",B20)-1)</f>
        <v>31</v>
      </c>
      <c r="D20" s="1" t="str">
        <f>IF(ISNUMBER(SEARCH("__",B20)),MID(B20,FIND(":",B20)+1,FIND("__",B20)-FIND(":",B20)-1),MID(B20,FIND(":",B20)+1,7))</f>
        <v>1</v>
      </c>
      <c r="E20" s="17" t="str">
        <f t="shared" si="15"/>
        <v>1</v>
      </c>
      <c r="G20" s="17">
        <f t="shared" si="16"/>
        <v>36</v>
      </c>
      <c r="H20" s="17">
        <f>2*G20-(2*D20)-((LEN(A20)-LEN(SUBSTITUTE(A20,"_O_","")))/LEN("_O_"))*2-((LEN(A20)-LEN(SUBSTITUTE(A20,"_CHO_","")))/LEN("_CHO_"))*2-((LEN(A20)-LEN(SUBSTITUTE(A20,"_COOH_","")))/LEN("_COOH_"))*2</f>
        <v>70</v>
      </c>
      <c r="I20" s="17">
        <v>1</v>
      </c>
      <c r="J20" s="17">
        <f>8+((LEN(A20)-LEN(SUBSTITUTE(A20,"_OH_","")))/LEN("_OH_"))*1+((LEN(A20)-LEN(SUBSTITUTE(A20,"_OOH_","")))/LEN("_OOH_"))*2+((LEN(A20)-LEN(SUBSTITUTE(A20,"_O_","")))/LEN("_O_"))*1+((LEN(A20)-LEN(SUBSTITUTE(A20,"_CHO_","")))/LEN("_CHO_"))*1+((LEN(A20)-LEN(SUBSTITUTE(A20,"_COOH_","")))/LEN("_COOH_"))*2</f>
        <v>8</v>
      </c>
      <c r="K20" s="17">
        <v>1</v>
      </c>
      <c r="L20" s="19" t="str">
        <f t="shared" si="19"/>
        <v>C36H70N1O8P1</v>
      </c>
      <c r="M20" s="19">
        <f t="shared" si="20"/>
        <v>675.483879</v>
      </c>
      <c r="N20" s="19">
        <f>M20+1.0078246-0.00055</f>
        <v>676.49115360000008</v>
      </c>
      <c r="O20" s="19">
        <f>N20-18.01057-0.00055</f>
        <v>658.48003360000007</v>
      </c>
      <c r="P20" s="19">
        <f>M20+18.03437-0.00055</f>
        <v>693.51769899999999</v>
      </c>
      <c r="Q20" s="19">
        <f>M20+22.98977-0.00055</f>
        <v>698.47309900000005</v>
      </c>
      <c r="R20" s="19">
        <f>M20+38.96371-0.00055</f>
        <v>714.44703900000002</v>
      </c>
      <c r="S20" s="19">
        <f>M20+7.01601-0.00055</f>
        <v>682.49933900000008</v>
      </c>
      <c r="T20" s="46">
        <f>M20-1.0078246+0.00055</f>
        <v>674.47660439999993</v>
      </c>
      <c r="U20" s="19">
        <f>M20+44.99767+0.00055</f>
        <v>720.48209899999995</v>
      </c>
      <c r="V20" s="19">
        <f>M20+59.01332+0.00055</f>
        <v>734.497749</v>
      </c>
    </row>
    <row r="21" spans="1:22" x14ac:dyDescent="0.25">
      <c r="A21" s="17" t="s">
        <v>413</v>
      </c>
      <c r="B21" s="17" t="str">
        <f t="shared" si="12"/>
        <v>PE 31:0</v>
      </c>
      <c r="C21" s="1" t="str">
        <f t="shared" si="13"/>
        <v>31</v>
      </c>
      <c r="D21" s="1" t="str">
        <f t="shared" si="14"/>
        <v>0</v>
      </c>
      <c r="E21" s="17" t="str">
        <f t="shared" si="15"/>
        <v>1</v>
      </c>
      <c r="G21" s="17">
        <f t="shared" si="16"/>
        <v>36</v>
      </c>
      <c r="H21" s="17">
        <f t="shared" si="17"/>
        <v>72</v>
      </c>
      <c r="I21" s="17">
        <v>1</v>
      </c>
      <c r="J21" s="17">
        <f t="shared" si="18"/>
        <v>8</v>
      </c>
      <c r="K21" s="17">
        <v>1</v>
      </c>
      <c r="L21" s="19" t="str">
        <f t="shared" si="19"/>
        <v>C36H72N1O8P1</v>
      </c>
      <c r="M21" s="19">
        <f t="shared" si="20"/>
        <v>677.49952819999999</v>
      </c>
      <c r="N21" s="19">
        <f t="shared" si="21"/>
        <v>678.50680280000006</v>
      </c>
      <c r="O21" s="19">
        <f t="shared" si="22"/>
        <v>660.49568280000005</v>
      </c>
      <c r="P21" s="19">
        <f t="shared" si="23"/>
        <v>695.53334819999998</v>
      </c>
      <c r="Q21" s="19">
        <f t="shared" si="24"/>
        <v>700.48874820000003</v>
      </c>
      <c r="R21" s="19">
        <f t="shared" si="25"/>
        <v>716.4626882</v>
      </c>
      <c r="S21" s="19">
        <f t="shared" si="26"/>
        <v>684.51498820000006</v>
      </c>
      <c r="T21" s="46">
        <f t="shared" si="27"/>
        <v>676.49225359999991</v>
      </c>
      <c r="U21" s="19">
        <f t="shared" si="28"/>
        <v>722.49774819999993</v>
      </c>
      <c r="V21" s="19">
        <f t="shared" si="29"/>
        <v>736.51339819999998</v>
      </c>
    </row>
    <row r="22" spans="1:22" x14ac:dyDescent="0.25">
      <c r="A22" s="17" t="s">
        <v>633</v>
      </c>
      <c r="B22" s="17" t="str">
        <f>IF(ISNUMBER(SEARCH("(",A22)),IF(ISNUMBER(SEARCH("/",A22)),CONCATENATE(MID(A22,1,2)," ",(SUM(MID(A22,FIND("(",A22)+1,FIND(":",A22)-FIND("(",A22)-1),MID(A22,FIND("/",A22)+1,FIND(":",A22,FIND("/",A22))-FIND("/",A22)-1))),":",SUM(MID(A22,FIND(":",A22)+1,FIND("/",A22)-FIND(":",A22)-1),MID(A22,FIND(":",A22,FIND("/",A22))+1,FIND(")",A22)-FIND(":",A22,FIND("/",A22))-1)),MID(A22,(FIND(")",A22)+1),100)),CONCATENATE(MID(A22,1,2)," ",(SUM(MID(A22,FIND("(",A22)+1,FIND(":",A22)-FIND("(",A22)-1),MID(A22,FIND("_",A22)+1,FIND(":",A22,FIND("_",A22))-FIND("_",A22)-1))),":",SUM(MID(A22,FIND(":",A22)+1,FIND("_",A22)-FIND(":",A22)-1),MID(A22,FIND(":",A22,FIND("_",A22))+1,FIND(")",A22)-FIND(":",A22,FIND("_",A22))-1)),MID(A22,(FIND(")",A22)+1),100))),A22)</f>
        <v>PE 32:3</v>
      </c>
      <c r="C22" s="1" t="str">
        <f>MID(B22,4,FIND(":",B22)-FIND(" ",B22)-1)</f>
        <v>32</v>
      </c>
      <c r="D22" s="1" t="str">
        <f>IF(ISNUMBER(SEARCH("__",B22)),MID(B22,FIND(":",B22)+1,FIND("__",B22)-FIND(":",B22)-1),MID(B22,FIND(":",B22)+1,7))</f>
        <v>3</v>
      </c>
      <c r="E22" s="17" t="str">
        <f t="shared" si="15"/>
        <v>2</v>
      </c>
      <c r="G22" s="17">
        <f t="shared" si="16"/>
        <v>37</v>
      </c>
      <c r="H22" s="17">
        <f>2*G22-(2*D22)-((LEN(A22)-LEN(SUBSTITUTE(A22,"_O_","")))/LEN("_O_"))*2-((LEN(A22)-LEN(SUBSTITUTE(A22,"_CHO_","")))/LEN("_CHO_"))*2-((LEN(A22)-LEN(SUBSTITUTE(A22,"_COOH_","")))/LEN("_COOH_"))*2</f>
        <v>68</v>
      </c>
      <c r="I22" s="17">
        <v>1</v>
      </c>
      <c r="J22" s="17">
        <f>8+((LEN(A22)-LEN(SUBSTITUTE(A22,"_OH_","")))/LEN("_OH_"))*1+((LEN(A22)-LEN(SUBSTITUTE(A22,"_OOH_","")))/LEN("_OOH_"))*2+((LEN(A22)-LEN(SUBSTITUTE(A22,"_O_","")))/LEN("_O_"))*1+((LEN(A22)-LEN(SUBSTITUTE(A22,"_CHO_","")))/LEN("_CHO_"))*1+((LEN(A22)-LEN(SUBSTITUTE(A22,"_COOH_","")))/LEN("_COOH_"))*2</f>
        <v>8</v>
      </c>
      <c r="K22" s="17">
        <v>1</v>
      </c>
      <c r="L22" s="19" t="str">
        <f t="shared" si="19"/>
        <v>C37H68N1O8P1</v>
      </c>
      <c r="M22" s="19">
        <f t="shared" si="20"/>
        <v>685.46822980000002</v>
      </c>
      <c r="N22" s="19">
        <f>M22+1.0078246-0.00055</f>
        <v>686.47550440000009</v>
      </c>
      <c r="O22" s="19">
        <f>N22-18.01057-0.00055</f>
        <v>668.46438440000009</v>
      </c>
      <c r="P22" s="19">
        <f>M22+18.03437-0.00055</f>
        <v>703.50204980000001</v>
      </c>
      <c r="Q22" s="19">
        <f>M22+22.98977-0.00055</f>
        <v>708.45744980000006</v>
      </c>
      <c r="R22" s="19">
        <f>M22+38.96371-0.00055</f>
        <v>724.43138980000003</v>
      </c>
      <c r="S22" s="19">
        <f>M22+7.01601-0.00055</f>
        <v>692.48368980000009</v>
      </c>
      <c r="T22" s="46">
        <f>M22-1.0078246+0.00055</f>
        <v>684.46095519999994</v>
      </c>
      <c r="U22" s="19">
        <f>M22+44.99767+0.00055</f>
        <v>730.46644979999996</v>
      </c>
      <c r="V22" s="19">
        <f>M22+59.01332+0.00055</f>
        <v>744.48209980000001</v>
      </c>
    </row>
    <row r="23" spans="1:22" x14ac:dyDescent="0.25">
      <c r="A23" s="17" t="s">
        <v>509</v>
      </c>
      <c r="B23" s="17" t="str">
        <f>IF(ISNUMBER(SEARCH("(",A23)),IF(ISNUMBER(SEARCH("/",A23)),CONCATENATE(MID(A23,1,2)," ",(SUM(MID(A23,FIND("(",A23)+1,FIND(":",A23)-FIND("(",A23)-1),MID(A23,FIND("/",A23)+1,FIND(":",A23,FIND("/",A23))-FIND("/",A23)-1))),":",SUM(MID(A23,FIND(":",A23)+1,FIND("/",A23)-FIND(":",A23)-1),MID(A23,FIND(":",A23,FIND("/",A23))+1,FIND(")",A23)-FIND(":",A23,FIND("/",A23))-1)),MID(A23,(FIND(")",A23)+1),100)),CONCATENATE(MID(A23,1,2)," ",(SUM(MID(A23,FIND("(",A23)+1,FIND(":",A23)-FIND("(",A23)-1),MID(A23,FIND("_",A23)+1,FIND(":",A23,FIND("_",A23))-FIND("_",A23)-1))),":",SUM(MID(A23,FIND(":",A23)+1,FIND("_",A23)-FIND(":",A23)-1),MID(A23,FIND(":",A23,FIND("_",A23))+1,FIND(")",A23)-FIND(":",A23,FIND("_",A23))-1)),MID(A23,(FIND(")",A23)+1),100))),A23)</f>
        <v>PE 32:2</v>
      </c>
      <c r="C23" s="1" t="str">
        <f>MID(B23,4,FIND(":",B23)-FIND(" ",B23)-1)</f>
        <v>32</v>
      </c>
      <c r="D23" s="1" t="str">
        <f>IF(ISNUMBER(SEARCH("__",B23)),MID(B23,FIND(":",B23)+1,FIND("__",B23)-FIND(":",B23)-1),MID(B23,FIND(":",B23)+1,7))</f>
        <v>2</v>
      </c>
      <c r="E23" s="17" t="str">
        <f t="shared" si="15"/>
        <v>2</v>
      </c>
      <c r="G23" s="17">
        <f t="shared" si="16"/>
        <v>37</v>
      </c>
      <c r="H23" s="17">
        <f>2*G23-(2*D23)-((LEN(A23)-LEN(SUBSTITUTE(A23,"_O_","")))/LEN("_O_"))*2-((LEN(A23)-LEN(SUBSTITUTE(A23,"_CHO_","")))/LEN("_CHO_"))*2-((LEN(A23)-LEN(SUBSTITUTE(A23,"_COOH_","")))/LEN("_COOH_"))*2</f>
        <v>70</v>
      </c>
      <c r="I23" s="17">
        <v>1</v>
      </c>
      <c r="J23" s="17">
        <f>8+((LEN(A23)-LEN(SUBSTITUTE(A23,"_OH_","")))/LEN("_OH_"))*1+((LEN(A23)-LEN(SUBSTITUTE(A23,"_OOH_","")))/LEN("_OOH_"))*2+((LEN(A23)-LEN(SUBSTITUTE(A23,"_O_","")))/LEN("_O_"))*1+((LEN(A23)-LEN(SUBSTITUTE(A23,"_CHO_","")))/LEN("_CHO_"))*1+((LEN(A23)-LEN(SUBSTITUTE(A23,"_COOH_","")))/LEN("_COOH_"))*2</f>
        <v>8</v>
      </c>
      <c r="K23" s="17">
        <v>1</v>
      </c>
      <c r="L23" s="19" t="str">
        <f t="shared" si="19"/>
        <v>C37H70N1O8P1</v>
      </c>
      <c r="M23" s="19">
        <f t="shared" si="20"/>
        <v>687.483879</v>
      </c>
      <c r="N23" s="19">
        <f>M23+1.0078246-0.00055</f>
        <v>688.49115360000008</v>
      </c>
      <c r="O23" s="19">
        <f>N23-18.01057-0.00055</f>
        <v>670.48003360000007</v>
      </c>
      <c r="P23" s="19">
        <f>M23+18.03437-0.00055</f>
        <v>705.51769899999999</v>
      </c>
      <c r="Q23" s="19">
        <f>M23+22.98977-0.00055</f>
        <v>710.47309900000005</v>
      </c>
      <c r="R23" s="19">
        <f>M23+38.96371-0.00055</f>
        <v>726.44703900000002</v>
      </c>
      <c r="S23" s="19">
        <f>M23+7.01601-0.00055</f>
        <v>694.49933900000008</v>
      </c>
      <c r="T23" s="46">
        <f>M23-1.0078246+0.00055</f>
        <v>686.47660439999993</v>
      </c>
      <c r="U23" s="19">
        <f>M23+44.99767+0.00055</f>
        <v>732.48209899999995</v>
      </c>
      <c r="V23" s="19">
        <f>M23+59.01332+0.00055</f>
        <v>746.497749</v>
      </c>
    </row>
    <row r="24" spans="1:22" x14ac:dyDescent="0.25">
      <c r="A24" s="17" t="s">
        <v>470</v>
      </c>
      <c r="B24" s="17" t="str">
        <f>IF(ISNUMBER(SEARCH("(",A24)),IF(ISNUMBER(SEARCH("/",A24)),CONCATENATE(MID(A24,1,2)," ",(SUM(MID(A24,FIND("(",A24)+1,FIND(":",A24)-FIND("(",A24)-1),MID(A24,FIND("/",A24)+1,FIND(":",A24,FIND("/",A24))-FIND("/",A24)-1))),":",SUM(MID(A24,FIND(":",A24)+1,FIND("/",A24)-FIND(":",A24)-1),MID(A24,FIND(":",A24,FIND("/",A24))+1,FIND(")",A24)-FIND(":",A24,FIND("/",A24))-1)),MID(A24,(FIND(")",A24)+1),100)),CONCATENATE(MID(A24,1,2)," ",(SUM(MID(A24,FIND("(",A24)+1,FIND(":",A24)-FIND("(",A24)-1),MID(A24,FIND("_",A24)+1,FIND(":",A24,FIND("_",A24))-FIND("_",A24)-1))),":",SUM(MID(A24,FIND(":",A24)+1,FIND("_",A24)-FIND(":",A24)-1),MID(A24,FIND(":",A24,FIND("_",A24))+1,FIND(")",A24)-FIND(":",A24,FIND("_",A24))-1)),MID(A24,(FIND(")",A24)+1),100))),A24)</f>
        <v>PE 32:1</v>
      </c>
      <c r="C24" s="1" t="str">
        <f>MID(B24,4,FIND(":",B24)-FIND(" ",B24)-1)</f>
        <v>32</v>
      </c>
      <c r="D24" s="1" t="str">
        <f>IF(ISNUMBER(SEARCH("__",B24)),MID(B24,FIND(":",B24)+1,FIND("__",B24)-FIND(":",B24)-1),MID(B24,FIND(":",B24)+1,7))</f>
        <v>1</v>
      </c>
      <c r="E24" s="17" t="str">
        <f t="shared" si="15"/>
        <v>2</v>
      </c>
      <c r="G24" s="17">
        <f t="shared" si="16"/>
        <v>37</v>
      </c>
      <c r="H24" s="17">
        <f>2*G24-(2*D24)-((LEN(A24)-LEN(SUBSTITUTE(A24,"_O_","")))/LEN("_O_"))*2-((LEN(A24)-LEN(SUBSTITUTE(A24,"_CHO_","")))/LEN("_CHO_"))*2-((LEN(A24)-LEN(SUBSTITUTE(A24,"_COOH_","")))/LEN("_COOH_"))*2</f>
        <v>72</v>
      </c>
      <c r="I24" s="17">
        <v>1</v>
      </c>
      <c r="J24" s="17">
        <f>8+((LEN(A24)-LEN(SUBSTITUTE(A24,"_OH_","")))/LEN("_OH_"))*1+((LEN(A24)-LEN(SUBSTITUTE(A24,"_OOH_","")))/LEN("_OOH_"))*2+((LEN(A24)-LEN(SUBSTITUTE(A24,"_O_","")))/LEN("_O_"))*1+((LEN(A24)-LEN(SUBSTITUTE(A24,"_CHO_","")))/LEN("_CHO_"))*1+((LEN(A24)-LEN(SUBSTITUTE(A24,"_COOH_","")))/LEN("_COOH_"))*2</f>
        <v>8</v>
      </c>
      <c r="K24" s="17">
        <v>1</v>
      </c>
      <c r="L24" s="19" t="str">
        <f t="shared" si="19"/>
        <v>C37H72N1O8P1</v>
      </c>
      <c r="M24" s="19">
        <f t="shared" si="20"/>
        <v>689.49952819999999</v>
      </c>
      <c r="N24" s="19">
        <f>M24+1.0078246-0.00055</f>
        <v>690.50680280000006</v>
      </c>
      <c r="O24" s="19">
        <f>N24-18.01057-0.00055</f>
        <v>672.49568280000005</v>
      </c>
      <c r="P24" s="19">
        <f>M24+18.03437-0.00055</f>
        <v>707.53334819999998</v>
      </c>
      <c r="Q24" s="19">
        <f>M24+22.98977-0.00055</f>
        <v>712.48874820000003</v>
      </c>
      <c r="R24" s="19">
        <f>M24+38.96371-0.00055</f>
        <v>728.4626882</v>
      </c>
      <c r="S24" s="19">
        <f>M24+7.01601-0.00055</f>
        <v>696.51498820000006</v>
      </c>
      <c r="T24" s="46">
        <f>M24-1.0078246+0.00055</f>
        <v>688.49225359999991</v>
      </c>
      <c r="U24" s="19">
        <f>M24+44.99767+0.00055</f>
        <v>734.49774819999993</v>
      </c>
      <c r="V24" s="19">
        <f>M24+59.01332+0.00055</f>
        <v>748.51339819999998</v>
      </c>
    </row>
    <row r="25" spans="1:22" x14ac:dyDescent="0.25">
      <c r="A25" s="17" t="s">
        <v>414</v>
      </c>
      <c r="B25" s="17" t="str">
        <f t="shared" si="12"/>
        <v>PE 32:0</v>
      </c>
      <c r="C25" s="1" t="str">
        <f t="shared" si="13"/>
        <v>32</v>
      </c>
      <c r="D25" s="1" t="str">
        <f t="shared" si="14"/>
        <v>0</v>
      </c>
      <c r="E25" s="17" t="str">
        <f t="shared" si="15"/>
        <v>2</v>
      </c>
      <c r="G25" s="17">
        <f t="shared" si="16"/>
        <v>37</v>
      </c>
      <c r="H25" s="17">
        <f t="shared" si="17"/>
        <v>74</v>
      </c>
      <c r="I25" s="17">
        <v>1</v>
      </c>
      <c r="J25" s="17">
        <f t="shared" si="18"/>
        <v>8</v>
      </c>
      <c r="K25" s="17">
        <v>1</v>
      </c>
      <c r="L25" s="19" t="str">
        <f t="shared" si="19"/>
        <v>C37H74N1O8P1</v>
      </c>
      <c r="M25" s="19">
        <f t="shared" si="20"/>
        <v>691.51517739999997</v>
      </c>
      <c r="N25" s="19">
        <f t="shared" si="21"/>
        <v>692.52245200000004</v>
      </c>
      <c r="O25" s="19">
        <f t="shared" si="22"/>
        <v>674.51133200000004</v>
      </c>
      <c r="P25" s="19">
        <f t="shared" si="23"/>
        <v>709.54899739999996</v>
      </c>
      <c r="Q25" s="19">
        <f t="shared" si="24"/>
        <v>714.50439740000002</v>
      </c>
      <c r="R25" s="19">
        <f t="shared" si="25"/>
        <v>730.47833739999999</v>
      </c>
      <c r="S25" s="19">
        <f t="shared" si="26"/>
        <v>698.53063740000005</v>
      </c>
      <c r="T25" s="46">
        <f t="shared" si="27"/>
        <v>690.5079027999999</v>
      </c>
      <c r="U25" s="19">
        <f t="shared" si="28"/>
        <v>736.51339739999992</v>
      </c>
      <c r="V25" s="19">
        <f t="shared" si="29"/>
        <v>750.52904739999997</v>
      </c>
    </row>
    <row r="26" spans="1:22" x14ac:dyDescent="0.25">
      <c r="A26" s="17" t="s">
        <v>510</v>
      </c>
      <c r="B26" s="17" t="str">
        <f>IF(ISNUMBER(SEARCH("(",A26)),IF(ISNUMBER(SEARCH("/",A26)),CONCATENATE(MID(A26,1,2)," ",(SUM(MID(A26,FIND("(",A26)+1,FIND(":",A26)-FIND("(",A26)-1),MID(A26,FIND("/",A26)+1,FIND(":",A26,FIND("/",A26))-FIND("/",A26)-1))),":",SUM(MID(A26,FIND(":",A26)+1,FIND("/",A26)-FIND(":",A26)-1),MID(A26,FIND(":",A26,FIND("/",A26))+1,FIND(")",A26)-FIND(":",A26,FIND("/",A26))-1)),MID(A26,(FIND(")",A26)+1),100)),CONCATENATE(MID(A26,1,2)," ",(SUM(MID(A26,FIND("(",A26)+1,FIND(":",A26)-FIND("(",A26)-1),MID(A26,FIND("_",A26)+1,FIND(":",A26,FIND("_",A26))-FIND("_",A26)-1))),":",SUM(MID(A26,FIND(":",A26)+1,FIND("_",A26)-FIND(":",A26)-1),MID(A26,FIND(":",A26,FIND("_",A26))+1,FIND(")",A26)-FIND(":",A26,FIND("_",A26))-1)),MID(A26,(FIND(")",A26)+1),100))),A26)</f>
        <v>PE 33:2</v>
      </c>
      <c r="C26" s="1" t="str">
        <f>MID(B26,4,FIND(":",B26)-FIND(" ",B26)-1)</f>
        <v>33</v>
      </c>
      <c r="D26" s="1" t="str">
        <f>IF(ISNUMBER(SEARCH("__",B26)),MID(B26,FIND(":",B26)+1,FIND("__",B26)-FIND(":",B26)-1),MID(B26,FIND(":",B26)+1,7))</f>
        <v>2</v>
      </c>
      <c r="E26" s="17" t="str">
        <f t="shared" si="15"/>
        <v>3</v>
      </c>
      <c r="G26" s="17">
        <f t="shared" si="16"/>
        <v>38</v>
      </c>
      <c r="H26" s="17">
        <f>2*G26-(2*D26)-((LEN(A26)-LEN(SUBSTITUTE(A26,"_O_","")))/LEN("_O_"))*2-((LEN(A26)-LEN(SUBSTITUTE(A26,"_CHO_","")))/LEN("_CHO_"))*2-((LEN(A26)-LEN(SUBSTITUTE(A26,"_COOH_","")))/LEN("_COOH_"))*2</f>
        <v>72</v>
      </c>
      <c r="I26" s="17">
        <v>1</v>
      </c>
      <c r="J26" s="17">
        <f>8+((LEN(A26)-LEN(SUBSTITUTE(A26,"_OH_","")))/LEN("_OH_"))*1+((LEN(A26)-LEN(SUBSTITUTE(A26,"_OOH_","")))/LEN("_OOH_"))*2+((LEN(A26)-LEN(SUBSTITUTE(A26,"_O_","")))/LEN("_O_"))*1+((LEN(A26)-LEN(SUBSTITUTE(A26,"_CHO_","")))/LEN("_CHO_"))*1+((LEN(A26)-LEN(SUBSTITUTE(A26,"_COOH_","")))/LEN("_COOH_"))*2</f>
        <v>8</v>
      </c>
      <c r="K26" s="17">
        <v>1</v>
      </c>
      <c r="L26" s="19" t="str">
        <f t="shared" si="19"/>
        <v>C38H72N1O8P1</v>
      </c>
      <c r="M26" s="19">
        <f t="shared" si="20"/>
        <v>701.49952819999999</v>
      </c>
      <c r="N26" s="19">
        <f>M26+1.0078246-0.00055</f>
        <v>702.50680280000006</v>
      </c>
      <c r="O26" s="19">
        <f>N26-18.01057-0.00055</f>
        <v>684.49568280000005</v>
      </c>
      <c r="P26" s="19">
        <f>M26+18.03437-0.00055</f>
        <v>719.53334819999998</v>
      </c>
      <c r="Q26" s="19">
        <f>M26+22.98977-0.00055</f>
        <v>724.48874820000003</v>
      </c>
      <c r="R26" s="19">
        <f>M26+38.96371-0.00055</f>
        <v>740.4626882</v>
      </c>
      <c r="S26" s="19">
        <f>M26+7.01601-0.00055</f>
        <v>708.51498820000006</v>
      </c>
      <c r="T26" s="46">
        <f>M26-1.0078246+0.00055</f>
        <v>700.49225359999991</v>
      </c>
      <c r="U26" s="19">
        <f>M26+44.99767+0.00055</f>
        <v>746.49774819999993</v>
      </c>
      <c r="V26" s="19">
        <f>M26+59.01332+0.00055</f>
        <v>760.51339819999998</v>
      </c>
    </row>
    <row r="27" spans="1:22" x14ac:dyDescent="0.25">
      <c r="A27" s="17" t="s">
        <v>511</v>
      </c>
      <c r="B27" s="17" t="str">
        <f>IF(ISNUMBER(SEARCH("(",A27)),IF(ISNUMBER(SEARCH("/",A27)),CONCATENATE(MID(A27,1,2)," ",(SUM(MID(A27,FIND("(",A27)+1,FIND(":",A27)-FIND("(",A27)-1),MID(A27,FIND("/",A27)+1,FIND(":",A27,FIND("/",A27))-FIND("/",A27)-1))),":",SUM(MID(A27,FIND(":",A27)+1,FIND("/",A27)-FIND(":",A27)-1),MID(A27,FIND(":",A27,FIND("/",A27))+1,FIND(")",A27)-FIND(":",A27,FIND("/",A27))-1)),MID(A27,(FIND(")",A27)+1),100)),CONCATENATE(MID(A27,1,2)," ",(SUM(MID(A27,FIND("(",A27)+1,FIND(":",A27)-FIND("(",A27)-1),MID(A27,FIND("_",A27)+1,FIND(":",A27,FIND("_",A27))-FIND("_",A27)-1))),":",SUM(MID(A27,FIND(":",A27)+1,FIND("_",A27)-FIND(":",A27)-1),MID(A27,FIND(":",A27,FIND("_",A27))+1,FIND(")",A27)-FIND(":",A27,FIND("_",A27))-1)),MID(A27,(FIND(")",A27)+1),100))),A27)</f>
        <v>PE 33:1</v>
      </c>
      <c r="C27" s="1" t="str">
        <f>MID(B27,4,FIND(":",B27)-FIND(" ",B27)-1)</f>
        <v>33</v>
      </c>
      <c r="D27" s="1" t="str">
        <f>IF(ISNUMBER(SEARCH("__",B27)),MID(B27,FIND(":",B27)+1,FIND("__",B27)-FIND(":",B27)-1),MID(B27,FIND(":",B27)+1,7))</f>
        <v>1</v>
      </c>
      <c r="E27" s="17" t="str">
        <f t="shared" si="15"/>
        <v>3</v>
      </c>
      <c r="G27" s="17">
        <f t="shared" si="16"/>
        <v>38</v>
      </c>
      <c r="H27" s="17">
        <f>2*G27-(2*D27)-((LEN(A27)-LEN(SUBSTITUTE(A27,"_O_","")))/LEN("_O_"))*2-((LEN(A27)-LEN(SUBSTITUTE(A27,"_CHO_","")))/LEN("_CHO_"))*2-((LEN(A27)-LEN(SUBSTITUTE(A27,"_COOH_","")))/LEN("_COOH_"))*2</f>
        <v>74</v>
      </c>
      <c r="I27" s="17">
        <v>1</v>
      </c>
      <c r="J27" s="17">
        <f>8+((LEN(A27)-LEN(SUBSTITUTE(A27,"_OH_","")))/LEN("_OH_"))*1+((LEN(A27)-LEN(SUBSTITUTE(A27,"_OOH_","")))/LEN("_OOH_"))*2+((LEN(A27)-LEN(SUBSTITUTE(A27,"_O_","")))/LEN("_O_"))*1+((LEN(A27)-LEN(SUBSTITUTE(A27,"_CHO_","")))/LEN("_CHO_"))*1+((LEN(A27)-LEN(SUBSTITUTE(A27,"_COOH_","")))/LEN("_COOH_"))*2</f>
        <v>8</v>
      </c>
      <c r="K27" s="17">
        <v>1</v>
      </c>
      <c r="L27" s="19" t="str">
        <f t="shared" si="19"/>
        <v>C38H74N1O8P1</v>
      </c>
      <c r="M27" s="19">
        <f t="shared" si="20"/>
        <v>703.51517739999997</v>
      </c>
      <c r="N27" s="19">
        <f>M27+1.0078246-0.00055</f>
        <v>704.52245200000004</v>
      </c>
      <c r="O27" s="19">
        <f>N27-18.01057-0.00055</f>
        <v>686.51133200000004</v>
      </c>
      <c r="P27" s="19">
        <f>M27+18.03437-0.00055</f>
        <v>721.54899739999996</v>
      </c>
      <c r="Q27" s="19">
        <f>M27+22.98977-0.00055</f>
        <v>726.50439740000002</v>
      </c>
      <c r="R27" s="19">
        <f>M27+38.96371-0.00055</f>
        <v>742.47833739999999</v>
      </c>
      <c r="S27" s="19">
        <f>M27+7.01601-0.00055</f>
        <v>710.53063740000005</v>
      </c>
      <c r="T27" s="46">
        <f>M27-1.0078246+0.00055</f>
        <v>702.5079027999999</v>
      </c>
      <c r="U27" s="19">
        <f>M27+44.99767+0.00055</f>
        <v>748.51339739999992</v>
      </c>
      <c r="V27" s="19">
        <f>M27+59.01332+0.00055</f>
        <v>762.52904739999997</v>
      </c>
    </row>
    <row r="28" spans="1:22" x14ac:dyDescent="0.25">
      <c r="A28" s="17" t="s">
        <v>415</v>
      </c>
      <c r="B28" s="17" t="str">
        <f t="shared" si="12"/>
        <v>PE 33:0</v>
      </c>
      <c r="C28" s="1" t="str">
        <f t="shared" si="13"/>
        <v>33</v>
      </c>
      <c r="D28" s="1" t="str">
        <f t="shared" si="14"/>
        <v>0</v>
      </c>
      <c r="E28" s="17" t="str">
        <f t="shared" si="15"/>
        <v>3</v>
      </c>
      <c r="G28" s="17">
        <f t="shared" si="16"/>
        <v>38</v>
      </c>
      <c r="H28" s="17">
        <f t="shared" si="17"/>
        <v>76</v>
      </c>
      <c r="I28" s="17">
        <v>1</v>
      </c>
      <c r="J28" s="17">
        <f t="shared" si="18"/>
        <v>8</v>
      </c>
      <c r="K28" s="17">
        <v>1</v>
      </c>
      <c r="L28" s="19" t="str">
        <f t="shared" si="19"/>
        <v>C38H76N1O8P1</v>
      </c>
      <c r="M28" s="19">
        <f t="shared" si="20"/>
        <v>705.53082659999995</v>
      </c>
      <c r="N28" s="19">
        <f t="shared" si="21"/>
        <v>706.53810120000003</v>
      </c>
      <c r="O28" s="19">
        <f t="shared" si="22"/>
        <v>688.52698120000002</v>
      </c>
      <c r="P28" s="19">
        <f t="shared" si="23"/>
        <v>723.56464659999995</v>
      </c>
      <c r="Q28" s="19">
        <f t="shared" si="24"/>
        <v>728.5200466</v>
      </c>
      <c r="R28" s="19">
        <f t="shared" si="25"/>
        <v>744.49398659999997</v>
      </c>
      <c r="S28" s="19">
        <f t="shared" si="26"/>
        <v>712.54628660000003</v>
      </c>
      <c r="T28" s="46">
        <f t="shared" si="27"/>
        <v>704.52355199999988</v>
      </c>
      <c r="U28" s="19">
        <f t="shared" si="28"/>
        <v>750.5290465999999</v>
      </c>
      <c r="V28" s="19">
        <f t="shared" si="29"/>
        <v>764.54469659999995</v>
      </c>
    </row>
    <row r="29" spans="1:22" x14ac:dyDescent="0.25">
      <c r="A29" s="17" t="s">
        <v>469</v>
      </c>
      <c r="B29" s="17" t="str">
        <f>IF(ISNUMBER(SEARCH("(",A29)),IF(ISNUMBER(SEARCH("/",A29)),CONCATENATE(MID(A29,1,2)," ",(SUM(MID(A29,FIND("(",A29)+1,FIND(":",A29)-FIND("(",A29)-1),MID(A29,FIND("/",A29)+1,FIND(":",A29,FIND("/",A29))-FIND("/",A29)-1))),":",SUM(MID(A29,FIND(":",A29)+1,FIND("/",A29)-FIND(":",A29)-1),MID(A29,FIND(":",A29,FIND("/",A29))+1,FIND(")",A29)-FIND(":",A29,FIND("/",A29))-1)),MID(A29,(FIND(")",A29)+1),100)),CONCATENATE(MID(A29,1,2)," ",(SUM(MID(A29,FIND("(",A29)+1,FIND(":",A29)-FIND("(",A29)-1),MID(A29,FIND("_",A29)+1,FIND(":",A29,FIND("_",A29))-FIND("_",A29)-1))),":",SUM(MID(A29,FIND(":",A29)+1,FIND("_",A29)-FIND(":",A29)-1),MID(A29,FIND(":",A29,FIND("_",A29))+1,FIND(")",A29)-FIND(":",A29,FIND("_",A29))-1)),MID(A29,(FIND(")",A29)+1),100))),A29)</f>
        <v>PE 34:2</v>
      </c>
      <c r="C29" s="1" t="str">
        <f>MID(B29,4,FIND(":",B29)-FIND(" ",B29)-1)</f>
        <v>34</v>
      </c>
      <c r="D29" s="1" t="str">
        <f>IF(ISNUMBER(SEARCH("__",B29)),MID(B29,FIND(":",B29)+1,FIND("__",B29)-FIND(":",B29)-1),MID(B29,FIND(":",B29)+1,7))</f>
        <v>2</v>
      </c>
      <c r="E29" s="17" t="str">
        <f t="shared" si="15"/>
        <v>4</v>
      </c>
      <c r="G29" s="17">
        <f t="shared" si="16"/>
        <v>39</v>
      </c>
      <c r="H29" s="17">
        <f>2*G29-(2*D29)-((LEN(A29)-LEN(SUBSTITUTE(A29,"_O_","")))/LEN("_O_"))*2-((LEN(A29)-LEN(SUBSTITUTE(A29,"_CHO_","")))/LEN("_CHO_"))*2-((LEN(A29)-LEN(SUBSTITUTE(A29,"_COOH_","")))/LEN("_COOH_"))*2</f>
        <v>74</v>
      </c>
      <c r="I29" s="17">
        <v>1</v>
      </c>
      <c r="J29" s="17">
        <f>8+((LEN(A29)-LEN(SUBSTITUTE(A29,"_OH_","")))/LEN("_OH_"))*1+((LEN(A29)-LEN(SUBSTITUTE(A29,"_OOH_","")))/LEN("_OOH_"))*2+((LEN(A29)-LEN(SUBSTITUTE(A29,"_O_","")))/LEN("_O_"))*1+((LEN(A29)-LEN(SUBSTITUTE(A29,"_CHO_","")))/LEN("_CHO_"))*1+((LEN(A29)-LEN(SUBSTITUTE(A29,"_COOH_","")))/LEN("_COOH_"))*2</f>
        <v>8</v>
      </c>
      <c r="K29" s="17">
        <v>1</v>
      </c>
      <c r="L29" s="19" t="str">
        <f t="shared" si="19"/>
        <v>C39H74N1O8P1</v>
      </c>
      <c r="M29" s="19">
        <f t="shared" si="20"/>
        <v>715.51517739999997</v>
      </c>
      <c r="N29" s="19">
        <f>M29+1.0078246-0.00055</f>
        <v>716.52245200000004</v>
      </c>
      <c r="O29" s="19">
        <f>N29-18.01057-0.00055</f>
        <v>698.51133200000004</v>
      </c>
      <c r="P29" s="19">
        <f>M29+18.03437-0.00055</f>
        <v>733.54899739999996</v>
      </c>
      <c r="Q29" s="19">
        <f>M29+22.98977-0.00055</f>
        <v>738.50439740000002</v>
      </c>
      <c r="R29" s="19">
        <f>M29+38.96371-0.00055</f>
        <v>754.47833739999999</v>
      </c>
      <c r="S29" s="19">
        <f>M29+7.01601-0.00055</f>
        <v>722.53063740000005</v>
      </c>
      <c r="T29" s="46">
        <f>M29-1.0078246+0.00055</f>
        <v>714.5079027999999</v>
      </c>
      <c r="U29" s="19">
        <f>M29+44.99767+0.00055</f>
        <v>760.51339739999992</v>
      </c>
      <c r="V29" s="19">
        <f>M29+59.01332+0.00055</f>
        <v>774.52904739999997</v>
      </c>
    </row>
    <row r="30" spans="1:22" x14ac:dyDescent="0.25">
      <c r="A30" s="17" t="s">
        <v>512</v>
      </c>
      <c r="B30" s="17" t="str">
        <f>IF(ISNUMBER(SEARCH("(",A30)),IF(ISNUMBER(SEARCH("/",A30)),CONCATENATE(MID(A30,1,2)," ",(SUM(MID(A30,FIND("(",A30)+1,FIND(":",A30)-FIND("(",A30)-1),MID(A30,FIND("/",A30)+1,FIND(":",A30,FIND("/",A30))-FIND("/",A30)-1))),":",SUM(MID(A30,FIND(":",A30)+1,FIND("/",A30)-FIND(":",A30)-1),MID(A30,FIND(":",A30,FIND("/",A30))+1,FIND(")",A30)-FIND(":",A30,FIND("/",A30))-1)),MID(A30,(FIND(")",A30)+1),100)),CONCATENATE(MID(A30,1,2)," ",(SUM(MID(A30,FIND("(",A30)+1,FIND(":",A30)-FIND("(",A30)-1),MID(A30,FIND("_",A30)+1,FIND(":",A30,FIND("_",A30))-FIND("_",A30)-1))),":",SUM(MID(A30,FIND(":",A30)+1,FIND("_",A30)-FIND(":",A30)-1),MID(A30,FIND(":",A30,FIND("_",A30))+1,FIND(")",A30)-FIND(":",A30,FIND("_",A30))-1)),MID(A30,(FIND(")",A30)+1),100))),A30)</f>
        <v>PE 34:1</v>
      </c>
      <c r="C30" s="1" t="str">
        <f>MID(B30,4,FIND(":",B30)-FIND(" ",B30)-1)</f>
        <v>34</v>
      </c>
      <c r="D30" s="1" t="str">
        <f>IF(ISNUMBER(SEARCH("__",B30)),MID(B30,FIND(":",B30)+1,FIND("__",B30)-FIND(":",B30)-1),MID(B30,FIND(":",B30)+1,7))</f>
        <v>1</v>
      </c>
      <c r="E30" s="17" t="str">
        <f t="shared" si="15"/>
        <v>4</v>
      </c>
      <c r="G30" s="17">
        <f t="shared" si="16"/>
        <v>39</v>
      </c>
      <c r="H30" s="17">
        <f>2*G30-(2*D30)-((LEN(A30)-LEN(SUBSTITUTE(A30,"_O_","")))/LEN("_O_"))*2-((LEN(A30)-LEN(SUBSTITUTE(A30,"_CHO_","")))/LEN("_CHO_"))*2-((LEN(A30)-LEN(SUBSTITUTE(A30,"_COOH_","")))/LEN("_COOH_"))*2</f>
        <v>76</v>
      </c>
      <c r="I30" s="17">
        <v>1</v>
      </c>
      <c r="J30" s="17">
        <f>8+((LEN(A30)-LEN(SUBSTITUTE(A30,"_OH_","")))/LEN("_OH_"))*1+((LEN(A30)-LEN(SUBSTITUTE(A30,"_OOH_","")))/LEN("_OOH_"))*2+((LEN(A30)-LEN(SUBSTITUTE(A30,"_O_","")))/LEN("_O_"))*1+((LEN(A30)-LEN(SUBSTITUTE(A30,"_CHO_","")))/LEN("_CHO_"))*1+((LEN(A30)-LEN(SUBSTITUTE(A30,"_COOH_","")))/LEN("_COOH_"))*2</f>
        <v>8</v>
      </c>
      <c r="K30" s="17">
        <v>1</v>
      </c>
      <c r="L30" s="19" t="str">
        <f t="shared" si="19"/>
        <v>C39H76N1O8P1</v>
      </c>
      <c r="M30" s="19">
        <f t="shared" si="20"/>
        <v>717.53082659999995</v>
      </c>
      <c r="N30" s="19">
        <f>M30+1.0078246-0.00055</f>
        <v>718.53810120000003</v>
      </c>
      <c r="O30" s="19">
        <f>N30-18.01057-0.00055</f>
        <v>700.52698120000002</v>
      </c>
      <c r="P30" s="19">
        <f>M30+18.03437-0.00055</f>
        <v>735.56464659999995</v>
      </c>
      <c r="Q30" s="19">
        <f>M30+22.98977-0.00055</f>
        <v>740.5200466</v>
      </c>
      <c r="R30" s="19">
        <f>M30+38.96371-0.00055</f>
        <v>756.49398659999997</v>
      </c>
      <c r="S30" s="19">
        <f>M30+7.01601-0.00055</f>
        <v>724.54628660000003</v>
      </c>
      <c r="T30" s="46">
        <f>M30-1.0078246+0.00055</f>
        <v>716.52355199999988</v>
      </c>
      <c r="U30" s="19">
        <f>M30+44.99767+0.00055</f>
        <v>762.5290465999999</v>
      </c>
      <c r="V30" s="19">
        <f>M30+59.01332+0.00055</f>
        <v>776.54469659999995</v>
      </c>
    </row>
    <row r="31" spans="1:22" x14ac:dyDescent="0.25">
      <c r="A31" s="17" t="s">
        <v>416</v>
      </c>
      <c r="B31" s="17" t="str">
        <f t="shared" si="12"/>
        <v>PE 34:0</v>
      </c>
      <c r="C31" s="1" t="str">
        <f t="shared" si="13"/>
        <v>34</v>
      </c>
      <c r="D31" s="1" t="str">
        <f t="shared" si="14"/>
        <v>0</v>
      </c>
      <c r="E31" s="17" t="str">
        <f t="shared" si="15"/>
        <v>4</v>
      </c>
      <c r="G31" s="17">
        <f t="shared" si="16"/>
        <v>39</v>
      </c>
      <c r="H31" s="17">
        <f t="shared" si="17"/>
        <v>78</v>
      </c>
      <c r="I31" s="17">
        <v>1</v>
      </c>
      <c r="J31" s="17">
        <f t="shared" si="18"/>
        <v>8</v>
      </c>
      <c r="K31" s="17">
        <v>1</v>
      </c>
      <c r="L31" s="19" t="str">
        <f t="shared" si="19"/>
        <v>C39H78N1O8P1</v>
      </c>
      <c r="M31" s="19">
        <f t="shared" si="20"/>
        <v>719.54647579999994</v>
      </c>
      <c r="N31" s="19">
        <f t="shared" si="21"/>
        <v>720.55375040000001</v>
      </c>
      <c r="O31" s="19">
        <f t="shared" si="22"/>
        <v>702.54263040000001</v>
      </c>
      <c r="P31" s="19">
        <f t="shared" si="23"/>
        <v>737.58029579999993</v>
      </c>
      <c r="Q31" s="19">
        <f t="shared" si="24"/>
        <v>742.53569579999998</v>
      </c>
      <c r="R31" s="19">
        <f t="shared" si="25"/>
        <v>758.50963579999996</v>
      </c>
      <c r="S31" s="19">
        <f t="shared" si="26"/>
        <v>726.56193580000001</v>
      </c>
      <c r="T31" s="46">
        <f t="shared" si="27"/>
        <v>718.53920119999987</v>
      </c>
      <c r="U31" s="19">
        <f t="shared" si="28"/>
        <v>764.54469579999989</v>
      </c>
      <c r="V31" s="19">
        <f t="shared" si="29"/>
        <v>778.56034579999994</v>
      </c>
    </row>
    <row r="32" spans="1:22" x14ac:dyDescent="0.25">
      <c r="A32" s="17" t="s">
        <v>513</v>
      </c>
      <c r="B32" s="17" t="str">
        <f>IF(ISNUMBER(SEARCH("(",A32)),IF(ISNUMBER(SEARCH("/",A32)),CONCATENATE(MID(A32,1,2)," ",(SUM(MID(A32,FIND("(",A32)+1,FIND(":",A32)-FIND("(",A32)-1),MID(A32,FIND("/",A32)+1,FIND(":",A32,FIND("/",A32))-FIND("/",A32)-1))),":",SUM(MID(A32,FIND(":",A32)+1,FIND("/",A32)-FIND(":",A32)-1),MID(A32,FIND(":",A32,FIND("/",A32))+1,FIND(")",A32)-FIND(":",A32,FIND("/",A32))-1)),MID(A32,(FIND(")",A32)+1),100)),CONCATENATE(MID(A32,1,2)," ",(SUM(MID(A32,FIND("(",A32)+1,FIND(":",A32)-FIND("(",A32)-1),MID(A32,FIND("_",A32)+1,FIND(":",A32,FIND("_",A32))-FIND("_",A32)-1))),":",SUM(MID(A32,FIND(":",A32)+1,FIND("_",A32)-FIND(":",A32)-1),MID(A32,FIND(":",A32,FIND("_",A32))+1,FIND(")",A32)-FIND(":",A32,FIND("_",A32))-1)),MID(A32,(FIND(")",A32)+1),100))),A32)</f>
        <v>PE 35:2</v>
      </c>
      <c r="C32" s="1" t="str">
        <f>MID(B32,4,FIND(":",B32)-FIND(" ",B32)-1)</f>
        <v>35</v>
      </c>
      <c r="D32" s="1" t="str">
        <f>IF(ISNUMBER(SEARCH("__",B32)),MID(B32,FIND(":",B32)+1,FIND("__",B32)-FIND(":",B32)-1),MID(B32,FIND(":",B32)+1,7))</f>
        <v>2</v>
      </c>
      <c r="E32" s="17" t="str">
        <f t="shared" si="15"/>
        <v>5</v>
      </c>
      <c r="G32" s="17">
        <f t="shared" si="16"/>
        <v>40</v>
      </c>
      <c r="H32" s="17">
        <f>2*G32-(2*D32)-((LEN(A32)-LEN(SUBSTITUTE(A32,"_O_","")))/LEN("_O_"))*2-((LEN(A32)-LEN(SUBSTITUTE(A32,"_CHO_","")))/LEN("_CHO_"))*2-((LEN(A32)-LEN(SUBSTITUTE(A32,"_COOH_","")))/LEN("_COOH_"))*2</f>
        <v>76</v>
      </c>
      <c r="I32" s="17">
        <v>1</v>
      </c>
      <c r="J32" s="17">
        <f>8+((LEN(A32)-LEN(SUBSTITUTE(A32,"_OH_","")))/LEN("_OH_"))*1+((LEN(A32)-LEN(SUBSTITUTE(A32,"_OOH_","")))/LEN("_OOH_"))*2+((LEN(A32)-LEN(SUBSTITUTE(A32,"_O_","")))/LEN("_O_"))*1+((LEN(A32)-LEN(SUBSTITUTE(A32,"_CHO_","")))/LEN("_CHO_"))*1+((LEN(A32)-LEN(SUBSTITUTE(A32,"_COOH_","")))/LEN("_COOH_"))*2</f>
        <v>8</v>
      </c>
      <c r="K32" s="17">
        <v>1</v>
      </c>
      <c r="L32" s="19" t="str">
        <f t="shared" si="19"/>
        <v>C40H76N1O8P1</v>
      </c>
      <c r="M32" s="19">
        <f t="shared" si="20"/>
        <v>729.53082659999995</v>
      </c>
      <c r="N32" s="19">
        <f>M32+1.0078246-0.00055</f>
        <v>730.53810120000003</v>
      </c>
      <c r="O32" s="19">
        <f>N32-18.01057-0.00055</f>
        <v>712.52698120000002</v>
      </c>
      <c r="P32" s="19">
        <f>M32+18.03437-0.00055</f>
        <v>747.56464659999995</v>
      </c>
      <c r="Q32" s="19">
        <f>M32+22.98977-0.00055</f>
        <v>752.5200466</v>
      </c>
      <c r="R32" s="19">
        <f>M32+38.96371-0.00055</f>
        <v>768.49398659999997</v>
      </c>
      <c r="S32" s="19">
        <f>M32+7.01601-0.00055</f>
        <v>736.54628660000003</v>
      </c>
      <c r="T32" s="46">
        <f>M32-1.0078246+0.00055</f>
        <v>728.52355199999988</v>
      </c>
      <c r="U32" s="19">
        <f>M32+44.99767+0.00055</f>
        <v>774.5290465999999</v>
      </c>
      <c r="V32" s="19">
        <f>M32+59.01332+0.00055</f>
        <v>788.54469659999995</v>
      </c>
    </row>
    <row r="33" spans="1:22" x14ac:dyDescent="0.25">
      <c r="A33" s="17" t="s">
        <v>421</v>
      </c>
      <c r="B33" s="17" t="str">
        <f t="shared" si="12"/>
        <v>PE 35:1</v>
      </c>
      <c r="C33" s="1" t="str">
        <f t="shared" si="13"/>
        <v>35</v>
      </c>
      <c r="D33" s="1" t="str">
        <f t="shared" si="14"/>
        <v>1</v>
      </c>
      <c r="E33" s="17" t="str">
        <f t="shared" si="15"/>
        <v>5</v>
      </c>
      <c r="G33" s="17">
        <f t="shared" si="16"/>
        <v>40</v>
      </c>
      <c r="H33" s="17">
        <f t="shared" si="17"/>
        <v>78</v>
      </c>
      <c r="I33" s="17">
        <v>1</v>
      </c>
      <c r="J33" s="17">
        <f t="shared" si="18"/>
        <v>8</v>
      </c>
      <c r="K33" s="17">
        <v>1</v>
      </c>
      <c r="L33" s="19" t="str">
        <f t="shared" si="19"/>
        <v>C40H78N1O8P1</v>
      </c>
      <c r="M33" s="19">
        <f t="shared" si="20"/>
        <v>731.54647579999994</v>
      </c>
      <c r="N33" s="19">
        <f t="shared" si="21"/>
        <v>732.55375040000001</v>
      </c>
      <c r="O33" s="19">
        <f t="shared" si="22"/>
        <v>714.54263040000001</v>
      </c>
      <c r="P33" s="19">
        <f t="shared" si="23"/>
        <v>749.58029579999993</v>
      </c>
      <c r="Q33" s="19">
        <f t="shared" si="24"/>
        <v>754.53569579999998</v>
      </c>
      <c r="R33" s="19">
        <f t="shared" si="25"/>
        <v>770.50963579999996</v>
      </c>
      <c r="S33" s="19">
        <f t="shared" si="26"/>
        <v>738.56193580000001</v>
      </c>
      <c r="T33" s="46">
        <f t="shared" si="27"/>
        <v>730.53920119999987</v>
      </c>
      <c r="U33" s="19">
        <f t="shared" si="28"/>
        <v>776.54469579999989</v>
      </c>
      <c r="V33" s="19">
        <f t="shared" si="29"/>
        <v>790.56034579999994</v>
      </c>
    </row>
    <row r="34" spans="1:22" x14ac:dyDescent="0.25">
      <c r="A34" s="17" t="s">
        <v>417</v>
      </c>
      <c r="B34" s="17" t="str">
        <f t="shared" si="12"/>
        <v>PE 35:0</v>
      </c>
      <c r="C34" s="1" t="str">
        <f t="shared" si="13"/>
        <v>35</v>
      </c>
      <c r="D34" s="1" t="str">
        <f t="shared" si="14"/>
        <v>0</v>
      </c>
      <c r="E34" s="17" t="str">
        <f t="shared" si="15"/>
        <v>5</v>
      </c>
      <c r="G34" s="17">
        <f t="shared" si="16"/>
        <v>40</v>
      </c>
      <c r="H34" s="17">
        <f t="shared" si="17"/>
        <v>80</v>
      </c>
      <c r="I34" s="17">
        <v>1</v>
      </c>
      <c r="J34" s="17">
        <f t="shared" si="18"/>
        <v>8</v>
      </c>
      <c r="K34" s="17">
        <v>1</v>
      </c>
      <c r="L34" s="19" t="str">
        <f t="shared" si="19"/>
        <v>C40H80N1O8P1</v>
      </c>
      <c r="M34" s="19">
        <f t="shared" si="20"/>
        <v>733.56212500000004</v>
      </c>
      <c r="N34" s="19">
        <f t="shared" si="21"/>
        <v>734.56939960000011</v>
      </c>
      <c r="O34" s="19">
        <f t="shared" si="22"/>
        <v>716.55827960000011</v>
      </c>
      <c r="P34" s="19">
        <f t="shared" si="23"/>
        <v>751.59594500000003</v>
      </c>
      <c r="Q34" s="19">
        <f t="shared" si="24"/>
        <v>756.55134500000008</v>
      </c>
      <c r="R34" s="19">
        <f t="shared" si="25"/>
        <v>772.52528500000005</v>
      </c>
      <c r="S34" s="19">
        <f t="shared" si="26"/>
        <v>740.57758500000011</v>
      </c>
      <c r="T34" s="46">
        <f t="shared" si="27"/>
        <v>732.55485039999996</v>
      </c>
      <c r="U34" s="19">
        <f t="shared" si="28"/>
        <v>778.56034499999998</v>
      </c>
      <c r="V34" s="19">
        <f t="shared" si="29"/>
        <v>792.57599500000003</v>
      </c>
    </row>
    <row r="35" spans="1:22" x14ac:dyDescent="0.25">
      <c r="A35" s="17" t="s">
        <v>648</v>
      </c>
      <c r="B35" s="17" t="str">
        <f>IF(ISNUMBER(SEARCH("(",A35)),IF(ISNUMBER(SEARCH("/",A35)),CONCATENATE(MID(A35,1,2)," ",(SUM(MID(A35,FIND("(",A35)+1,FIND(":",A35)-FIND("(",A35)-1),MID(A35,FIND("/",A35)+1,FIND(":",A35,FIND("/",A35))-FIND("/",A35)-1))),":",SUM(MID(A35,FIND(":",A35)+1,FIND("/",A35)-FIND(":",A35)-1),MID(A35,FIND(":",A35,FIND("/",A35))+1,FIND(")",A35)-FIND(":",A35,FIND("/",A35))-1)),MID(A35,(FIND(")",A35)+1),100)),CONCATENATE(MID(A35,1,2)," ",(SUM(MID(A35,FIND("(",A35)+1,FIND(":",A35)-FIND("(",A35)-1),MID(A35,FIND("_",A35)+1,FIND(":",A35,FIND("_",A35))-FIND("_",A35)-1))),":",SUM(MID(A35,FIND(":",A35)+1,FIND("_",A35)-FIND(":",A35)-1),MID(A35,FIND(":",A35,FIND("_",A35))+1,FIND(")",A35)-FIND(":",A35,FIND("_",A35))-1)),MID(A35,(FIND(")",A35)+1),100))),A35)</f>
        <v>PE 36:4</v>
      </c>
      <c r="C35" s="1" t="str">
        <f>MID(B35,4,FIND(":",B35)-FIND(" ",B35)-1)</f>
        <v>36</v>
      </c>
      <c r="D35" s="1" t="str">
        <f>IF(ISNUMBER(SEARCH("__",B35)),MID(B35,FIND(":",B35)+1,FIND("__",B35)-FIND(":",B35)-1),MID(B35,FIND(":",B35)+1,7))</f>
        <v>4</v>
      </c>
      <c r="E35" s="17" t="str">
        <f t="shared" si="15"/>
        <v>6</v>
      </c>
      <c r="G35" s="17">
        <f t="shared" si="16"/>
        <v>41</v>
      </c>
      <c r="H35" s="17">
        <f>2*G35-(2*D35)-((LEN(A35)-LEN(SUBSTITUTE(A35,"_O_","")))/LEN("_O_"))*2-((LEN(A35)-LEN(SUBSTITUTE(A35,"_CHO_","")))/LEN("_CHO_"))*2-((LEN(A35)-LEN(SUBSTITUTE(A35,"_COOH_","")))/LEN("_COOH_"))*2</f>
        <v>74</v>
      </c>
      <c r="I35" s="17">
        <v>1</v>
      </c>
      <c r="J35" s="17">
        <f>8+((LEN(A35)-LEN(SUBSTITUTE(A35,"_OH_","")))/LEN("_OH_"))*1+((LEN(A35)-LEN(SUBSTITUTE(A35,"_OOH_","")))/LEN("_OOH_"))*2+((LEN(A35)-LEN(SUBSTITUTE(A35,"_O_","")))/LEN("_O_"))*1+((LEN(A35)-LEN(SUBSTITUTE(A35,"_CHO_","")))/LEN("_CHO_"))*1+((LEN(A35)-LEN(SUBSTITUTE(A35,"_COOH_","")))/LEN("_COOH_"))*2</f>
        <v>8</v>
      </c>
      <c r="K35" s="17">
        <v>1</v>
      </c>
      <c r="L35" s="19" t="str">
        <f t="shared" si="19"/>
        <v>C41H74N1O8P1</v>
      </c>
      <c r="M35" s="19">
        <f t="shared" si="20"/>
        <v>739.51517739999997</v>
      </c>
      <c r="N35" s="19">
        <f>M35+1.0078246-0.00055</f>
        <v>740.52245200000004</v>
      </c>
      <c r="O35" s="19">
        <f>N35-18.01057-0.00055</f>
        <v>722.51133200000004</v>
      </c>
      <c r="P35" s="19">
        <f>M35+18.03437-0.00055</f>
        <v>757.54899739999996</v>
      </c>
      <c r="Q35" s="19">
        <f>M35+22.98977-0.00055</f>
        <v>762.50439740000002</v>
      </c>
      <c r="R35" s="19">
        <f>M35+38.96371-0.00055</f>
        <v>778.47833739999999</v>
      </c>
      <c r="S35" s="19">
        <f>M35+7.01601-0.00055</f>
        <v>746.53063740000005</v>
      </c>
      <c r="T35" s="46">
        <f>M35-1.0078246+0.00055</f>
        <v>738.5079027999999</v>
      </c>
      <c r="U35" s="19">
        <f>M35+44.99767+0.00055</f>
        <v>784.51339739999992</v>
      </c>
      <c r="V35" s="19">
        <f>M35+59.01332+0.00055</f>
        <v>798.52904739999997</v>
      </c>
    </row>
    <row r="36" spans="1:22" x14ac:dyDescent="0.25">
      <c r="A36" s="17" t="s">
        <v>634</v>
      </c>
      <c r="B36" s="17" t="str">
        <f>IF(ISNUMBER(SEARCH("(",A36)),IF(ISNUMBER(SEARCH("/",A36)),CONCATENATE(MID(A36,1,2)," ",(SUM(MID(A36,FIND("(",A36)+1,FIND(":",A36)-FIND("(",A36)-1),MID(A36,FIND("/",A36)+1,FIND(":",A36,FIND("/",A36))-FIND("/",A36)-1))),":",SUM(MID(A36,FIND(":",A36)+1,FIND("/",A36)-FIND(":",A36)-1),MID(A36,FIND(":",A36,FIND("/",A36))+1,FIND(")",A36)-FIND(":",A36,FIND("/",A36))-1)),MID(A36,(FIND(")",A36)+1),100)),CONCATENATE(MID(A36,1,2)," ",(SUM(MID(A36,FIND("(",A36)+1,FIND(":",A36)-FIND("(",A36)-1),MID(A36,FIND("_",A36)+1,FIND(":",A36,FIND("_",A36))-FIND("_",A36)-1))),":",SUM(MID(A36,FIND(":",A36)+1,FIND("_",A36)-FIND(":",A36)-1),MID(A36,FIND(":",A36,FIND("_",A36))+1,FIND(")",A36)-FIND(":",A36,FIND("_",A36))-1)),MID(A36,(FIND(")",A36)+1),100))),A36)</f>
        <v>PE 36:3</v>
      </c>
      <c r="C36" s="1" t="str">
        <f>MID(B36,4,FIND(":",B36)-FIND(" ",B36)-1)</f>
        <v>36</v>
      </c>
      <c r="D36" s="1" t="str">
        <f>IF(ISNUMBER(SEARCH("__",B36)),MID(B36,FIND(":",B36)+1,FIND("__",B36)-FIND(":",B36)-1),MID(B36,FIND(":",B36)+1,7))</f>
        <v>3</v>
      </c>
      <c r="E36" s="17" t="str">
        <f t="shared" si="15"/>
        <v>6</v>
      </c>
      <c r="G36" s="17">
        <f t="shared" si="16"/>
        <v>41</v>
      </c>
      <c r="H36" s="17">
        <f>2*G36-(2*D36)-((LEN(A36)-LEN(SUBSTITUTE(A36,"_O_","")))/LEN("_O_"))*2-((LEN(A36)-LEN(SUBSTITUTE(A36,"_CHO_","")))/LEN("_CHO_"))*2-((LEN(A36)-LEN(SUBSTITUTE(A36,"_COOH_","")))/LEN("_COOH_"))*2</f>
        <v>76</v>
      </c>
      <c r="I36" s="17">
        <v>1</v>
      </c>
      <c r="J36" s="17">
        <f>8+((LEN(A36)-LEN(SUBSTITUTE(A36,"_OH_","")))/LEN("_OH_"))*1+((LEN(A36)-LEN(SUBSTITUTE(A36,"_OOH_","")))/LEN("_OOH_"))*2+((LEN(A36)-LEN(SUBSTITUTE(A36,"_O_","")))/LEN("_O_"))*1+((LEN(A36)-LEN(SUBSTITUTE(A36,"_CHO_","")))/LEN("_CHO_"))*1+((LEN(A36)-LEN(SUBSTITUTE(A36,"_COOH_","")))/LEN("_COOH_"))*2</f>
        <v>8</v>
      </c>
      <c r="K36" s="17">
        <v>1</v>
      </c>
      <c r="L36" s="19" t="str">
        <f t="shared" si="19"/>
        <v>C41H76N1O8P1</v>
      </c>
      <c r="M36" s="19">
        <f t="shared" si="20"/>
        <v>741.53082659999995</v>
      </c>
      <c r="N36" s="19">
        <f>M36+1.0078246-0.00055</f>
        <v>742.53810120000003</v>
      </c>
      <c r="O36" s="19">
        <f>N36-18.01057-0.00055</f>
        <v>724.52698120000002</v>
      </c>
      <c r="P36" s="19">
        <f>M36+18.03437-0.00055</f>
        <v>759.56464659999995</v>
      </c>
      <c r="Q36" s="19">
        <f>M36+22.98977-0.00055</f>
        <v>764.5200466</v>
      </c>
      <c r="R36" s="19">
        <f>M36+38.96371-0.00055</f>
        <v>780.49398659999997</v>
      </c>
      <c r="S36" s="19">
        <f>M36+7.01601-0.00055</f>
        <v>748.54628660000003</v>
      </c>
      <c r="T36" s="46">
        <f>M36-1.0078246+0.00055</f>
        <v>740.52355199999988</v>
      </c>
      <c r="U36" s="19">
        <f>M36+44.99767+0.00055</f>
        <v>786.5290465999999</v>
      </c>
      <c r="V36" s="19">
        <f>M36+59.01332+0.00055</f>
        <v>800.54469659999995</v>
      </c>
    </row>
    <row r="37" spans="1:22" x14ac:dyDescent="0.25">
      <c r="A37" s="17" t="s">
        <v>471</v>
      </c>
      <c r="B37" s="17" t="str">
        <f>IF(ISNUMBER(SEARCH("(",A37)),IF(ISNUMBER(SEARCH("/",A37)),CONCATENATE(MID(A37,1,2)," ",(SUM(MID(A37,FIND("(",A37)+1,FIND(":",A37)-FIND("(",A37)-1),MID(A37,FIND("/",A37)+1,FIND(":",A37,FIND("/",A37))-FIND("/",A37)-1))),":",SUM(MID(A37,FIND(":",A37)+1,FIND("/",A37)-FIND(":",A37)-1),MID(A37,FIND(":",A37,FIND("/",A37))+1,FIND(")",A37)-FIND(":",A37,FIND("/",A37))-1)),MID(A37,(FIND(")",A37)+1),100)),CONCATENATE(MID(A37,1,2)," ",(SUM(MID(A37,FIND("(",A37)+1,FIND(":",A37)-FIND("(",A37)-1),MID(A37,FIND("_",A37)+1,FIND(":",A37,FIND("_",A37))-FIND("_",A37)-1))),":",SUM(MID(A37,FIND(":",A37)+1,FIND("_",A37)-FIND(":",A37)-1),MID(A37,FIND(":",A37,FIND("_",A37))+1,FIND(")",A37)-FIND(":",A37,FIND("_",A37))-1)),MID(A37,(FIND(")",A37)+1),100))),A37)</f>
        <v>PE 36:2</v>
      </c>
      <c r="C37" s="1" t="str">
        <f>MID(B37,4,FIND(":",B37)-FIND(" ",B37)-1)</f>
        <v>36</v>
      </c>
      <c r="D37" s="1" t="str">
        <f>IF(ISNUMBER(SEARCH("__",B37)),MID(B37,FIND(":",B37)+1,FIND("__",B37)-FIND(":",B37)-1),MID(B37,FIND(":",B37)+1,7))</f>
        <v>2</v>
      </c>
      <c r="E37" s="17" t="str">
        <f t="shared" si="15"/>
        <v>6</v>
      </c>
      <c r="G37" s="17">
        <f t="shared" si="16"/>
        <v>41</v>
      </c>
      <c r="H37" s="17">
        <f>2*G37-(2*D37)-((LEN(A37)-LEN(SUBSTITUTE(A37,"_O_","")))/LEN("_O_"))*2-((LEN(A37)-LEN(SUBSTITUTE(A37,"_CHO_","")))/LEN("_CHO_"))*2-((LEN(A37)-LEN(SUBSTITUTE(A37,"_COOH_","")))/LEN("_COOH_"))*2</f>
        <v>78</v>
      </c>
      <c r="I37" s="17">
        <v>1</v>
      </c>
      <c r="J37" s="17">
        <f>8+((LEN(A37)-LEN(SUBSTITUTE(A37,"_OH_","")))/LEN("_OH_"))*1+((LEN(A37)-LEN(SUBSTITUTE(A37,"_OOH_","")))/LEN("_OOH_"))*2+((LEN(A37)-LEN(SUBSTITUTE(A37,"_O_","")))/LEN("_O_"))*1+((LEN(A37)-LEN(SUBSTITUTE(A37,"_CHO_","")))/LEN("_CHO_"))*1+((LEN(A37)-LEN(SUBSTITUTE(A37,"_COOH_","")))/LEN("_COOH_"))*2</f>
        <v>8</v>
      </c>
      <c r="K37" s="17">
        <v>1</v>
      </c>
      <c r="L37" s="19" t="str">
        <f t="shared" si="19"/>
        <v>C41H78N1O8P1</v>
      </c>
      <c r="M37" s="19">
        <f t="shared" si="20"/>
        <v>743.54647579999994</v>
      </c>
      <c r="N37" s="19">
        <f>M37+1.0078246-0.00055</f>
        <v>744.55375040000001</v>
      </c>
      <c r="O37" s="19">
        <f>N37-18.01057-0.00055</f>
        <v>726.54263040000001</v>
      </c>
      <c r="P37" s="19">
        <f>M37+18.03437-0.00055</f>
        <v>761.58029579999993</v>
      </c>
      <c r="Q37" s="19">
        <f>M37+22.98977-0.00055</f>
        <v>766.53569579999998</v>
      </c>
      <c r="R37" s="19">
        <f>M37+38.96371-0.00055</f>
        <v>782.50963579999996</v>
      </c>
      <c r="S37" s="19">
        <f>M37+7.01601-0.00055</f>
        <v>750.56193580000001</v>
      </c>
      <c r="T37" s="46">
        <f>M37-1.0078246+0.00055</f>
        <v>742.53920119999987</v>
      </c>
      <c r="U37" s="19">
        <f>M37+44.99767+0.00055</f>
        <v>788.54469579999989</v>
      </c>
      <c r="V37" s="19">
        <f>M37+59.01332+0.00055</f>
        <v>802.56034579999994</v>
      </c>
    </row>
    <row r="38" spans="1:22" x14ac:dyDescent="0.25">
      <c r="A38" s="17" t="s">
        <v>514</v>
      </c>
      <c r="B38" s="17" t="str">
        <f>IF(ISNUMBER(SEARCH("(",A38)),IF(ISNUMBER(SEARCH("/",A38)),CONCATENATE(MID(A38,1,2)," ",(SUM(MID(A38,FIND("(",A38)+1,FIND(":",A38)-FIND("(",A38)-1),MID(A38,FIND("/",A38)+1,FIND(":",A38,FIND("/",A38))-FIND("/",A38)-1))),":",SUM(MID(A38,FIND(":",A38)+1,FIND("/",A38)-FIND(":",A38)-1),MID(A38,FIND(":",A38,FIND("/",A38))+1,FIND(")",A38)-FIND(":",A38,FIND("/",A38))-1)),MID(A38,(FIND(")",A38)+1),100)),CONCATENATE(MID(A38,1,2)," ",(SUM(MID(A38,FIND("(",A38)+1,FIND(":",A38)-FIND("(",A38)-1),MID(A38,FIND("_",A38)+1,FIND(":",A38,FIND("_",A38))-FIND("_",A38)-1))),":",SUM(MID(A38,FIND(":",A38)+1,FIND("_",A38)-FIND(":",A38)-1),MID(A38,FIND(":",A38,FIND("_",A38))+1,FIND(")",A38)-FIND(":",A38,FIND("_",A38))-1)),MID(A38,(FIND(")",A38)+1),100))),A38)</f>
        <v>PE 36:1</v>
      </c>
      <c r="C38" s="1" t="str">
        <f>MID(B38,4,FIND(":",B38)-FIND(" ",B38)-1)</f>
        <v>36</v>
      </c>
      <c r="D38" s="1" t="str">
        <f>IF(ISNUMBER(SEARCH("__",B38)),MID(B38,FIND(":",B38)+1,FIND("__",B38)-FIND(":",B38)-1),MID(B38,FIND(":",B38)+1,7))</f>
        <v>1</v>
      </c>
      <c r="E38" s="17" t="str">
        <f t="shared" si="15"/>
        <v>6</v>
      </c>
      <c r="G38" s="17">
        <f t="shared" si="16"/>
        <v>41</v>
      </c>
      <c r="H38" s="17">
        <f>2*G38-(2*D38)-((LEN(A38)-LEN(SUBSTITUTE(A38,"_O_","")))/LEN("_O_"))*2-((LEN(A38)-LEN(SUBSTITUTE(A38,"_CHO_","")))/LEN("_CHO_"))*2-((LEN(A38)-LEN(SUBSTITUTE(A38,"_COOH_","")))/LEN("_COOH_"))*2</f>
        <v>80</v>
      </c>
      <c r="I38" s="17">
        <v>1</v>
      </c>
      <c r="J38" s="17">
        <f>8+((LEN(A38)-LEN(SUBSTITUTE(A38,"_OH_","")))/LEN("_OH_"))*1+((LEN(A38)-LEN(SUBSTITUTE(A38,"_OOH_","")))/LEN("_OOH_"))*2+((LEN(A38)-LEN(SUBSTITUTE(A38,"_O_","")))/LEN("_O_"))*1+((LEN(A38)-LEN(SUBSTITUTE(A38,"_CHO_","")))/LEN("_CHO_"))*1+((LEN(A38)-LEN(SUBSTITUTE(A38,"_COOH_","")))/LEN("_COOH_"))*2</f>
        <v>8</v>
      </c>
      <c r="K38" s="17">
        <v>1</v>
      </c>
      <c r="L38" s="19" t="str">
        <f t="shared" si="19"/>
        <v>C41H80N1O8P1</v>
      </c>
      <c r="M38" s="19">
        <f t="shared" si="20"/>
        <v>745.56212500000004</v>
      </c>
      <c r="N38" s="19">
        <f>M38+1.0078246-0.00055</f>
        <v>746.56939960000011</v>
      </c>
      <c r="O38" s="19">
        <f>N38-18.01057-0.00055</f>
        <v>728.55827960000011</v>
      </c>
      <c r="P38" s="19">
        <f>M38+18.03437-0.00055</f>
        <v>763.59594500000003</v>
      </c>
      <c r="Q38" s="19">
        <f>M38+22.98977-0.00055</f>
        <v>768.55134500000008</v>
      </c>
      <c r="R38" s="19">
        <f>M38+38.96371-0.00055</f>
        <v>784.52528500000005</v>
      </c>
      <c r="S38" s="19">
        <f>M38+7.01601-0.00055</f>
        <v>752.57758500000011</v>
      </c>
      <c r="T38" s="46">
        <f>M38-1.0078246+0.00055</f>
        <v>744.55485039999996</v>
      </c>
      <c r="U38" s="19">
        <f>M38+44.99767+0.00055</f>
        <v>790.56034499999998</v>
      </c>
      <c r="V38" s="19">
        <f>M38+59.01332+0.00055</f>
        <v>804.57599500000003</v>
      </c>
    </row>
    <row r="39" spans="1:22" x14ac:dyDescent="0.25">
      <c r="A39" s="17" t="s">
        <v>418</v>
      </c>
      <c r="B39" s="17" t="str">
        <f t="shared" si="12"/>
        <v>PE 36:0</v>
      </c>
      <c r="C39" s="1" t="str">
        <f t="shared" si="13"/>
        <v>36</v>
      </c>
      <c r="D39" s="1" t="str">
        <f t="shared" si="14"/>
        <v>0</v>
      </c>
      <c r="E39" s="17" t="str">
        <f t="shared" si="15"/>
        <v>6</v>
      </c>
      <c r="G39" s="17">
        <f t="shared" si="16"/>
        <v>41</v>
      </c>
      <c r="H39" s="17">
        <f t="shared" si="17"/>
        <v>82</v>
      </c>
      <c r="I39" s="17">
        <v>1</v>
      </c>
      <c r="J39" s="17">
        <f t="shared" si="18"/>
        <v>8</v>
      </c>
      <c r="K39" s="17">
        <v>1</v>
      </c>
      <c r="L39" s="19" t="str">
        <f t="shared" si="19"/>
        <v>C41H82N1O8P1</v>
      </c>
      <c r="M39" s="19">
        <f t="shared" si="20"/>
        <v>747.57777420000002</v>
      </c>
      <c r="N39" s="19">
        <f t="shared" si="21"/>
        <v>748.5850488000001</v>
      </c>
      <c r="O39" s="19">
        <f t="shared" si="22"/>
        <v>730.57392880000009</v>
      </c>
      <c r="P39" s="19">
        <f t="shared" si="23"/>
        <v>765.61159420000001</v>
      </c>
      <c r="Q39" s="19">
        <f t="shared" si="24"/>
        <v>770.56699420000007</v>
      </c>
      <c r="R39" s="19">
        <f t="shared" si="25"/>
        <v>786.54093420000004</v>
      </c>
      <c r="S39" s="19">
        <f t="shared" si="26"/>
        <v>754.5932342000001</v>
      </c>
      <c r="T39" s="46">
        <f t="shared" si="27"/>
        <v>746.57049959999995</v>
      </c>
      <c r="U39" s="19">
        <f t="shared" si="28"/>
        <v>792.57599419999997</v>
      </c>
      <c r="V39" s="19">
        <f t="shared" si="29"/>
        <v>806.59164420000002</v>
      </c>
    </row>
    <row r="40" spans="1:22" x14ac:dyDescent="0.25">
      <c r="A40" s="17" t="s">
        <v>635</v>
      </c>
      <c r="B40" s="17" t="str">
        <f>IF(ISNUMBER(SEARCH("(",A40)),IF(ISNUMBER(SEARCH("/",A40)),CONCATENATE(MID(A40,1,2)," ",(SUM(MID(A40,FIND("(",A40)+1,FIND(":",A40)-FIND("(",A40)-1),MID(A40,FIND("/",A40)+1,FIND(":",A40,FIND("/",A40))-FIND("/",A40)-1))),":",SUM(MID(A40,FIND(":",A40)+1,FIND("/",A40)-FIND(":",A40)-1),MID(A40,FIND(":",A40,FIND("/",A40))+1,FIND(")",A40)-FIND(":",A40,FIND("/",A40))-1)),MID(A40,(FIND(")",A40)+1),100)),CONCATENATE(MID(A40,1,2)," ",(SUM(MID(A40,FIND("(",A40)+1,FIND(":",A40)-FIND("(",A40)-1),MID(A40,FIND("_",A40)+1,FIND(":",A40,FIND("_",A40))-FIND("_",A40)-1))),":",SUM(MID(A40,FIND(":",A40)+1,FIND("_",A40)-FIND(":",A40)-1),MID(A40,FIND(":",A40,FIND("_",A40))+1,FIND(")",A40)-FIND(":",A40,FIND("_",A40))-1)),MID(A40,(FIND(")",A40)+1),100))),A40)</f>
        <v>PE 37:3</v>
      </c>
      <c r="C40" s="1" t="str">
        <f>MID(B40,4,FIND(":",B40)-FIND(" ",B40)-1)</f>
        <v>37</v>
      </c>
      <c r="D40" s="1" t="str">
        <f>IF(ISNUMBER(SEARCH("__",B40)),MID(B40,FIND(":",B40)+1,FIND("__",B40)-FIND(":",B40)-1),MID(B40,FIND(":",B40)+1,7))</f>
        <v>3</v>
      </c>
      <c r="E40" s="17" t="str">
        <f t="shared" si="15"/>
        <v>7</v>
      </c>
      <c r="G40" s="17">
        <f t="shared" si="16"/>
        <v>42</v>
      </c>
      <c r="H40" s="17">
        <f>2*G40-(2*D40)-((LEN(A40)-LEN(SUBSTITUTE(A40,"_O_","")))/LEN("_O_"))*2-((LEN(A40)-LEN(SUBSTITUTE(A40,"_CHO_","")))/LEN("_CHO_"))*2-((LEN(A40)-LEN(SUBSTITUTE(A40,"_COOH_","")))/LEN("_COOH_"))*2</f>
        <v>78</v>
      </c>
      <c r="I40" s="17">
        <v>1</v>
      </c>
      <c r="J40" s="17">
        <f>8+((LEN(A40)-LEN(SUBSTITUTE(A40,"_OH_","")))/LEN("_OH_"))*1+((LEN(A40)-LEN(SUBSTITUTE(A40,"_OOH_","")))/LEN("_OOH_"))*2+((LEN(A40)-LEN(SUBSTITUTE(A40,"_O_","")))/LEN("_O_"))*1+((LEN(A40)-LEN(SUBSTITUTE(A40,"_CHO_","")))/LEN("_CHO_"))*1+((LEN(A40)-LEN(SUBSTITUTE(A40,"_COOH_","")))/LEN("_COOH_"))*2</f>
        <v>8</v>
      </c>
      <c r="K40" s="17">
        <v>1</v>
      </c>
      <c r="L40" s="19" t="str">
        <f t="shared" si="19"/>
        <v>C42H78N1O8P1</v>
      </c>
      <c r="M40" s="19">
        <f t="shared" si="20"/>
        <v>755.54647579999994</v>
      </c>
      <c r="N40" s="19">
        <f>M40+1.0078246-0.00055</f>
        <v>756.55375040000001</v>
      </c>
      <c r="O40" s="19">
        <f>N40-18.01057-0.00055</f>
        <v>738.54263040000001</v>
      </c>
      <c r="P40" s="19">
        <f>M40+18.03437-0.00055</f>
        <v>773.58029579999993</v>
      </c>
      <c r="Q40" s="19">
        <f>M40+22.98977-0.00055</f>
        <v>778.53569579999998</v>
      </c>
      <c r="R40" s="19">
        <f>M40+38.96371-0.00055</f>
        <v>794.50963579999996</v>
      </c>
      <c r="S40" s="19">
        <f>M40+7.01601-0.00055</f>
        <v>762.56193580000001</v>
      </c>
      <c r="T40" s="46">
        <f>M40-1.0078246+0.00055</f>
        <v>754.53920119999987</v>
      </c>
      <c r="U40" s="19">
        <f>M40+44.99767+0.00055</f>
        <v>800.54469579999989</v>
      </c>
      <c r="V40" s="19">
        <f>M40+59.01332+0.00055</f>
        <v>814.56034579999994</v>
      </c>
    </row>
    <row r="41" spans="1:22" x14ac:dyDescent="0.25">
      <c r="A41" s="17" t="s">
        <v>515</v>
      </c>
      <c r="B41" s="17" t="str">
        <f>IF(ISNUMBER(SEARCH("(",A41)),IF(ISNUMBER(SEARCH("/",A41)),CONCATENATE(MID(A41,1,2)," ",(SUM(MID(A41,FIND("(",A41)+1,FIND(":",A41)-FIND("(",A41)-1),MID(A41,FIND("/",A41)+1,FIND(":",A41,FIND("/",A41))-FIND("/",A41)-1))),":",SUM(MID(A41,FIND(":",A41)+1,FIND("/",A41)-FIND(":",A41)-1),MID(A41,FIND(":",A41,FIND("/",A41))+1,FIND(")",A41)-FIND(":",A41,FIND("/",A41))-1)),MID(A41,(FIND(")",A41)+1),100)),CONCATENATE(MID(A41,1,2)," ",(SUM(MID(A41,FIND("(",A41)+1,FIND(":",A41)-FIND("(",A41)-1),MID(A41,FIND("_",A41)+1,FIND(":",A41,FIND("_",A41))-FIND("_",A41)-1))),":",SUM(MID(A41,FIND(":",A41)+1,FIND("_",A41)-FIND(":",A41)-1),MID(A41,FIND(":",A41,FIND("_",A41))+1,FIND(")",A41)-FIND(":",A41,FIND("_",A41))-1)),MID(A41,(FIND(")",A41)+1),100))),A41)</f>
        <v>PE 37:2</v>
      </c>
      <c r="C41" s="1" t="str">
        <f>MID(B41,4,FIND(":",B41)-FIND(" ",B41)-1)</f>
        <v>37</v>
      </c>
      <c r="D41" s="1" t="str">
        <f>IF(ISNUMBER(SEARCH("__",B41)),MID(B41,FIND(":",B41)+1,FIND("__",B41)-FIND(":",B41)-1),MID(B41,FIND(":",B41)+1,7))</f>
        <v>2</v>
      </c>
      <c r="E41" s="17" t="str">
        <f t="shared" si="15"/>
        <v>7</v>
      </c>
      <c r="G41" s="17">
        <f t="shared" si="16"/>
        <v>42</v>
      </c>
      <c r="H41" s="17">
        <f>2*G41-(2*D41)-((LEN(A41)-LEN(SUBSTITUTE(A41,"_O_","")))/LEN("_O_"))*2-((LEN(A41)-LEN(SUBSTITUTE(A41,"_CHO_","")))/LEN("_CHO_"))*2-((LEN(A41)-LEN(SUBSTITUTE(A41,"_COOH_","")))/LEN("_COOH_"))*2</f>
        <v>80</v>
      </c>
      <c r="I41" s="17">
        <v>1</v>
      </c>
      <c r="J41" s="17">
        <f>8+((LEN(A41)-LEN(SUBSTITUTE(A41,"_OH_","")))/LEN("_OH_"))*1+((LEN(A41)-LEN(SUBSTITUTE(A41,"_OOH_","")))/LEN("_OOH_"))*2+((LEN(A41)-LEN(SUBSTITUTE(A41,"_O_","")))/LEN("_O_"))*1+((LEN(A41)-LEN(SUBSTITUTE(A41,"_CHO_","")))/LEN("_CHO_"))*1+((LEN(A41)-LEN(SUBSTITUTE(A41,"_COOH_","")))/LEN("_COOH_"))*2</f>
        <v>8</v>
      </c>
      <c r="K41" s="17">
        <v>1</v>
      </c>
      <c r="L41" s="19" t="str">
        <f t="shared" si="19"/>
        <v>C42H80N1O8P1</v>
      </c>
      <c r="M41" s="19">
        <f t="shared" si="20"/>
        <v>757.56212500000004</v>
      </c>
      <c r="N41" s="19">
        <f>M41+1.0078246-0.00055</f>
        <v>758.56939960000011</v>
      </c>
      <c r="O41" s="19">
        <f>N41-18.01057-0.00055</f>
        <v>740.55827960000011</v>
      </c>
      <c r="P41" s="19">
        <f>M41+18.03437-0.00055</f>
        <v>775.59594500000003</v>
      </c>
      <c r="Q41" s="19">
        <f>M41+22.98977-0.00055</f>
        <v>780.55134500000008</v>
      </c>
      <c r="R41" s="19">
        <f>M41+38.96371-0.00055</f>
        <v>796.52528500000005</v>
      </c>
      <c r="S41" s="19">
        <f>M41+7.01601-0.00055</f>
        <v>764.57758500000011</v>
      </c>
      <c r="T41" s="46">
        <f>M41-1.0078246+0.00055</f>
        <v>756.55485039999996</v>
      </c>
      <c r="U41" s="19">
        <f>M41+44.99767+0.00055</f>
        <v>802.56034499999998</v>
      </c>
      <c r="V41" s="19">
        <f>M41+59.01332+0.00055</f>
        <v>816.57599500000003</v>
      </c>
    </row>
    <row r="42" spans="1:22" x14ac:dyDescent="0.25">
      <c r="A42" s="17" t="s">
        <v>516</v>
      </c>
      <c r="B42" s="17" t="str">
        <f>IF(ISNUMBER(SEARCH("(",A42)),IF(ISNUMBER(SEARCH("/",A42)),CONCATENATE(MID(A42,1,2)," ",(SUM(MID(A42,FIND("(",A42)+1,FIND(":",A42)-FIND("(",A42)-1),MID(A42,FIND("/",A42)+1,FIND(":",A42,FIND("/",A42))-FIND("/",A42)-1))),":",SUM(MID(A42,FIND(":",A42)+1,FIND("/",A42)-FIND(":",A42)-1),MID(A42,FIND(":",A42,FIND("/",A42))+1,FIND(")",A42)-FIND(":",A42,FIND("/",A42))-1)),MID(A42,(FIND(")",A42)+1),100)),CONCATENATE(MID(A42,1,2)," ",(SUM(MID(A42,FIND("(",A42)+1,FIND(":",A42)-FIND("(",A42)-1),MID(A42,FIND("_",A42)+1,FIND(":",A42,FIND("_",A42))-FIND("_",A42)-1))),":",SUM(MID(A42,FIND(":",A42)+1,FIND("_",A42)-FIND(":",A42)-1),MID(A42,FIND(":",A42,FIND("_",A42))+1,FIND(")",A42)-FIND(":",A42,FIND("_",A42))-1)),MID(A42,(FIND(")",A42)+1),100))),A42)</f>
        <v>PE 37:1</v>
      </c>
      <c r="C42" s="1" t="str">
        <f>MID(B42,4,FIND(":",B42)-FIND(" ",B42)-1)</f>
        <v>37</v>
      </c>
      <c r="D42" s="1" t="str">
        <f>IF(ISNUMBER(SEARCH("__",B42)),MID(B42,FIND(":",B42)+1,FIND("__",B42)-FIND(":",B42)-1),MID(B42,FIND(":",B42)+1,7))</f>
        <v>1</v>
      </c>
      <c r="E42" s="17" t="str">
        <f t="shared" si="15"/>
        <v>7</v>
      </c>
      <c r="G42" s="17">
        <f t="shared" si="16"/>
        <v>42</v>
      </c>
      <c r="H42" s="17">
        <f>2*G42-(2*D42)-((LEN(A42)-LEN(SUBSTITUTE(A42,"_O_","")))/LEN("_O_"))*2-((LEN(A42)-LEN(SUBSTITUTE(A42,"_CHO_","")))/LEN("_CHO_"))*2-((LEN(A42)-LEN(SUBSTITUTE(A42,"_COOH_","")))/LEN("_COOH_"))*2</f>
        <v>82</v>
      </c>
      <c r="I42" s="17">
        <v>1</v>
      </c>
      <c r="J42" s="17">
        <f>8+((LEN(A42)-LEN(SUBSTITUTE(A42,"_OH_","")))/LEN("_OH_"))*1+((LEN(A42)-LEN(SUBSTITUTE(A42,"_OOH_","")))/LEN("_OOH_"))*2+((LEN(A42)-LEN(SUBSTITUTE(A42,"_O_","")))/LEN("_O_"))*1+((LEN(A42)-LEN(SUBSTITUTE(A42,"_CHO_","")))/LEN("_CHO_"))*1+((LEN(A42)-LEN(SUBSTITUTE(A42,"_COOH_","")))/LEN("_COOH_"))*2</f>
        <v>8</v>
      </c>
      <c r="K42" s="17">
        <v>1</v>
      </c>
      <c r="L42" s="19" t="str">
        <f t="shared" si="19"/>
        <v>C42H82N1O8P1</v>
      </c>
      <c r="M42" s="19">
        <f t="shared" si="20"/>
        <v>759.57777420000002</v>
      </c>
      <c r="N42" s="19">
        <f>M42+1.0078246-0.00055</f>
        <v>760.5850488000001</v>
      </c>
      <c r="O42" s="19">
        <f>N42-18.01057-0.00055</f>
        <v>742.57392880000009</v>
      </c>
      <c r="P42" s="19">
        <f>M42+18.03437-0.00055</f>
        <v>777.61159420000001</v>
      </c>
      <c r="Q42" s="19">
        <f>M42+22.98977-0.00055</f>
        <v>782.56699420000007</v>
      </c>
      <c r="R42" s="19">
        <f>M42+38.96371-0.00055</f>
        <v>798.54093420000004</v>
      </c>
      <c r="S42" s="19">
        <f>M42+7.01601-0.00055</f>
        <v>766.5932342000001</v>
      </c>
      <c r="T42" s="46">
        <f>M42-1.0078246+0.00055</f>
        <v>758.57049959999995</v>
      </c>
      <c r="U42" s="19">
        <f>M42+44.99767+0.00055</f>
        <v>804.57599419999997</v>
      </c>
      <c r="V42" s="19">
        <f>M42+59.01332+0.00055</f>
        <v>818.59164420000002</v>
      </c>
    </row>
    <row r="43" spans="1:22" x14ac:dyDescent="0.25">
      <c r="A43" s="17" t="s">
        <v>419</v>
      </c>
      <c r="B43" s="17" t="str">
        <f t="shared" si="12"/>
        <v>PE 37:0</v>
      </c>
      <c r="C43" s="1" t="str">
        <f t="shared" si="13"/>
        <v>37</v>
      </c>
      <c r="D43" s="1" t="str">
        <f t="shared" si="14"/>
        <v>0</v>
      </c>
      <c r="E43" s="17" t="str">
        <f t="shared" si="15"/>
        <v>7</v>
      </c>
      <c r="G43" s="17">
        <f t="shared" si="16"/>
        <v>42</v>
      </c>
      <c r="H43" s="17">
        <f t="shared" si="17"/>
        <v>84</v>
      </c>
      <c r="I43" s="17">
        <v>1</v>
      </c>
      <c r="J43" s="17">
        <f t="shared" si="18"/>
        <v>8</v>
      </c>
      <c r="K43" s="17">
        <v>1</v>
      </c>
      <c r="L43" s="19" t="str">
        <f t="shared" si="19"/>
        <v>C42H84N1O8P1</v>
      </c>
      <c r="M43" s="19">
        <f t="shared" si="20"/>
        <v>761.59342340000001</v>
      </c>
      <c r="N43" s="19">
        <f t="shared" si="21"/>
        <v>762.60069800000008</v>
      </c>
      <c r="O43" s="19">
        <f t="shared" si="22"/>
        <v>744.58957800000007</v>
      </c>
      <c r="P43" s="19">
        <f t="shared" si="23"/>
        <v>779.6272434</v>
      </c>
      <c r="Q43" s="19">
        <f t="shared" si="24"/>
        <v>784.58264340000005</v>
      </c>
      <c r="R43" s="19">
        <f t="shared" si="25"/>
        <v>800.55658340000002</v>
      </c>
      <c r="S43" s="19">
        <f t="shared" si="26"/>
        <v>768.60888340000008</v>
      </c>
      <c r="T43" s="46">
        <f t="shared" si="27"/>
        <v>760.58614879999993</v>
      </c>
      <c r="U43" s="19">
        <f t="shared" si="28"/>
        <v>806.59164339999995</v>
      </c>
      <c r="V43" s="19">
        <f t="shared" si="29"/>
        <v>820.6072934</v>
      </c>
    </row>
    <row r="44" spans="1:22" x14ac:dyDescent="0.25">
      <c r="A44" s="17" t="s">
        <v>472</v>
      </c>
      <c r="B44" s="17" t="str">
        <f>IF(ISNUMBER(SEARCH("(",A44)),IF(ISNUMBER(SEARCH("/",A44)),CONCATENATE(MID(A44,1,2)," ",(SUM(MID(A44,FIND("(",A44)+1,FIND(":",A44)-FIND("(",A44)-1),MID(A44,FIND("/",A44)+1,FIND(":",A44,FIND("/",A44))-FIND("/",A44)-1))),":",SUM(MID(A44,FIND(":",A44)+1,FIND("/",A44)-FIND(":",A44)-1),MID(A44,FIND(":",A44,FIND("/",A44))+1,FIND(")",A44)-FIND(":",A44,FIND("/",A44))-1)),MID(A44,(FIND(")",A44)+1),100)),CONCATENATE(MID(A44,1,2)," ",(SUM(MID(A44,FIND("(",A44)+1,FIND(":",A44)-FIND("(",A44)-1),MID(A44,FIND("_",A44)+1,FIND(":",A44,FIND("_",A44))-FIND("_",A44)-1))),":",SUM(MID(A44,FIND(":",A44)+1,FIND("_",A44)-FIND(":",A44)-1),MID(A44,FIND(":",A44,FIND("_",A44))+1,FIND(")",A44)-FIND(":",A44,FIND("_",A44))-1)),MID(A44,(FIND(")",A44)+1),100))),A44)</f>
        <v>PE 38:2</v>
      </c>
      <c r="C44" s="1" t="str">
        <f>MID(B44,4,FIND(":",B44)-FIND(" ",B44)-1)</f>
        <v>38</v>
      </c>
      <c r="D44" s="1" t="str">
        <f>IF(ISNUMBER(SEARCH("__",B44)),MID(B44,FIND(":",B44)+1,FIND("__",B44)-FIND(":",B44)-1),MID(B44,FIND(":",B44)+1,7))</f>
        <v>2</v>
      </c>
      <c r="E44" s="17" t="str">
        <f t="shared" si="15"/>
        <v>8</v>
      </c>
      <c r="G44" s="17">
        <f t="shared" si="16"/>
        <v>43</v>
      </c>
      <c r="H44" s="17">
        <f>2*G44-(2*D44)-((LEN(A44)-LEN(SUBSTITUTE(A44,"_O_","")))/LEN("_O_"))*2-((LEN(A44)-LEN(SUBSTITUTE(A44,"_CHO_","")))/LEN("_CHO_"))*2-((LEN(A44)-LEN(SUBSTITUTE(A44,"_COOH_","")))/LEN("_COOH_"))*2</f>
        <v>82</v>
      </c>
      <c r="I44" s="17">
        <v>1</v>
      </c>
      <c r="J44" s="17">
        <f>8+((LEN(A44)-LEN(SUBSTITUTE(A44,"_OH_","")))/LEN("_OH_"))*1+((LEN(A44)-LEN(SUBSTITUTE(A44,"_OOH_","")))/LEN("_OOH_"))*2+((LEN(A44)-LEN(SUBSTITUTE(A44,"_O_","")))/LEN("_O_"))*1+((LEN(A44)-LEN(SUBSTITUTE(A44,"_CHO_","")))/LEN("_CHO_"))*1+((LEN(A44)-LEN(SUBSTITUTE(A44,"_COOH_","")))/LEN("_COOH_"))*2</f>
        <v>8</v>
      </c>
      <c r="K44" s="17">
        <v>1</v>
      </c>
      <c r="L44" s="19" t="str">
        <f t="shared" si="19"/>
        <v>C43H82N1O8P1</v>
      </c>
      <c r="M44" s="19">
        <f t="shared" si="20"/>
        <v>771.57777420000002</v>
      </c>
      <c r="N44" s="19">
        <f>M44+1.0078246-0.00055</f>
        <v>772.5850488000001</v>
      </c>
      <c r="O44" s="19">
        <f>N44-18.01057-0.00055</f>
        <v>754.57392880000009</v>
      </c>
      <c r="P44" s="19">
        <f>M44+18.03437-0.00055</f>
        <v>789.61159420000001</v>
      </c>
      <c r="Q44" s="19">
        <f>M44+22.98977-0.00055</f>
        <v>794.56699420000007</v>
      </c>
      <c r="R44" s="19">
        <f>M44+38.96371-0.00055</f>
        <v>810.54093420000004</v>
      </c>
      <c r="S44" s="19">
        <f>M44+7.01601-0.00055</f>
        <v>778.5932342000001</v>
      </c>
      <c r="T44" s="46">
        <f>M44-1.0078246+0.00055</f>
        <v>770.57049959999995</v>
      </c>
      <c r="U44" s="19">
        <f>M44+44.99767+0.00055</f>
        <v>816.57599419999997</v>
      </c>
      <c r="V44" s="19">
        <f>M44+59.01332+0.00055</f>
        <v>830.59164420000002</v>
      </c>
    </row>
    <row r="45" spans="1:22" x14ac:dyDescent="0.25">
      <c r="A45" s="17" t="s">
        <v>517</v>
      </c>
      <c r="B45" s="17" t="str">
        <f>IF(ISNUMBER(SEARCH("(",A45)),IF(ISNUMBER(SEARCH("/",A45)),CONCATENATE(MID(A45,1,2)," ",(SUM(MID(A45,FIND("(",A45)+1,FIND(":",A45)-FIND("(",A45)-1),MID(A45,FIND("/",A45)+1,FIND(":",A45,FIND("/",A45))-FIND("/",A45)-1))),":",SUM(MID(A45,FIND(":",A45)+1,FIND("/",A45)-FIND(":",A45)-1),MID(A45,FIND(":",A45,FIND("/",A45))+1,FIND(")",A45)-FIND(":",A45,FIND("/",A45))-1)),MID(A45,(FIND(")",A45)+1),100)),CONCATENATE(MID(A45,1,2)," ",(SUM(MID(A45,FIND("(",A45)+1,FIND(":",A45)-FIND("(",A45)-1),MID(A45,FIND("_",A45)+1,FIND(":",A45,FIND("_",A45))-FIND("_",A45)-1))),":",SUM(MID(A45,FIND(":",A45)+1,FIND("_",A45)-FIND(":",A45)-1),MID(A45,FIND(":",A45,FIND("_",A45))+1,FIND(")",A45)-FIND(":",A45,FIND("_",A45))-1)),MID(A45,(FIND(")",A45)+1),100))),A45)</f>
        <v>PE 38:1</v>
      </c>
      <c r="C45" s="1" t="str">
        <f>MID(B45,4,FIND(":",B45)-FIND(" ",B45)-1)</f>
        <v>38</v>
      </c>
      <c r="D45" s="1" t="str">
        <f>IF(ISNUMBER(SEARCH("__",B45)),MID(B45,FIND(":",B45)+1,FIND("__",B45)-FIND(":",B45)-1),MID(B45,FIND(":",B45)+1,7))</f>
        <v>1</v>
      </c>
      <c r="E45" s="17" t="str">
        <f t="shared" si="15"/>
        <v>8</v>
      </c>
      <c r="G45" s="17">
        <f t="shared" si="16"/>
        <v>43</v>
      </c>
      <c r="H45" s="17">
        <f>2*G45-(2*D45)-((LEN(A45)-LEN(SUBSTITUTE(A45,"_O_","")))/LEN("_O_"))*2-((LEN(A45)-LEN(SUBSTITUTE(A45,"_CHO_","")))/LEN("_CHO_"))*2-((LEN(A45)-LEN(SUBSTITUTE(A45,"_COOH_","")))/LEN("_COOH_"))*2</f>
        <v>84</v>
      </c>
      <c r="I45" s="17">
        <v>1</v>
      </c>
      <c r="J45" s="17">
        <f>8+((LEN(A45)-LEN(SUBSTITUTE(A45,"_OH_","")))/LEN("_OH_"))*1+((LEN(A45)-LEN(SUBSTITUTE(A45,"_OOH_","")))/LEN("_OOH_"))*2+((LEN(A45)-LEN(SUBSTITUTE(A45,"_O_","")))/LEN("_O_"))*1+((LEN(A45)-LEN(SUBSTITUTE(A45,"_CHO_","")))/LEN("_CHO_"))*1+((LEN(A45)-LEN(SUBSTITUTE(A45,"_COOH_","")))/LEN("_COOH_"))*2</f>
        <v>8</v>
      </c>
      <c r="K45" s="17">
        <v>1</v>
      </c>
      <c r="L45" s="19" t="str">
        <f t="shared" si="19"/>
        <v>C43H84N1O8P1</v>
      </c>
      <c r="M45" s="19">
        <f t="shared" si="20"/>
        <v>773.59342340000001</v>
      </c>
      <c r="N45" s="19">
        <f>M45+1.0078246-0.00055</f>
        <v>774.60069800000008</v>
      </c>
      <c r="O45" s="19">
        <f>N45-18.01057-0.00055</f>
        <v>756.58957800000007</v>
      </c>
      <c r="P45" s="19">
        <f>M45+18.03437-0.00055</f>
        <v>791.6272434</v>
      </c>
      <c r="Q45" s="19">
        <f>M45+22.98977-0.00055</f>
        <v>796.58264340000005</v>
      </c>
      <c r="R45" s="19">
        <f>M45+38.96371-0.00055</f>
        <v>812.55658340000002</v>
      </c>
      <c r="S45" s="19">
        <f>M45+7.01601-0.00055</f>
        <v>780.60888340000008</v>
      </c>
      <c r="T45" s="46">
        <f>M45-1.0078246+0.00055</f>
        <v>772.58614879999993</v>
      </c>
      <c r="U45" s="19">
        <f>M45+44.99767+0.00055</f>
        <v>818.59164339999995</v>
      </c>
      <c r="V45" s="19">
        <f>M45+59.01332+0.00055</f>
        <v>832.6072934</v>
      </c>
    </row>
    <row r="46" spans="1:22" x14ac:dyDescent="0.25">
      <c r="A46" s="17" t="s">
        <v>420</v>
      </c>
      <c r="B46" s="17" t="str">
        <f t="shared" si="12"/>
        <v>PE 38:0</v>
      </c>
      <c r="C46" s="1" t="str">
        <f t="shared" si="13"/>
        <v>38</v>
      </c>
      <c r="D46" s="1" t="str">
        <f t="shared" si="14"/>
        <v>0</v>
      </c>
      <c r="E46" s="17" t="str">
        <f t="shared" si="15"/>
        <v>8</v>
      </c>
      <c r="G46" s="17">
        <f t="shared" si="16"/>
        <v>43</v>
      </c>
      <c r="H46" s="17">
        <f t="shared" si="17"/>
        <v>86</v>
      </c>
      <c r="I46" s="17">
        <v>1</v>
      </c>
      <c r="J46" s="17">
        <f t="shared" si="18"/>
        <v>8</v>
      </c>
      <c r="K46" s="17">
        <v>1</v>
      </c>
      <c r="L46" s="19" t="str">
        <f t="shared" si="19"/>
        <v>C43H86N1O8P1</v>
      </c>
      <c r="M46" s="19">
        <f t="shared" si="20"/>
        <v>775.60907259999999</v>
      </c>
      <c r="N46" s="19">
        <f t="shared" si="21"/>
        <v>776.61634720000006</v>
      </c>
      <c r="O46" s="19">
        <f t="shared" si="22"/>
        <v>758.60522720000006</v>
      </c>
      <c r="P46" s="19">
        <f t="shared" si="23"/>
        <v>793.64289259999998</v>
      </c>
      <c r="Q46" s="19">
        <f t="shared" si="24"/>
        <v>798.59829260000004</v>
      </c>
      <c r="R46" s="19">
        <f t="shared" si="25"/>
        <v>814.57223260000001</v>
      </c>
      <c r="S46" s="19">
        <f t="shared" si="26"/>
        <v>782.62453260000007</v>
      </c>
      <c r="T46" s="46">
        <f t="shared" si="27"/>
        <v>774.60179799999992</v>
      </c>
      <c r="U46" s="19">
        <f t="shared" si="28"/>
        <v>820.60729259999994</v>
      </c>
      <c r="V46" s="19">
        <f t="shared" si="29"/>
        <v>834.62294259999999</v>
      </c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</sheetData>
  <sortState xmlns:xlrd2="http://schemas.microsoft.com/office/spreadsheetml/2017/richdata2" ref="A121:R160">
    <sortCondition ref="A121:A160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"/>
  <dimension ref="A1:W48"/>
  <sheetViews>
    <sheetView showGridLines="0" zoomScaleNormal="100" workbookViewId="0">
      <pane xSplit="11" ySplit="2" topLeftCell="L3" activePane="bottomRight" state="frozen"/>
      <selection pane="topRight"/>
      <selection pane="bottomLeft"/>
      <selection pane="bottomRight" activeCell="Y14" sqref="Y14"/>
    </sheetView>
  </sheetViews>
  <sheetFormatPr defaultColWidth="9.140625" defaultRowHeight="15.75" x14ac:dyDescent="0.25"/>
  <cols>
    <col min="1" max="1" width="22.85546875" style="17" customWidth="1"/>
    <col min="2" max="2" width="0.85546875" style="17" customWidth="1"/>
    <col min="3" max="3" width="3.85546875" style="17" hidden="1" customWidth="1"/>
    <col min="4" max="4" width="2.5703125" style="17" hidden="1" customWidth="1"/>
    <col min="5" max="6" width="9.140625" style="17" hidden="1" customWidth="1"/>
    <col min="7" max="8" width="10.85546875" style="17" hidden="1" customWidth="1"/>
    <col min="9" max="11" width="9.5703125" style="17" hidden="1" customWidth="1"/>
    <col min="12" max="12" width="18.7109375" style="19" bestFit="1" customWidth="1"/>
    <col min="13" max="13" width="15.85546875" style="19" bestFit="1" customWidth="1"/>
    <col min="14" max="14" width="12.140625" style="19" bestFit="1" customWidth="1"/>
    <col min="15" max="15" width="14.42578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2.140625" bestFit="1" customWidth="1"/>
  </cols>
  <sheetData>
    <row r="1" spans="1:23" s="28" customFormat="1" x14ac:dyDescent="0.25">
      <c r="A1" s="27" t="s">
        <v>74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8</v>
      </c>
      <c r="J1" s="27" t="s">
        <v>2</v>
      </c>
      <c r="K1" s="27" t="s">
        <v>9</v>
      </c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9"/>
    </row>
    <row r="2" spans="1:23" hidden="1" x14ac:dyDescent="0.25">
      <c r="A2" s="17" t="s">
        <v>98</v>
      </c>
      <c r="B2" s="17" t="str">
        <f t="shared" ref="B2:B22" si="0"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LPE 12:0</v>
      </c>
      <c r="C2" s="1" t="str">
        <f t="shared" ref="C2:C22" si="1">MID(B2,5,FIND(":",B2)-FIND(" ",B2)-1)</f>
        <v>12</v>
      </c>
      <c r="D2" s="1" t="str">
        <f t="shared" ref="D2:D22" si="2">IF(ISNUMBER(SEARCH("__",B2)),MID(B2,FIND(":",B2)+1,FIND("__",B2)-FIND(":",B2)-1),MID(B2,FIND(":",B2)+1,7))</f>
        <v>0</v>
      </c>
      <c r="G2" s="17">
        <f t="shared" ref="G2" si="3">C2+5</f>
        <v>17</v>
      </c>
      <c r="H2" s="17">
        <f t="shared" ref="H2:H22" si="4">2*G2-(2*D2)+2-((LEN(A2)-LEN(SUBSTITUTE(A2,"_O_","")))/LEN("_O_"))*2-((LEN(A2)-LEN(SUBSTITUTE(A2,"_CHO_","")))/LEN("_CHO_"))*2-((LEN(A2)-LEN(SUBSTITUTE(A2,"_COOH_","")))/LEN("_COOH_"))*2</f>
        <v>36</v>
      </c>
      <c r="I2" s="17">
        <v>1</v>
      </c>
      <c r="J2" s="17">
        <f t="shared" ref="J2:J22" si="5">7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7</v>
      </c>
      <c r="K2" s="17">
        <v>1</v>
      </c>
      <c r="L2" s="19" t="str">
        <f t="shared" ref="L2" si="6">CONCATENATE("C",G2,"H",H2,"N",I2,"O",J2,"P",K2)</f>
        <v>C17H36N1O7P1</v>
      </c>
      <c r="M2" s="19">
        <f t="shared" ref="M2" si="7">(G2*12)+(H2*1.0078246)+(I2*14.003074)+(J2*15.994915)+(K2*30.973763)</f>
        <v>397.22292759999999</v>
      </c>
      <c r="N2" s="19">
        <f t="shared" ref="N2:N22" si="8">M2+1.0078246-0.00055</f>
        <v>398.23020220000001</v>
      </c>
      <c r="O2" s="19">
        <f t="shared" ref="O2:O22" si="9">N2-18.01057-0.00055</f>
        <v>380.2190822</v>
      </c>
      <c r="P2" s="19">
        <f t="shared" ref="P2:P22" si="10">M2+18.03437-0.00055</f>
        <v>415.25674760000004</v>
      </c>
      <c r="Q2" s="19">
        <f t="shared" ref="Q2:Q22" si="11">M2+22.98977-0.00055</f>
        <v>420.21214760000004</v>
      </c>
      <c r="R2" s="19">
        <f t="shared" ref="R2:R22" si="12">M2+38.96371-0.00055</f>
        <v>436.18608760000001</v>
      </c>
      <c r="S2" s="19">
        <f t="shared" ref="S2:S22" si="13">M2+7.01601-0.00055</f>
        <v>404.23838760000001</v>
      </c>
      <c r="T2" s="19">
        <f t="shared" ref="T2:T22" si="14">M2-1.0078246+0.00055</f>
        <v>396.21565299999997</v>
      </c>
      <c r="U2" s="19">
        <f t="shared" ref="U2:U22" si="15">M2+44.99767+0.00055</f>
        <v>442.22114759999999</v>
      </c>
      <c r="V2" s="19">
        <f t="shared" ref="V2:V22" si="16">M2+59.01332+0.00055</f>
        <v>456.23679759999999</v>
      </c>
    </row>
    <row r="3" spans="1:23" x14ac:dyDescent="0.25">
      <c r="A3" s="17" t="s">
        <v>98</v>
      </c>
      <c r="B3" s="17" t="str">
        <f t="shared" si="0"/>
        <v>LPE 12:0</v>
      </c>
      <c r="C3" s="1" t="str">
        <f t="shared" si="1"/>
        <v>12</v>
      </c>
      <c r="D3" s="1" t="str">
        <f t="shared" si="2"/>
        <v>0</v>
      </c>
      <c r="G3" s="17">
        <f t="shared" ref="G3:G17" si="17">C3+5</f>
        <v>17</v>
      </c>
      <c r="H3" s="17">
        <f t="shared" si="4"/>
        <v>36</v>
      </c>
      <c r="I3" s="17">
        <v>1</v>
      </c>
      <c r="J3" s="17">
        <f t="shared" si="5"/>
        <v>7</v>
      </c>
      <c r="K3" s="17">
        <v>1</v>
      </c>
      <c r="L3" s="19" t="str">
        <f t="shared" ref="L3:L17" si="18">CONCATENATE("C",G3,"H",H3,"N",I3,"O",J3,"P",K3)</f>
        <v>C17H36N1O7P1</v>
      </c>
      <c r="M3" s="19">
        <f t="shared" ref="M3:M17" si="19">(G3*12)+(H3*1.0078246)+(I3*14.003074)+(J3*15.994915)+(K3*30.973763)</f>
        <v>397.22292759999999</v>
      </c>
      <c r="N3" s="19">
        <f t="shared" si="8"/>
        <v>398.23020220000001</v>
      </c>
      <c r="O3" s="19">
        <f t="shared" si="9"/>
        <v>380.2190822</v>
      </c>
      <c r="P3" s="19">
        <f t="shared" si="10"/>
        <v>415.25674760000004</v>
      </c>
      <c r="Q3" s="19">
        <f t="shared" si="11"/>
        <v>420.21214760000004</v>
      </c>
      <c r="R3" s="19">
        <f t="shared" si="12"/>
        <v>436.18608760000001</v>
      </c>
      <c r="S3" s="19">
        <f t="shared" si="13"/>
        <v>404.23838760000001</v>
      </c>
      <c r="T3" s="19">
        <f t="shared" si="14"/>
        <v>396.21565299999997</v>
      </c>
      <c r="U3" s="19">
        <f t="shared" si="15"/>
        <v>442.22114759999999</v>
      </c>
      <c r="V3" s="19">
        <f t="shared" si="16"/>
        <v>456.23679759999999</v>
      </c>
      <c r="W3" s="19"/>
    </row>
    <row r="4" spans="1:23" x14ac:dyDescent="0.25">
      <c r="A4" s="17" t="s">
        <v>434</v>
      </c>
      <c r="B4" s="17" t="str">
        <f t="shared" si="0"/>
        <v>LPE 13:0</v>
      </c>
      <c r="C4" s="1" t="str">
        <f t="shared" si="1"/>
        <v>13</v>
      </c>
      <c r="D4" s="1" t="str">
        <f t="shared" si="2"/>
        <v>0</v>
      </c>
      <c r="G4" s="17">
        <f t="shared" si="17"/>
        <v>18</v>
      </c>
      <c r="H4" s="17">
        <f t="shared" si="4"/>
        <v>38</v>
      </c>
      <c r="I4" s="17">
        <v>1</v>
      </c>
      <c r="J4" s="17">
        <f t="shared" si="5"/>
        <v>7</v>
      </c>
      <c r="K4" s="17">
        <v>1</v>
      </c>
      <c r="L4" s="19" t="str">
        <f t="shared" si="18"/>
        <v>C18H38N1O7P1</v>
      </c>
      <c r="M4" s="19">
        <f t="shared" si="19"/>
        <v>411.23857680000003</v>
      </c>
      <c r="N4" s="19">
        <f t="shared" si="8"/>
        <v>412.24585140000005</v>
      </c>
      <c r="O4" s="19">
        <f t="shared" si="9"/>
        <v>394.2347314000001</v>
      </c>
      <c r="P4" s="19">
        <f t="shared" si="10"/>
        <v>429.27239680000008</v>
      </c>
      <c r="Q4" s="19">
        <f t="shared" si="11"/>
        <v>434.22779680000008</v>
      </c>
      <c r="R4" s="19">
        <f t="shared" si="12"/>
        <v>450.20173680000005</v>
      </c>
      <c r="S4" s="19">
        <f t="shared" si="13"/>
        <v>418.25403680000005</v>
      </c>
      <c r="T4" s="19">
        <f t="shared" si="14"/>
        <v>410.23130220000002</v>
      </c>
      <c r="U4" s="19">
        <f t="shared" si="15"/>
        <v>456.23679679999998</v>
      </c>
      <c r="V4" s="19">
        <f t="shared" si="16"/>
        <v>470.25244680000003</v>
      </c>
      <c r="W4" s="19"/>
    </row>
    <row r="5" spans="1:23" x14ac:dyDescent="0.25">
      <c r="A5" s="17" t="s">
        <v>99</v>
      </c>
      <c r="B5" s="17" t="str">
        <f t="shared" si="0"/>
        <v>LPE 14:0</v>
      </c>
      <c r="C5" s="1" t="str">
        <f t="shared" si="1"/>
        <v>14</v>
      </c>
      <c r="D5" s="1" t="str">
        <f t="shared" si="2"/>
        <v>0</v>
      </c>
      <c r="G5" s="17">
        <f t="shared" si="17"/>
        <v>19</v>
      </c>
      <c r="H5" s="17">
        <f t="shared" si="4"/>
        <v>40</v>
      </c>
      <c r="I5" s="17">
        <v>1</v>
      </c>
      <c r="J5" s="17">
        <f t="shared" si="5"/>
        <v>7</v>
      </c>
      <c r="K5" s="17">
        <v>1</v>
      </c>
      <c r="L5" s="19" t="str">
        <f t="shared" si="18"/>
        <v>C19H40N1O7P1</v>
      </c>
      <c r="M5" s="19">
        <f t="shared" si="19"/>
        <v>425.25422600000007</v>
      </c>
      <c r="N5" s="19">
        <f t="shared" si="8"/>
        <v>426.26150060000009</v>
      </c>
      <c r="O5" s="19">
        <f t="shared" si="9"/>
        <v>408.25038060000008</v>
      </c>
      <c r="P5" s="19">
        <f t="shared" si="10"/>
        <v>443.28804600000012</v>
      </c>
      <c r="Q5" s="19">
        <f t="shared" si="11"/>
        <v>448.24344600000012</v>
      </c>
      <c r="R5" s="19">
        <f t="shared" si="12"/>
        <v>464.21738600000009</v>
      </c>
      <c r="S5" s="19">
        <f t="shared" si="13"/>
        <v>432.26968600000009</v>
      </c>
      <c r="T5" s="19">
        <f t="shared" si="14"/>
        <v>424.24695140000006</v>
      </c>
      <c r="U5" s="19">
        <f t="shared" si="15"/>
        <v>470.25244600000008</v>
      </c>
      <c r="V5" s="19">
        <f t="shared" si="16"/>
        <v>484.26809600000007</v>
      </c>
      <c r="W5" s="19"/>
    </row>
    <row r="6" spans="1:23" x14ac:dyDescent="0.25">
      <c r="A6" s="17" t="s">
        <v>636</v>
      </c>
      <c r="B6" s="17" t="str">
        <f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LPE 15:1</v>
      </c>
      <c r="C6" s="1" t="str">
        <f>MID(B6,5,FIND(":",B6)-FIND(" ",B6)-1)</f>
        <v>15</v>
      </c>
      <c r="D6" s="1" t="str">
        <f>IF(ISNUMBER(SEARCH("__",B6)),MID(B6,FIND(":",B6)+1,FIND("__",B6)-FIND(":",B6)-1),MID(B6,FIND(":",B6)+1,7))</f>
        <v>1</v>
      </c>
      <c r="G6" s="17">
        <f>C6+5</f>
        <v>20</v>
      </c>
      <c r="H6" s="17">
        <f>2*G6-(2*D6)+2-((LEN(A6)-LEN(SUBSTITUTE(A6,"_O_","")))/LEN("_O_"))*2-((LEN(A6)-LEN(SUBSTITUTE(A6,"_CHO_","")))/LEN("_CHO_"))*2-((LEN(A6)-LEN(SUBSTITUTE(A6,"_COOH_","")))/LEN("_COOH_"))*2</f>
        <v>40</v>
      </c>
      <c r="I6" s="17">
        <v>1</v>
      </c>
      <c r="J6" s="17">
        <f>7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7</v>
      </c>
      <c r="K6" s="17">
        <v>1</v>
      </c>
      <c r="L6" s="19" t="str">
        <f>CONCATENATE("C",G6,"H",H6,"N",I6,"O",J6,"P",K6)</f>
        <v>C20H40N1O7P1</v>
      </c>
      <c r="M6" s="19">
        <f>(G6*12)+(H6*1.0078246)+(I6*14.003074)+(J6*15.994915)+(K6*30.973763)</f>
        <v>437.25422600000007</v>
      </c>
      <c r="N6" s="19">
        <f>M6+1.0078246-0.00055</f>
        <v>438.26150060000009</v>
      </c>
      <c r="O6" s="19">
        <f>N6-18.01057-0.00055</f>
        <v>420.25038060000008</v>
      </c>
      <c r="P6" s="19">
        <f>M6+18.03437-0.00055</f>
        <v>455.28804600000012</v>
      </c>
      <c r="Q6" s="19">
        <f>M6+22.98977-0.00055</f>
        <v>460.24344600000012</v>
      </c>
      <c r="R6" s="19">
        <f>M6+38.96371-0.00055</f>
        <v>476.21738600000009</v>
      </c>
      <c r="S6" s="19">
        <f>M6+7.01601-0.00055</f>
        <v>444.26968600000009</v>
      </c>
      <c r="T6" s="19">
        <f>M6-1.0078246+0.00055</f>
        <v>436.24695140000006</v>
      </c>
      <c r="U6" s="19">
        <f>M6+44.99767+0.00055</f>
        <v>482.25244600000008</v>
      </c>
      <c r="V6" s="19">
        <f>M6+59.01332+0.00055</f>
        <v>496.26809600000007</v>
      </c>
    </row>
    <row r="7" spans="1:23" x14ac:dyDescent="0.25">
      <c r="A7" s="17" t="s">
        <v>435</v>
      </c>
      <c r="B7" s="17" t="str">
        <f t="shared" si="0"/>
        <v>LPE 15:0</v>
      </c>
      <c r="C7" s="1" t="str">
        <f t="shared" si="1"/>
        <v>15</v>
      </c>
      <c r="D7" s="1" t="str">
        <f t="shared" si="2"/>
        <v>0</v>
      </c>
      <c r="G7" s="17">
        <f t="shared" si="17"/>
        <v>20</v>
      </c>
      <c r="H7" s="17">
        <f t="shared" si="4"/>
        <v>42</v>
      </c>
      <c r="I7" s="17">
        <v>1</v>
      </c>
      <c r="J7" s="17">
        <f t="shared" si="5"/>
        <v>7</v>
      </c>
      <c r="K7" s="17">
        <v>1</v>
      </c>
      <c r="L7" s="19" t="str">
        <f t="shared" si="18"/>
        <v>C20H42N1O7P1</v>
      </c>
      <c r="M7" s="19">
        <f t="shared" si="19"/>
        <v>439.26987520000006</v>
      </c>
      <c r="N7" s="19">
        <f t="shared" si="8"/>
        <v>440.27714980000007</v>
      </c>
      <c r="O7" s="19">
        <f t="shared" si="9"/>
        <v>422.26602980000007</v>
      </c>
      <c r="P7" s="19">
        <f t="shared" si="10"/>
        <v>457.30369520000011</v>
      </c>
      <c r="Q7" s="19">
        <f t="shared" si="11"/>
        <v>462.2590952000001</v>
      </c>
      <c r="R7" s="19">
        <f t="shared" si="12"/>
        <v>478.23303520000007</v>
      </c>
      <c r="S7" s="19">
        <f t="shared" si="13"/>
        <v>446.28533520000008</v>
      </c>
      <c r="T7" s="19">
        <f t="shared" si="14"/>
        <v>438.26260060000004</v>
      </c>
      <c r="U7" s="19">
        <f t="shared" si="15"/>
        <v>484.26809520000006</v>
      </c>
      <c r="V7" s="19">
        <f t="shared" si="16"/>
        <v>498.28374520000006</v>
      </c>
      <c r="W7" s="19"/>
    </row>
    <row r="8" spans="1:23" x14ac:dyDescent="0.25">
      <c r="A8" s="17" t="s">
        <v>473</v>
      </c>
      <c r="B8" s="17" t="str">
        <f t="shared" ref="B8" si="20">IF(ISNUMBER(SEARCH("(",A8)),IF(ISNUMBER(SEARCH("/",A8)),CONCATENATE(MID(A8,1,2)," ",(SUM(MID(A8,FIND("(",A8)+1,FIND(":",A8)-FIND("(",A8)-1),MID(A8,FIND("/",A8)+1,FIND(":",A8,FIND("/",A8))-FIND("/",A8)-1))),":",SUM(MID(A8,FIND(":",A8)+1,FIND("/",A8)-FIND(":",A8)-1),MID(A8,FIND(":",A8,FIND("/",A8))+1,FIND(")",A8)-FIND(":",A8,FIND("/",A8))-1)),MID(A8,(FIND(")",A8)+1),100)),CONCATENATE(MID(A8,1,2)," ",(SUM(MID(A8,FIND("(",A8)+1,FIND(":",A8)-FIND("(",A8)-1),MID(A8,FIND("_",A8)+1,FIND(":",A8,FIND("_",A8))-FIND("_",A8)-1))),":",SUM(MID(A8,FIND(":",A8)+1,FIND("_",A8)-FIND(":",A8)-1),MID(A8,FIND(":",A8,FIND("_",A8))+1,FIND(")",A8)-FIND(":",A8,FIND("_",A8))-1)),MID(A8,(FIND(")",A8)+1),100))),A8)</f>
        <v>LPE 16:1</v>
      </c>
      <c r="C8" s="1" t="str">
        <f t="shared" ref="C8" si="21">MID(B8,5,FIND(":",B8)-FIND(" ",B8)-1)</f>
        <v>16</v>
      </c>
      <c r="D8" s="1" t="str">
        <f t="shared" ref="D8" si="22">IF(ISNUMBER(SEARCH("__",B8)),MID(B8,FIND(":",B8)+1,FIND("__",B8)-FIND(":",B8)-1),MID(B8,FIND(":",B8)+1,7))</f>
        <v>1</v>
      </c>
      <c r="G8" s="17">
        <f t="shared" si="17"/>
        <v>21</v>
      </c>
      <c r="H8" s="17">
        <f t="shared" ref="H8" si="23">2*G8-(2*D8)+2-((LEN(A8)-LEN(SUBSTITUTE(A8,"_O_","")))/LEN("_O_"))*2-((LEN(A8)-LEN(SUBSTITUTE(A8,"_CHO_","")))/LEN("_CHO_"))*2-((LEN(A8)-LEN(SUBSTITUTE(A8,"_COOH_","")))/LEN("_COOH_"))*2</f>
        <v>42</v>
      </c>
      <c r="I8" s="17">
        <v>1</v>
      </c>
      <c r="J8" s="17">
        <f t="shared" ref="J8" si="24">7+((LEN(A8)-LEN(SUBSTITUTE(A8,"_OH_","")))/LEN("_OH_"))*1+((LEN(A8)-LEN(SUBSTITUTE(A8,"_OOH_","")))/LEN("_OOH_"))*2+((LEN(A8)-LEN(SUBSTITUTE(A8,"_O_","")))/LEN("_O_"))*1+((LEN(A8)-LEN(SUBSTITUTE(A8,"_CHO_","")))/LEN("_CHO_"))*1+((LEN(A8)-LEN(SUBSTITUTE(A8,"_COOH_","")))/LEN("_COOH_"))*2</f>
        <v>7</v>
      </c>
      <c r="K8" s="17">
        <v>1</v>
      </c>
      <c r="L8" s="19" t="str">
        <f t="shared" si="18"/>
        <v>C21H42N1O7P1</v>
      </c>
      <c r="M8" s="19">
        <f t="shared" si="19"/>
        <v>451.26987520000006</v>
      </c>
      <c r="N8" s="19">
        <f t="shared" ref="N8" si="25">M8+1.0078246-0.00055</f>
        <v>452.27714980000007</v>
      </c>
      <c r="O8" s="19">
        <f t="shared" ref="O8" si="26">N8-18.01057-0.00055</f>
        <v>434.26602980000007</v>
      </c>
      <c r="P8" s="19">
        <f t="shared" ref="P8" si="27">M8+18.03437-0.00055</f>
        <v>469.30369520000011</v>
      </c>
      <c r="Q8" s="19">
        <f t="shared" ref="Q8" si="28">M8+22.98977-0.00055</f>
        <v>474.2590952000001</v>
      </c>
      <c r="R8" s="19">
        <f t="shared" ref="R8" si="29">M8+38.96371-0.00055</f>
        <v>490.23303520000007</v>
      </c>
      <c r="S8" s="19">
        <f t="shared" ref="S8" si="30">M8+7.01601-0.00055</f>
        <v>458.28533520000008</v>
      </c>
      <c r="T8" s="19">
        <f t="shared" ref="T8" si="31">M8-1.0078246+0.00055</f>
        <v>450.26260060000004</v>
      </c>
      <c r="U8" s="19">
        <f t="shared" ref="U8" si="32">M8+44.99767+0.00055</f>
        <v>496.26809520000006</v>
      </c>
      <c r="V8" s="19">
        <f t="shared" ref="V8" si="33">M8+59.01332+0.00055</f>
        <v>510.28374520000006</v>
      </c>
    </row>
    <row r="9" spans="1:23" x14ac:dyDescent="0.25">
      <c r="A9" s="17" t="s">
        <v>436</v>
      </c>
      <c r="B9" s="17" t="str">
        <f t="shared" si="0"/>
        <v>LPE 16:0</v>
      </c>
      <c r="C9" s="1" t="str">
        <f t="shared" si="1"/>
        <v>16</v>
      </c>
      <c r="D9" s="1" t="str">
        <f t="shared" si="2"/>
        <v>0</v>
      </c>
      <c r="G9" s="17">
        <f t="shared" si="17"/>
        <v>21</v>
      </c>
      <c r="H9" s="17">
        <f t="shared" si="4"/>
        <v>44</v>
      </c>
      <c r="I9" s="17">
        <v>1</v>
      </c>
      <c r="J9" s="17">
        <f t="shared" si="5"/>
        <v>7</v>
      </c>
      <c r="K9" s="17">
        <v>1</v>
      </c>
      <c r="L9" s="19" t="str">
        <f t="shared" si="18"/>
        <v>C21H44N1O7P1</v>
      </c>
      <c r="M9" s="19">
        <f t="shared" si="19"/>
        <v>453.28552440000004</v>
      </c>
      <c r="N9" s="19">
        <f t="shared" si="8"/>
        <v>454.29279900000006</v>
      </c>
      <c r="O9" s="19">
        <f t="shared" si="9"/>
        <v>436.28167900000005</v>
      </c>
      <c r="P9" s="19">
        <f t="shared" si="10"/>
        <v>471.31934440000009</v>
      </c>
      <c r="Q9" s="19">
        <f t="shared" si="11"/>
        <v>476.27474440000009</v>
      </c>
      <c r="R9" s="19">
        <f t="shared" si="12"/>
        <v>492.24868440000006</v>
      </c>
      <c r="S9" s="19">
        <f t="shared" si="13"/>
        <v>460.30098440000006</v>
      </c>
      <c r="T9" s="19">
        <f t="shared" si="14"/>
        <v>452.27824980000003</v>
      </c>
      <c r="U9" s="19">
        <f t="shared" si="15"/>
        <v>498.28374440000005</v>
      </c>
      <c r="V9" s="19">
        <f t="shared" si="16"/>
        <v>512.29939439999998</v>
      </c>
      <c r="W9" s="19"/>
    </row>
    <row r="10" spans="1:23" x14ac:dyDescent="0.25">
      <c r="A10" s="17" t="s">
        <v>437</v>
      </c>
      <c r="B10" s="17" t="str">
        <f t="shared" si="0"/>
        <v>LPE 17:0</v>
      </c>
      <c r="C10" s="1" t="str">
        <f t="shared" si="1"/>
        <v>17</v>
      </c>
      <c r="D10" s="1" t="str">
        <f t="shared" si="2"/>
        <v>0</v>
      </c>
      <c r="G10" s="17">
        <f t="shared" si="17"/>
        <v>22</v>
      </c>
      <c r="H10" s="17">
        <f t="shared" si="4"/>
        <v>46</v>
      </c>
      <c r="I10" s="17">
        <v>1</v>
      </c>
      <c r="J10" s="17">
        <f t="shared" si="5"/>
        <v>7</v>
      </c>
      <c r="K10" s="17">
        <v>1</v>
      </c>
      <c r="L10" s="19" t="str">
        <f t="shared" si="18"/>
        <v>C22H46N1O7P1</v>
      </c>
      <c r="M10" s="19">
        <f t="shared" si="19"/>
        <v>467.30117360000003</v>
      </c>
      <c r="N10" s="19">
        <f t="shared" si="8"/>
        <v>468.30844820000004</v>
      </c>
      <c r="O10" s="19">
        <f t="shared" si="9"/>
        <v>450.29732820000004</v>
      </c>
      <c r="P10" s="19">
        <f t="shared" si="10"/>
        <v>485.33499360000008</v>
      </c>
      <c r="Q10" s="19">
        <f t="shared" si="11"/>
        <v>490.29039360000007</v>
      </c>
      <c r="R10" s="19">
        <f t="shared" si="12"/>
        <v>506.26433360000004</v>
      </c>
      <c r="S10" s="19">
        <f t="shared" si="13"/>
        <v>474.31663360000005</v>
      </c>
      <c r="T10" s="19">
        <f t="shared" si="14"/>
        <v>466.29389900000001</v>
      </c>
      <c r="U10" s="19">
        <f t="shared" si="15"/>
        <v>512.29939360000003</v>
      </c>
      <c r="V10" s="19">
        <f t="shared" si="16"/>
        <v>526.31504359999997</v>
      </c>
      <c r="W10" s="19"/>
    </row>
    <row r="11" spans="1:23" x14ac:dyDescent="0.25">
      <c r="A11" s="17" t="s">
        <v>438</v>
      </c>
      <c r="B11" s="17" t="str">
        <f t="shared" si="0"/>
        <v>LPE 17:1</v>
      </c>
      <c r="C11" s="1" t="str">
        <f t="shared" si="1"/>
        <v>17</v>
      </c>
      <c r="D11" s="1" t="str">
        <f t="shared" si="2"/>
        <v>1</v>
      </c>
      <c r="G11" s="17">
        <f t="shared" si="17"/>
        <v>22</v>
      </c>
      <c r="H11" s="17">
        <f t="shared" si="4"/>
        <v>44</v>
      </c>
      <c r="I11" s="17">
        <v>1</v>
      </c>
      <c r="J11" s="17">
        <f t="shared" si="5"/>
        <v>7</v>
      </c>
      <c r="K11" s="17">
        <v>1</v>
      </c>
      <c r="L11" s="19" t="str">
        <f t="shared" si="18"/>
        <v>C22H44N1O7P1</v>
      </c>
      <c r="M11" s="19">
        <f t="shared" si="19"/>
        <v>465.28552440000004</v>
      </c>
      <c r="N11" s="19">
        <f t="shared" si="8"/>
        <v>466.29279900000006</v>
      </c>
      <c r="O11" s="19">
        <f t="shared" si="9"/>
        <v>448.28167900000005</v>
      </c>
      <c r="P11" s="19">
        <f t="shared" si="10"/>
        <v>483.31934440000009</v>
      </c>
      <c r="Q11" s="19">
        <f t="shared" si="11"/>
        <v>488.27474440000009</v>
      </c>
      <c r="R11" s="19">
        <f t="shared" si="12"/>
        <v>504.24868440000006</v>
      </c>
      <c r="S11" s="19">
        <f t="shared" si="13"/>
        <v>472.30098440000006</v>
      </c>
      <c r="T11" s="19">
        <f t="shared" si="14"/>
        <v>464.27824980000003</v>
      </c>
      <c r="U11" s="19">
        <f t="shared" si="15"/>
        <v>510.28374440000005</v>
      </c>
      <c r="V11" s="19">
        <f t="shared" si="16"/>
        <v>524.29939439999998</v>
      </c>
      <c r="W11" s="19"/>
    </row>
    <row r="12" spans="1:23" x14ac:dyDescent="0.25">
      <c r="A12" s="17" t="s">
        <v>439</v>
      </c>
      <c r="B12" s="17" t="str">
        <f t="shared" si="0"/>
        <v>LPE 18:0</v>
      </c>
      <c r="C12" s="1" t="str">
        <f t="shared" si="1"/>
        <v>18</v>
      </c>
      <c r="D12" s="1" t="str">
        <f t="shared" si="2"/>
        <v>0</v>
      </c>
      <c r="G12" s="17">
        <f t="shared" si="17"/>
        <v>23</v>
      </c>
      <c r="H12" s="17">
        <f t="shared" si="4"/>
        <v>48</v>
      </c>
      <c r="I12" s="17">
        <v>1</v>
      </c>
      <c r="J12" s="17">
        <f t="shared" si="5"/>
        <v>7</v>
      </c>
      <c r="K12" s="17">
        <v>1</v>
      </c>
      <c r="L12" s="19" t="str">
        <f t="shared" si="18"/>
        <v>C23H48N1O7P1</v>
      </c>
      <c r="M12" s="19">
        <f t="shared" si="19"/>
        <v>481.31682280000001</v>
      </c>
      <c r="N12" s="19">
        <f t="shared" si="8"/>
        <v>482.32409740000003</v>
      </c>
      <c r="O12" s="19">
        <f t="shared" si="9"/>
        <v>464.31297740000002</v>
      </c>
      <c r="P12" s="19">
        <f t="shared" si="10"/>
        <v>499.35064280000006</v>
      </c>
      <c r="Q12" s="19">
        <f t="shared" si="11"/>
        <v>504.30604280000006</v>
      </c>
      <c r="R12" s="19">
        <f t="shared" si="12"/>
        <v>520.27998280000008</v>
      </c>
      <c r="S12" s="19">
        <f t="shared" si="13"/>
        <v>488.33228280000003</v>
      </c>
      <c r="T12" s="19">
        <f t="shared" si="14"/>
        <v>480.30954819999999</v>
      </c>
      <c r="U12" s="19">
        <f t="shared" si="15"/>
        <v>526.31504280000001</v>
      </c>
      <c r="V12" s="19">
        <f t="shared" si="16"/>
        <v>540.33069279999995</v>
      </c>
      <c r="W12" s="19"/>
    </row>
    <row r="13" spans="1:23" x14ac:dyDescent="0.25">
      <c r="A13" s="17" t="s">
        <v>440</v>
      </c>
      <c r="B13" s="17" t="str">
        <f t="shared" si="0"/>
        <v>LPE 18:1</v>
      </c>
      <c r="C13" s="1" t="str">
        <f t="shared" si="1"/>
        <v>18</v>
      </c>
      <c r="D13" s="1" t="str">
        <f t="shared" si="2"/>
        <v>1</v>
      </c>
      <c r="G13" s="17">
        <f t="shared" si="17"/>
        <v>23</v>
      </c>
      <c r="H13" s="17">
        <f t="shared" si="4"/>
        <v>46</v>
      </c>
      <c r="I13" s="17">
        <v>1</v>
      </c>
      <c r="J13" s="17">
        <f t="shared" si="5"/>
        <v>7</v>
      </c>
      <c r="K13" s="17">
        <v>1</v>
      </c>
      <c r="L13" s="19" t="str">
        <f t="shared" si="18"/>
        <v>C23H46N1O7P1</v>
      </c>
      <c r="M13" s="19">
        <f t="shared" si="19"/>
        <v>479.30117360000003</v>
      </c>
      <c r="N13" s="19">
        <f t="shared" si="8"/>
        <v>480.30844820000004</v>
      </c>
      <c r="O13" s="19">
        <f t="shared" si="9"/>
        <v>462.29732820000004</v>
      </c>
      <c r="P13" s="19">
        <f t="shared" si="10"/>
        <v>497.33499360000008</v>
      </c>
      <c r="Q13" s="19">
        <f t="shared" si="11"/>
        <v>502.29039360000007</v>
      </c>
      <c r="R13" s="19">
        <f t="shared" si="12"/>
        <v>518.2643336000001</v>
      </c>
      <c r="S13" s="19">
        <f t="shared" si="13"/>
        <v>486.31663360000005</v>
      </c>
      <c r="T13" s="19">
        <f t="shared" si="14"/>
        <v>478.29389900000001</v>
      </c>
      <c r="U13" s="19">
        <f t="shared" si="15"/>
        <v>524.29939360000003</v>
      </c>
      <c r="V13" s="19">
        <f t="shared" si="16"/>
        <v>538.31504359999997</v>
      </c>
      <c r="W13" s="19"/>
    </row>
    <row r="14" spans="1:23" x14ac:dyDescent="0.25">
      <c r="A14" s="18" t="s">
        <v>441</v>
      </c>
      <c r="B14" s="17" t="str">
        <f t="shared" si="0"/>
        <v>LPE 19:0</v>
      </c>
      <c r="C14" s="1" t="str">
        <f t="shared" si="1"/>
        <v>19</v>
      </c>
      <c r="D14" s="1" t="str">
        <f t="shared" si="2"/>
        <v>0</v>
      </c>
      <c r="G14" s="17">
        <f t="shared" si="17"/>
        <v>24</v>
      </c>
      <c r="H14" s="17">
        <f t="shared" si="4"/>
        <v>50</v>
      </c>
      <c r="I14" s="17">
        <v>1</v>
      </c>
      <c r="J14" s="17">
        <f t="shared" si="5"/>
        <v>7</v>
      </c>
      <c r="K14" s="17">
        <v>1</v>
      </c>
      <c r="L14" s="19" t="str">
        <f t="shared" si="18"/>
        <v>C24H50N1O7P1</v>
      </c>
      <c r="M14" s="19">
        <f t="shared" si="19"/>
        <v>495.33247200000005</v>
      </c>
      <c r="N14" s="19">
        <f t="shared" si="8"/>
        <v>496.33974660000007</v>
      </c>
      <c r="O14" s="19">
        <f t="shared" si="9"/>
        <v>478.32862660000012</v>
      </c>
      <c r="P14" s="19">
        <f t="shared" si="10"/>
        <v>513.36629200000004</v>
      </c>
      <c r="Q14" s="19">
        <f t="shared" si="11"/>
        <v>518.3216920000001</v>
      </c>
      <c r="R14" s="19">
        <f t="shared" si="12"/>
        <v>534.29563200000007</v>
      </c>
      <c r="S14" s="19">
        <f t="shared" si="13"/>
        <v>502.34793200000007</v>
      </c>
      <c r="T14" s="19">
        <f t="shared" si="14"/>
        <v>494.32519740000004</v>
      </c>
      <c r="U14" s="19">
        <f t="shared" si="15"/>
        <v>540.330692</v>
      </c>
      <c r="V14" s="19">
        <f t="shared" si="16"/>
        <v>554.34634200000005</v>
      </c>
      <c r="W14" s="19"/>
    </row>
    <row r="15" spans="1:23" x14ac:dyDescent="0.25">
      <c r="A15" s="18" t="s">
        <v>442</v>
      </c>
      <c r="B15" s="17" t="str">
        <f t="shared" si="0"/>
        <v>LPE 19:1</v>
      </c>
      <c r="C15" s="1" t="str">
        <f t="shared" si="1"/>
        <v>19</v>
      </c>
      <c r="D15" s="1" t="str">
        <f t="shared" si="2"/>
        <v>1</v>
      </c>
      <c r="G15" s="17">
        <f t="shared" si="17"/>
        <v>24</v>
      </c>
      <c r="H15" s="17">
        <f t="shared" si="4"/>
        <v>48</v>
      </c>
      <c r="I15" s="17">
        <v>1</v>
      </c>
      <c r="J15" s="17">
        <f t="shared" si="5"/>
        <v>7</v>
      </c>
      <c r="K15" s="17">
        <v>1</v>
      </c>
      <c r="L15" s="19" t="str">
        <f t="shared" si="18"/>
        <v>C24H48N1O7P1</v>
      </c>
      <c r="M15" s="19">
        <f t="shared" si="19"/>
        <v>493.31682280000001</v>
      </c>
      <c r="N15" s="19">
        <f t="shared" si="8"/>
        <v>494.32409740000003</v>
      </c>
      <c r="O15" s="19">
        <f t="shared" si="9"/>
        <v>476.31297740000002</v>
      </c>
      <c r="P15" s="19">
        <f t="shared" si="10"/>
        <v>511.35064280000006</v>
      </c>
      <c r="Q15" s="19">
        <f t="shared" si="11"/>
        <v>516.3060428</v>
      </c>
      <c r="R15" s="19">
        <f t="shared" si="12"/>
        <v>532.27998280000008</v>
      </c>
      <c r="S15" s="19">
        <f t="shared" si="13"/>
        <v>500.33228280000003</v>
      </c>
      <c r="T15" s="19">
        <f t="shared" si="14"/>
        <v>492.30954819999999</v>
      </c>
      <c r="U15" s="19">
        <f t="shared" si="15"/>
        <v>538.31504280000001</v>
      </c>
      <c r="V15" s="19">
        <f t="shared" si="16"/>
        <v>552.33069279999995</v>
      </c>
      <c r="W15" s="19"/>
    </row>
    <row r="16" spans="1:23" x14ac:dyDescent="0.25">
      <c r="A16" s="18" t="s">
        <v>443</v>
      </c>
      <c r="B16" s="17" t="str">
        <f t="shared" si="0"/>
        <v>LPE 20:0</v>
      </c>
      <c r="C16" s="1" t="str">
        <f t="shared" si="1"/>
        <v>20</v>
      </c>
      <c r="D16" s="1" t="str">
        <f t="shared" si="2"/>
        <v>0</v>
      </c>
      <c r="G16" s="17">
        <f t="shared" si="17"/>
        <v>25</v>
      </c>
      <c r="H16" s="17">
        <f t="shared" si="4"/>
        <v>52</v>
      </c>
      <c r="I16" s="17">
        <v>1</v>
      </c>
      <c r="J16" s="17">
        <f t="shared" si="5"/>
        <v>7</v>
      </c>
      <c r="K16" s="17">
        <v>1</v>
      </c>
      <c r="L16" s="19" t="str">
        <f t="shared" si="18"/>
        <v>C25H52N1O7P1</v>
      </c>
      <c r="M16" s="19">
        <f t="shared" si="19"/>
        <v>509.34812120000004</v>
      </c>
      <c r="N16" s="19">
        <f t="shared" si="8"/>
        <v>510.35539580000005</v>
      </c>
      <c r="O16" s="19">
        <f t="shared" si="9"/>
        <v>492.3442758000001</v>
      </c>
      <c r="P16" s="19">
        <f t="shared" si="10"/>
        <v>527.38194120000003</v>
      </c>
      <c r="Q16" s="19">
        <f t="shared" si="11"/>
        <v>532.33734120000008</v>
      </c>
      <c r="R16" s="19">
        <f t="shared" si="12"/>
        <v>548.31128120000005</v>
      </c>
      <c r="S16" s="19">
        <f t="shared" si="13"/>
        <v>516.36358120000011</v>
      </c>
      <c r="T16" s="19">
        <f t="shared" si="14"/>
        <v>508.34084660000002</v>
      </c>
      <c r="U16" s="19">
        <f t="shared" si="15"/>
        <v>554.34634119999998</v>
      </c>
      <c r="V16" s="19">
        <f t="shared" si="16"/>
        <v>568.36199120000003</v>
      </c>
      <c r="W16" s="19"/>
    </row>
    <row r="17" spans="1:23" x14ac:dyDescent="0.25">
      <c r="A17" s="18" t="s">
        <v>444</v>
      </c>
      <c r="B17" s="17" t="str">
        <f t="shared" si="0"/>
        <v>LPE 20:1</v>
      </c>
      <c r="C17" s="1" t="str">
        <f t="shared" si="1"/>
        <v>20</v>
      </c>
      <c r="D17" s="1" t="str">
        <f t="shared" si="2"/>
        <v>1</v>
      </c>
      <c r="G17" s="17">
        <f t="shared" si="17"/>
        <v>25</v>
      </c>
      <c r="H17" s="17">
        <f t="shared" si="4"/>
        <v>50</v>
      </c>
      <c r="I17" s="17">
        <v>1</v>
      </c>
      <c r="J17" s="17">
        <f t="shared" si="5"/>
        <v>7</v>
      </c>
      <c r="K17" s="17">
        <v>1</v>
      </c>
      <c r="L17" s="19" t="str">
        <f t="shared" si="18"/>
        <v>C25H50N1O7P1</v>
      </c>
      <c r="M17" s="19">
        <f t="shared" si="19"/>
        <v>507.33247200000005</v>
      </c>
      <c r="N17" s="19">
        <f t="shared" si="8"/>
        <v>508.33974660000007</v>
      </c>
      <c r="O17" s="19">
        <f t="shared" si="9"/>
        <v>490.32862660000012</v>
      </c>
      <c r="P17" s="19">
        <f t="shared" si="10"/>
        <v>525.36629200000004</v>
      </c>
      <c r="Q17" s="19">
        <f t="shared" si="11"/>
        <v>530.3216920000001</v>
      </c>
      <c r="R17" s="19">
        <f t="shared" si="12"/>
        <v>546.29563200000007</v>
      </c>
      <c r="S17" s="19">
        <f t="shared" si="13"/>
        <v>514.34793200000013</v>
      </c>
      <c r="T17" s="19">
        <f t="shared" si="14"/>
        <v>506.32519740000004</v>
      </c>
      <c r="U17" s="19">
        <f t="shared" si="15"/>
        <v>552.330692</v>
      </c>
      <c r="V17" s="19">
        <f t="shared" si="16"/>
        <v>566.34634200000005</v>
      </c>
      <c r="W17" s="19"/>
    </row>
    <row r="18" spans="1:23" x14ac:dyDescent="0.25">
      <c r="A18" s="18" t="s">
        <v>431</v>
      </c>
      <c r="B18" s="17" t="str">
        <f t="shared" si="0"/>
        <v>LPE 21:0</v>
      </c>
      <c r="C18" s="1" t="str">
        <f t="shared" si="1"/>
        <v>21</v>
      </c>
      <c r="D18" s="1" t="str">
        <f t="shared" si="2"/>
        <v>0</v>
      </c>
      <c r="G18" s="17">
        <f t="shared" ref="G18:G29" si="34">C18+5</f>
        <v>26</v>
      </c>
      <c r="H18" s="17">
        <f t="shared" si="4"/>
        <v>54</v>
      </c>
      <c r="I18" s="17">
        <v>1</v>
      </c>
      <c r="J18" s="17">
        <f t="shared" si="5"/>
        <v>7</v>
      </c>
      <c r="K18" s="17">
        <v>1</v>
      </c>
      <c r="L18" s="19" t="str">
        <f t="shared" ref="L18:L29" si="35">CONCATENATE("C",G18,"H",H18,"N",I18,"O",J18,"P",K18)</f>
        <v>C26H54N1O7P1</v>
      </c>
      <c r="M18" s="19">
        <f t="shared" ref="M18:M29" si="36">(G18*12)+(H18*1.0078246)+(I18*14.003074)+(J18*15.994915)+(K18*30.973763)</f>
        <v>523.36377040000002</v>
      </c>
      <c r="N18" s="19">
        <f t="shared" si="8"/>
        <v>524.37104500000009</v>
      </c>
      <c r="O18" s="19">
        <f t="shared" si="9"/>
        <v>506.35992500000009</v>
      </c>
      <c r="P18" s="19">
        <f t="shared" si="10"/>
        <v>541.39759040000001</v>
      </c>
      <c r="Q18" s="19">
        <f t="shared" si="11"/>
        <v>546.35299040000007</v>
      </c>
      <c r="R18" s="19">
        <f t="shared" si="12"/>
        <v>562.32693040000004</v>
      </c>
      <c r="S18" s="19">
        <f t="shared" si="13"/>
        <v>530.3792304000001</v>
      </c>
      <c r="T18" s="19">
        <f t="shared" si="14"/>
        <v>522.35649579999995</v>
      </c>
      <c r="U18" s="19">
        <f t="shared" si="15"/>
        <v>568.36199039999997</v>
      </c>
      <c r="V18" s="19">
        <f t="shared" si="16"/>
        <v>582.37764040000002</v>
      </c>
      <c r="W18" s="19"/>
    </row>
    <row r="19" spans="1:23" x14ac:dyDescent="0.25">
      <c r="A19" s="18" t="s">
        <v>432</v>
      </c>
      <c r="B19" s="17" t="str">
        <f t="shared" si="0"/>
        <v>LPE 21:1</v>
      </c>
      <c r="C19" s="1" t="str">
        <f t="shared" si="1"/>
        <v>21</v>
      </c>
      <c r="D19" s="1" t="str">
        <f t="shared" si="2"/>
        <v>1</v>
      </c>
      <c r="G19" s="17">
        <f t="shared" si="34"/>
        <v>26</v>
      </c>
      <c r="H19" s="17">
        <f t="shared" si="4"/>
        <v>52</v>
      </c>
      <c r="I19" s="17">
        <v>1</v>
      </c>
      <c r="J19" s="17">
        <f t="shared" si="5"/>
        <v>7</v>
      </c>
      <c r="K19" s="17">
        <v>1</v>
      </c>
      <c r="L19" s="19" t="str">
        <f t="shared" si="35"/>
        <v>C26H52N1O7P1</v>
      </c>
      <c r="M19" s="19">
        <f t="shared" si="36"/>
        <v>521.34812120000004</v>
      </c>
      <c r="N19" s="19">
        <f t="shared" si="8"/>
        <v>522.35539580000011</v>
      </c>
      <c r="O19" s="19">
        <f t="shared" si="9"/>
        <v>504.3442758000001</v>
      </c>
      <c r="P19" s="19">
        <f t="shared" si="10"/>
        <v>539.38194120000003</v>
      </c>
      <c r="Q19" s="19">
        <f t="shared" si="11"/>
        <v>544.33734120000008</v>
      </c>
      <c r="R19" s="19">
        <f t="shared" si="12"/>
        <v>560.31128120000005</v>
      </c>
      <c r="S19" s="19">
        <f t="shared" si="13"/>
        <v>528.36358120000011</v>
      </c>
      <c r="T19" s="19">
        <f t="shared" si="14"/>
        <v>520.34084659999996</v>
      </c>
      <c r="U19" s="19">
        <f t="shared" si="15"/>
        <v>566.34634119999998</v>
      </c>
      <c r="V19" s="19">
        <f t="shared" si="16"/>
        <v>580.36199120000003</v>
      </c>
      <c r="W19" s="19"/>
    </row>
    <row r="20" spans="1:23" x14ac:dyDescent="0.25">
      <c r="A20" s="18" t="s">
        <v>445</v>
      </c>
      <c r="B20" s="17" t="str">
        <f t="shared" si="0"/>
        <v>LPE 22:0</v>
      </c>
      <c r="C20" s="1" t="str">
        <f t="shared" si="1"/>
        <v>22</v>
      </c>
      <c r="D20" s="1" t="str">
        <f t="shared" si="2"/>
        <v>0</v>
      </c>
      <c r="G20" s="17">
        <f t="shared" si="34"/>
        <v>27</v>
      </c>
      <c r="H20" s="17">
        <f t="shared" si="4"/>
        <v>56</v>
      </c>
      <c r="I20" s="17">
        <v>1</v>
      </c>
      <c r="J20" s="17">
        <f t="shared" si="5"/>
        <v>7</v>
      </c>
      <c r="K20" s="17">
        <v>1</v>
      </c>
      <c r="L20" s="19" t="str">
        <f t="shared" si="35"/>
        <v>C27H56N1O7P1</v>
      </c>
      <c r="M20" s="19">
        <f t="shared" si="36"/>
        <v>537.37941960000001</v>
      </c>
      <c r="N20" s="19">
        <f t="shared" si="8"/>
        <v>538.38669420000008</v>
      </c>
      <c r="O20" s="19">
        <f t="shared" si="9"/>
        <v>520.37557420000007</v>
      </c>
      <c r="P20" s="19">
        <f t="shared" si="10"/>
        <v>555.4132396</v>
      </c>
      <c r="Q20" s="19">
        <f t="shared" si="11"/>
        <v>560.36863960000005</v>
      </c>
      <c r="R20" s="19">
        <f t="shared" si="12"/>
        <v>576.34257960000002</v>
      </c>
      <c r="S20" s="19">
        <f t="shared" si="13"/>
        <v>544.39487960000008</v>
      </c>
      <c r="T20" s="19">
        <f t="shared" si="14"/>
        <v>536.37214499999993</v>
      </c>
      <c r="U20" s="19">
        <f t="shared" si="15"/>
        <v>582.37763959999995</v>
      </c>
      <c r="V20" s="19">
        <f t="shared" si="16"/>
        <v>596.3932896</v>
      </c>
      <c r="W20" s="19"/>
    </row>
    <row r="21" spans="1:23" x14ac:dyDescent="0.25">
      <c r="A21" s="18" t="s">
        <v>446</v>
      </c>
      <c r="B21" s="17" t="str">
        <f t="shared" si="0"/>
        <v>LPE 22:1</v>
      </c>
      <c r="C21" s="1" t="str">
        <f t="shared" si="1"/>
        <v>22</v>
      </c>
      <c r="D21" s="1" t="str">
        <f t="shared" si="2"/>
        <v>1</v>
      </c>
      <c r="G21" s="17">
        <f t="shared" si="34"/>
        <v>27</v>
      </c>
      <c r="H21" s="17">
        <f t="shared" si="4"/>
        <v>54</v>
      </c>
      <c r="I21" s="17">
        <v>1</v>
      </c>
      <c r="J21" s="17">
        <f t="shared" si="5"/>
        <v>7</v>
      </c>
      <c r="K21" s="17">
        <v>1</v>
      </c>
      <c r="L21" s="19" t="str">
        <f t="shared" si="35"/>
        <v>C27H54N1O7P1</v>
      </c>
      <c r="M21" s="19">
        <f t="shared" si="36"/>
        <v>535.36377040000002</v>
      </c>
      <c r="N21" s="19">
        <f t="shared" si="8"/>
        <v>536.37104500000009</v>
      </c>
      <c r="O21" s="19">
        <f t="shared" si="9"/>
        <v>518.35992500000009</v>
      </c>
      <c r="P21" s="19">
        <f t="shared" si="10"/>
        <v>553.39759040000001</v>
      </c>
      <c r="Q21" s="19">
        <f t="shared" si="11"/>
        <v>558.35299040000007</v>
      </c>
      <c r="R21" s="19">
        <f t="shared" si="12"/>
        <v>574.32693040000004</v>
      </c>
      <c r="S21" s="19">
        <f t="shared" si="13"/>
        <v>542.3792304000001</v>
      </c>
      <c r="T21" s="19">
        <f t="shared" si="14"/>
        <v>534.35649579999995</v>
      </c>
      <c r="U21" s="19">
        <f t="shared" si="15"/>
        <v>580.36199039999997</v>
      </c>
      <c r="V21" s="19">
        <f t="shared" si="16"/>
        <v>594.37764040000002</v>
      </c>
      <c r="W21" s="19"/>
    </row>
    <row r="22" spans="1:23" x14ac:dyDescent="0.25">
      <c r="A22" s="18" t="s">
        <v>447</v>
      </c>
      <c r="B22" s="17" t="str">
        <f t="shared" si="0"/>
        <v>LPE 23:0</v>
      </c>
      <c r="C22" s="1" t="str">
        <f t="shared" si="1"/>
        <v>23</v>
      </c>
      <c r="D22" s="1" t="str">
        <f t="shared" si="2"/>
        <v>0</v>
      </c>
      <c r="G22" s="17">
        <f t="shared" si="34"/>
        <v>28</v>
      </c>
      <c r="H22" s="17">
        <f t="shared" si="4"/>
        <v>58</v>
      </c>
      <c r="I22" s="17">
        <v>1</v>
      </c>
      <c r="J22" s="17">
        <f t="shared" si="5"/>
        <v>7</v>
      </c>
      <c r="K22" s="17">
        <v>1</v>
      </c>
      <c r="L22" s="19" t="str">
        <f t="shared" si="35"/>
        <v>C28H58N1O7P1</v>
      </c>
      <c r="M22" s="19">
        <f t="shared" si="36"/>
        <v>551.39506879999999</v>
      </c>
      <c r="N22" s="19">
        <f t="shared" si="8"/>
        <v>552.40234340000006</v>
      </c>
      <c r="O22" s="19">
        <f t="shared" si="9"/>
        <v>534.39122340000006</v>
      </c>
      <c r="P22" s="19">
        <f t="shared" si="10"/>
        <v>569.42888879999998</v>
      </c>
      <c r="Q22" s="19">
        <f t="shared" si="11"/>
        <v>574.38428880000004</v>
      </c>
      <c r="R22" s="19">
        <f t="shared" si="12"/>
        <v>590.35822880000001</v>
      </c>
      <c r="S22" s="19">
        <f t="shared" si="13"/>
        <v>558.41052880000007</v>
      </c>
      <c r="T22" s="19">
        <f t="shared" si="14"/>
        <v>550.38779419999992</v>
      </c>
      <c r="U22" s="19">
        <f t="shared" si="15"/>
        <v>596.39328879999994</v>
      </c>
      <c r="V22" s="19">
        <f t="shared" si="16"/>
        <v>610.40893879999999</v>
      </c>
      <c r="W22" s="19"/>
    </row>
    <row r="23" spans="1:23" x14ac:dyDescent="0.25">
      <c r="A23" s="18" t="s">
        <v>452</v>
      </c>
      <c r="B23" s="17" t="str">
        <f t="shared" ref="B23:B29" si="37">IF(ISNUMBER(SEARCH("(",A23)),IF(ISNUMBER(SEARCH("/",A23)),CONCATENATE(MID(A23,1,2)," ",(SUM(MID(A23,FIND("(",A23)+1,FIND(":",A23)-FIND("(",A23)-1),MID(A23,FIND("/",A23)+1,FIND(":",A23,FIND("/",A23))-FIND("/",A23)-1))),":",SUM(MID(A23,FIND(":",A23)+1,FIND("/",A23)-FIND(":",A23)-1),MID(A23,FIND(":",A23,FIND("/",A23))+1,FIND(")",A23)-FIND(":",A23,FIND("/",A23))-1)),MID(A23,(FIND(")",A23)+1),100)),CONCATENATE(MID(A23,1,2)," ",(SUM(MID(A23,FIND("(",A23)+1,FIND(":",A23)-FIND("(",A23)-1),MID(A23,FIND("_",A23)+1,FIND(":",A23,FIND("_",A23))-FIND("_",A23)-1))),":",SUM(MID(A23,FIND(":",A23)+1,FIND("_",A23)-FIND(":",A23)-1),MID(A23,FIND(":",A23,FIND("_",A23))+1,FIND(")",A23)-FIND(":",A23,FIND("_",A23))-1)),MID(A23,(FIND(")",A23)+1),100))),A23)</f>
        <v>LPE 23:1</v>
      </c>
      <c r="C23" s="1" t="str">
        <f t="shared" ref="C23:C29" si="38">MID(B23,5,FIND(":",B23)-FIND(" ",B23)-1)</f>
        <v>23</v>
      </c>
      <c r="D23" s="1" t="str">
        <f t="shared" ref="D23:D29" si="39">IF(ISNUMBER(SEARCH("__",B23)),MID(B23,FIND(":",B23)+1,FIND("__",B23)-FIND(":",B23)-1),MID(B23,FIND(":",B23)+1,7))</f>
        <v>1</v>
      </c>
      <c r="G23" s="17">
        <f t="shared" si="34"/>
        <v>28</v>
      </c>
      <c r="H23" s="17">
        <f t="shared" ref="H23:H29" si="40">2*G23-(2*D23)+2-((LEN(A23)-LEN(SUBSTITUTE(A23,"_O_","")))/LEN("_O_"))*2-((LEN(A23)-LEN(SUBSTITUTE(A23,"_CHO_","")))/LEN("_CHO_"))*2-((LEN(A23)-LEN(SUBSTITUTE(A23,"_COOH_","")))/LEN("_COOH_"))*2</f>
        <v>56</v>
      </c>
      <c r="I23" s="17">
        <v>1</v>
      </c>
      <c r="J23" s="17">
        <f t="shared" ref="J23:J29" si="41">7+((LEN(A23)-LEN(SUBSTITUTE(A23,"_OH_","")))/LEN("_OH_"))*1+((LEN(A23)-LEN(SUBSTITUTE(A23,"_OOH_","")))/LEN("_OOH_"))*2+((LEN(A23)-LEN(SUBSTITUTE(A23,"_O_","")))/LEN("_O_"))*1+((LEN(A23)-LEN(SUBSTITUTE(A23,"_CHO_","")))/LEN("_CHO_"))*1+((LEN(A23)-LEN(SUBSTITUTE(A23,"_COOH_","")))/LEN("_COOH_"))*2</f>
        <v>7</v>
      </c>
      <c r="K23" s="17">
        <v>1</v>
      </c>
      <c r="L23" s="19" t="str">
        <f t="shared" si="35"/>
        <v>C28H56N1O7P1</v>
      </c>
      <c r="M23" s="19">
        <f t="shared" si="36"/>
        <v>549.37941960000001</v>
      </c>
      <c r="N23" s="19">
        <f t="shared" ref="N23:N29" si="42">M23+1.0078246-0.00055</f>
        <v>550.38669420000008</v>
      </c>
      <c r="O23" s="19">
        <f t="shared" ref="O23:O29" si="43">N23-18.01057-0.00055</f>
        <v>532.37557420000007</v>
      </c>
      <c r="P23" s="19">
        <f t="shared" ref="P23:P29" si="44">M23+18.03437-0.00055</f>
        <v>567.4132396</v>
      </c>
      <c r="Q23" s="19">
        <f t="shared" ref="Q23:Q29" si="45">M23+22.98977-0.00055</f>
        <v>572.36863960000005</v>
      </c>
      <c r="R23" s="19">
        <f t="shared" ref="R23:R29" si="46">M23+38.96371-0.00055</f>
        <v>588.34257960000002</v>
      </c>
      <c r="S23" s="19">
        <f t="shared" ref="S23:S29" si="47">M23+7.01601-0.00055</f>
        <v>556.39487960000008</v>
      </c>
      <c r="T23" s="19">
        <f t="shared" ref="T23:T29" si="48">M23-1.0078246+0.00055</f>
        <v>548.37214499999993</v>
      </c>
      <c r="U23" s="19">
        <f t="shared" ref="U23:U29" si="49">M23+44.99767+0.00055</f>
        <v>594.37763959999995</v>
      </c>
      <c r="V23" s="19">
        <f t="shared" ref="V23:V29" si="50">M23+59.01332+0.00055</f>
        <v>608.3932896</v>
      </c>
    </row>
    <row r="24" spans="1:23" x14ac:dyDescent="0.25">
      <c r="A24" s="18" t="s">
        <v>453</v>
      </c>
      <c r="B24" s="17" t="str">
        <f t="shared" si="37"/>
        <v>LPE 24:1</v>
      </c>
      <c r="C24" s="1" t="str">
        <f t="shared" si="38"/>
        <v>24</v>
      </c>
      <c r="D24" s="1" t="str">
        <f t="shared" si="39"/>
        <v>1</v>
      </c>
      <c r="G24" s="17">
        <f t="shared" si="34"/>
        <v>29</v>
      </c>
      <c r="H24" s="17">
        <f t="shared" si="40"/>
        <v>58</v>
      </c>
      <c r="I24" s="17">
        <v>1</v>
      </c>
      <c r="J24" s="17">
        <f t="shared" si="41"/>
        <v>7</v>
      </c>
      <c r="K24" s="17">
        <v>1</v>
      </c>
      <c r="L24" s="19" t="str">
        <f t="shared" si="35"/>
        <v>C29H58N1O7P1</v>
      </c>
      <c r="M24" s="19">
        <f t="shared" si="36"/>
        <v>563.39506879999999</v>
      </c>
      <c r="N24" s="19">
        <f t="shared" si="42"/>
        <v>564.40234340000006</v>
      </c>
      <c r="O24" s="19">
        <f t="shared" si="43"/>
        <v>546.39122340000006</v>
      </c>
      <c r="P24" s="19">
        <f t="shared" si="44"/>
        <v>581.42888879999998</v>
      </c>
      <c r="Q24" s="19">
        <f t="shared" si="45"/>
        <v>586.38428880000004</v>
      </c>
      <c r="R24" s="19">
        <f t="shared" si="46"/>
        <v>602.35822880000001</v>
      </c>
      <c r="S24" s="19">
        <f t="shared" si="47"/>
        <v>570.41052880000007</v>
      </c>
      <c r="T24" s="19">
        <f t="shared" si="48"/>
        <v>562.38779419999992</v>
      </c>
      <c r="U24" s="19">
        <f t="shared" si="49"/>
        <v>608.39328879999994</v>
      </c>
      <c r="V24" s="19">
        <f t="shared" si="50"/>
        <v>622.40893879999999</v>
      </c>
    </row>
    <row r="25" spans="1:23" x14ac:dyDescent="0.25">
      <c r="A25" s="18" t="s">
        <v>454</v>
      </c>
      <c r="B25" s="17" t="str">
        <f t="shared" si="37"/>
        <v>LPE 24:2</v>
      </c>
      <c r="C25" s="1" t="str">
        <f t="shared" si="38"/>
        <v>24</v>
      </c>
      <c r="D25" s="1" t="str">
        <f t="shared" si="39"/>
        <v>2</v>
      </c>
      <c r="G25" s="17">
        <f t="shared" si="34"/>
        <v>29</v>
      </c>
      <c r="H25" s="17">
        <f t="shared" si="40"/>
        <v>56</v>
      </c>
      <c r="I25" s="17">
        <v>1</v>
      </c>
      <c r="J25" s="17">
        <f t="shared" si="41"/>
        <v>7</v>
      </c>
      <c r="K25" s="17">
        <v>1</v>
      </c>
      <c r="L25" s="19" t="str">
        <f t="shared" si="35"/>
        <v>C29H56N1O7P1</v>
      </c>
      <c r="M25" s="19">
        <f t="shared" si="36"/>
        <v>561.37941960000001</v>
      </c>
      <c r="N25" s="19">
        <f t="shared" si="42"/>
        <v>562.38669420000008</v>
      </c>
      <c r="O25" s="19">
        <f t="shared" si="43"/>
        <v>544.37557420000007</v>
      </c>
      <c r="P25" s="19">
        <f t="shared" si="44"/>
        <v>579.4132396</v>
      </c>
      <c r="Q25" s="19">
        <f t="shared" si="45"/>
        <v>584.36863960000005</v>
      </c>
      <c r="R25" s="19">
        <f t="shared" si="46"/>
        <v>600.34257960000002</v>
      </c>
      <c r="S25" s="19">
        <f t="shared" si="47"/>
        <v>568.39487960000008</v>
      </c>
      <c r="T25" s="19">
        <f t="shared" si="48"/>
        <v>560.37214499999993</v>
      </c>
      <c r="U25" s="19">
        <f t="shared" si="49"/>
        <v>606.37763959999995</v>
      </c>
      <c r="V25" s="19">
        <f t="shared" si="50"/>
        <v>620.3932896</v>
      </c>
    </row>
    <row r="26" spans="1:23" x14ac:dyDescent="0.25">
      <c r="A26" s="18" t="s">
        <v>455</v>
      </c>
      <c r="B26" s="17" t="str">
        <f t="shared" si="37"/>
        <v>LPE 25:0</v>
      </c>
      <c r="C26" s="1" t="str">
        <f t="shared" si="38"/>
        <v>25</v>
      </c>
      <c r="D26" s="1" t="str">
        <f t="shared" si="39"/>
        <v>0</v>
      </c>
      <c r="G26" s="17">
        <f t="shared" si="34"/>
        <v>30</v>
      </c>
      <c r="H26" s="17">
        <f t="shared" si="40"/>
        <v>62</v>
      </c>
      <c r="I26" s="17">
        <v>1</v>
      </c>
      <c r="J26" s="17">
        <f t="shared" si="41"/>
        <v>7</v>
      </c>
      <c r="K26" s="17">
        <v>1</v>
      </c>
      <c r="L26" s="19" t="str">
        <f t="shared" si="35"/>
        <v>C30H62N1O7P1</v>
      </c>
      <c r="M26" s="19">
        <f t="shared" si="36"/>
        <v>579.42636719999996</v>
      </c>
      <c r="N26" s="19">
        <f t="shared" si="42"/>
        <v>580.43364180000003</v>
      </c>
      <c r="O26" s="19">
        <f t="shared" si="43"/>
        <v>562.42252180000003</v>
      </c>
      <c r="P26" s="19">
        <f t="shared" si="44"/>
        <v>597.46018719999995</v>
      </c>
      <c r="Q26" s="19">
        <f t="shared" si="45"/>
        <v>602.4155872</v>
      </c>
      <c r="R26" s="19">
        <f t="shared" si="46"/>
        <v>618.38952719999997</v>
      </c>
      <c r="S26" s="19">
        <f t="shared" si="47"/>
        <v>586.44182720000003</v>
      </c>
      <c r="T26" s="19">
        <f t="shared" si="48"/>
        <v>578.41909259999989</v>
      </c>
      <c r="U26" s="19">
        <f t="shared" si="49"/>
        <v>624.42458719999991</v>
      </c>
      <c r="V26" s="19">
        <f t="shared" si="50"/>
        <v>638.44023719999996</v>
      </c>
    </row>
    <row r="27" spans="1:23" x14ac:dyDescent="0.25">
      <c r="A27" s="18" t="s">
        <v>456</v>
      </c>
      <c r="B27" s="17" t="str">
        <f t="shared" si="37"/>
        <v>LPE 24:4</v>
      </c>
      <c r="C27" s="1" t="str">
        <f t="shared" si="38"/>
        <v>24</v>
      </c>
      <c r="D27" s="1" t="str">
        <f t="shared" si="39"/>
        <v>4</v>
      </c>
      <c r="G27" s="17">
        <f t="shared" si="34"/>
        <v>29</v>
      </c>
      <c r="H27" s="17">
        <f t="shared" si="40"/>
        <v>52</v>
      </c>
      <c r="I27" s="17">
        <v>1</v>
      </c>
      <c r="J27" s="17">
        <f t="shared" si="41"/>
        <v>7</v>
      </c>
      <c r="K27" s="17">
        <v>1</v>
      </c>
      <c r="L27" s="19" t="str">
        <f t="shared" si="35"/>
        <v>C29H52N1O7P1</v>
      </c>
      <c r="M27" s="19">
        <f t="shared" si="36"/>
        <v>557.34812119999992</v>
      </c>
      <c r="N27" s="19">
        <f t="shared" si="42"/>
        <v>558.3553958</v>
      </c>
      <c r="O27" s="19">
        <f t="shared" si="43"/>
        <v>540.34427579999999</v>
      </c>
      <c r="P27" s="19">
        <f t="shared" si="44"/>
        <v>575.38194119999991</v>
      </c>
      <c r="Q27" s="19">
        <f t="shared" si="45"/>
        <v>580.33734119999997</v>
      </c>
      <c r="R27" s="19">
        <f t="shared" si="46"/>
        <v>596.31128119999994</v>
      </c>
      <c r="S27" s="19">
        <f t="shared" si="47"/>
        <v>564.3635812</v>
      </c>
      <c r="T27" s="19">
        <f t="shared" si="48"/>
        <v>556.34084659999985</v>
      </c>
      <c r="U27" s="19">
        <f t="shared" si="49"/>
        <v>602.34634119999987</v>
      </c>
      <c r="V27" s="19">
        <f t="shared" si="50"/>
        <v>616.36199119999992</v>
      </c>
    </row>
    <row r="28" spans="1:23" x14ac:dyDescent="0.25">
      <c r="A28" s="18" t="s">
        <v>457</v>
      </c>
      <c r="B28" s="17" t="str">
        <f t="shared" si="37"/>
        <v>LPE 22:6</v>
      </c>
      <c r="C28" s="1" t="str">
        <f t="shared" si="38"/>
        <v>22</v>
      </c>
      <c r="D28" s="1" t="str">
        <f t="shared" si="39"/>
        <v>6</v>
      </c>
      <c r="G28" s="17">
        <f t="shared" si="34"/>
        <v>27</v>
      </c>
      <c r="H28" s="17">
        <f t="shared" si="40"/>
        <v>44</v>
      </c>
      <c r="I28" s="17">
        <v>1</v>
      </c>
      <c r="J28" s="17">
        <f t="shared" si="41"/>
        <v>7</v>
      </c>
      <c r="K28" s="17">
        <v>1</v>
      </c>
      <c r="L28" s="19" t="str">
        <f t="shared" si="35"/>
        <v>C27H44N1O7P1</v>
      </c>
      <c r="M28" s="19">
        <f t="shared" si="36"/>
        <v>525.28552439999999</v>
      </c>
      <c r="N28" s="19">
        <f t="shared" si="42"/>
        <v>526.29279900000006</v>
      </c>
      <c r="O28" s="19">
        <f t="shared" si="43"/>
        <v>508.28167900000005</v>
      </c>
      <c r="P28" s="19">
        <f t="shared" si="44"/>
        <v>543.31934439999998</v>
      </c>
      <c r="Q28" s="19">
        <f t="shared" si="45"/>
        <v>548.27474440000003</v>
      </c>
      <c r="R28" s="19">
        <f t="shared" si="46"/>
        <v>564.2486844</v>
      </c>
      <c r="S28" s="19">
        <f t="shared" si="47"/>
        <v>532.30098440000006</v>
      </c>
      <c r="T28" s="19">
        <f t="shared" si="48"/>
        <v>524.27824979999991</v>
      </c>
      <c r="U28" s="19">
        <f t="shared" si="49"/>
        <v>570.28374439999993</v>
      </c>
      <c r="V28" s="19">
        <f t="shared" si="50"/>
        <v>584.29939439999998</v>
      </c>
    </row>
    <row r="29" spans="1:23" x14ac:dyDescent="0.25">
      <c r="A29" s="18" t="s">
        <v>458</v>
      </c>
      <c r="B29" s="17" t="str">
        <f t="shared" si="37"/>
        <v>LPE 20:4</v>
      </c>
      <c r="C29" s="1" t="str">
        <f t="shared" si="38"/>
        <v>20</v>
      </c>
      <c r="D29" s="1" t="str">
        <f t="shared" si="39"/>
        <v>4</v>
      </c>
      <c r="G29" s="17">
        <f t="shared" si="34"/>
        <v>25</v>
      </c>
      <c r="H29" s="17">
        <f t="shared" si="40"/>
        <v>44</v>
      </c>
      <c r="I29" s="17">
        <v>1</v>
      </c>
      <c r="J29" s="17">
        <f t="shared" si="41"/>
        <v>7</v>
      </c>
      <c r="K29" s="17">
        <v>1</v>
      </c>
      <c r="L29" s="19" t="str">
        <f t="shared" si="35"/>
        <v>C25H44N1O7P1</v>
      </c>
      <c r="M29" s="19">
        <f t="shared" si="36"/>
        <v>501.28552440000004</v>
      </c>
      <c r="N29" s="19">
        <f t="shared" si="42"/>
        <v>502.29279900000006</v>
      </c>
      <c r="O29" s="19">
        <f t="shared" si="43"/>
        <v>484.28167900000005</v>
      </c>
      <c r="P29" s="19">
        <f t="shared" si="44"/>
        <v>519.31934440000009</v>
      </c>
      <c r="Q29" s="19">
        <f t="shared" si="45"/>
        <v>524.27474440000003</v>
      </c>
      <c r="R29" s="19">
        <f t="shared" si="46"/>
        <v>540.24868440000012</v>
      </c>
      <c r="S29" s="19">
        <f t="shared" si="47"/>
        <v>508.30098440000006</v>
      </c>
      <c r="T29" s="19">
        <f t="shared" si="48"/>
        <v>500.27824980000003</v>
      </c>
      <c r="U29" s="19">
        <f t="shared" si="49"/>
        <v>546.28374440000005</v>
      </c>
      <c r="V29" s="19">
        <f t="shared" si="50"/>
        <v>560.29939439999998</v>
      </c>
    </row>
    <row r="30" spans="1:23" x14ac:dyDescent="0.25">
      <c r="A30" s="1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3" x14ac:dyDescent="0.25">
      <c r="A31" s="18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3" x14ac:dyDescent="0.25">
      <c r="A32" s="18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 s="18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 s="18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 s="18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 s="18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 s="18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 s="1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 s="18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 s="18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 s="18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 s="18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 s="18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 s="18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 s="18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 s="18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 s="18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 s="1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/>
  <dimension ref="A1:W22"/>
  <sheetViews>
    <sheetView showGridLines="0" zoomScaleNormal="100" workbookViewId="0">
      <pane xSplit="11" ySplit="2" topLeftCell="L4" activePane="bottomRight" state="frozen"/>
      <selection pane="topRight"/>
      <selection pane="bottomLeft"/>
      <selection pane="bottomRight" activeCell="M12" sqref="M12"/>
    </sheetView>
  </sheetViews>
  <sheetFormatPr defaultColWidth="9.140625" defaultRowHeight="15.75" x14ac:dyDescent="0.25"/>
  <cols>
    <col min="1" max="1" width="18" style="17" customWidth="1"/>
    <col min="2" max="2" width="0.140625" style="17" customWidth="1"/>
    <col min="3" max="3" width="3.85546875" style="17" hidden="1" customWidth="1"/>
    <col min="4" max="4" width="2.5703125" style="17" hidden="1" customWidth="1"/>
    <col min="5" max="6" width="9.140625" style="17" hidden="1" customWidth="1"/>
    <col min="7" max="9" width="10.85546875" style="17" hidden="1" customWidth="1"/>
    <col min="10" max="10" width="9.5703125" style="17" hidden="1" customWidth="1"/>
    <col min="11" max="11" width="9.140625" style="17" hidden="1" customWidth="1"/>
    <col min="12" max="12" width="17" style="19" bestFit="1" customWidth="1"/>
    <col min="13" max="13" width="15.85546875" style="19" bestFit="1" customWidth="1"/>
    <col min="14" max="14" width="12.140625" style="19" bestFit="1" customWidth="1"/>
    <col min="15" max="15" width="14.42578125" style="19" bestFit="1" customWidth="1"/>
    <col min="16" max="16" width="12.140625" style="19" bestFit="1" customWidth="1"/>
    <col min="17" max="17" width="10.85546875" style="46" bestFit="1" customWidth="1"/>
    <col min="18" max="19" width="12.140625" style="19" bestFit="1" customWidth="1"/>
    <col min="20" max="20" width="10.85546875" style="46" bestFit="1" customWidth="1"/>
    <col min="21" max="21" width="13.5703125" style="19" bestFit="1" customWidth="1"/>
    <col min="22" max="22" width="16.5703125" style="19" bestFit="1" customWidth="1"/>
    <col min="23" max="23" width="15.42578125" style="17" bestFit="1" customWidth="1"/>
  </cols>
  <sheetData>
    <row r="1" spans="1:23" s="28" customFormat="1" x14ac:dyDescent="0.25">
      <c r="A1" s="27" t="s">
        <v>74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 t="s">
        <v>9</v>
      </c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44" t="s">
        <v>6</v>
      </c>
      <c r="R1" s="29" t="s">
        <v>29</v>
      </c>
      <c r="S1" s="29" t="s">
        <v>30</v>
      </c>
      <c r="T1" s="44" t="s">
        <v>12</v>
      </c>
      <c r="U1" s="29" t="s">
        <v>10</v>
      </c>
      <c r="V1" s="29" t="s">
        <v>11</v>
      </c>
      <c r="W1" s="27"/>
    </row>
    <row r="2" spans="1:23" hidden="1" x14ac:dyDescent="0.25">
      <c r="A2" s="17" t="s">
        <v>100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LPG 16:0__O__</v>
      </c>
      <c r="C2" s="1" t="str">
        <f>MID(B2,5,FIND(":",B2)-FIND(" ",B2)-1)</f>
        <v>16</v>
      </c>
      <c r="D2" s="1" t="str">
        <f>IF(ISNUMBER(SEARCH("__",B2)),MID(B2,FIND(":",B2)+1,FIND("__",B2)-FIND(":",B2)-1),MID(B2,FIND(":",B2)+1,7))</f>
        <v>0</v>
      </c>
      <c r="G2" s="17">
        <f>C2+6</f>
        <v>22</v>
      </c>
      <c r="H2" s="17">
        <f>2*G2-(2*D2)+1-((LEN(A2)-LEN(SUBSTITUTE(A2,"_O_","")))/LEN("_O_"))*2-((LEN(A2)-LEN(SUBSTITUTE(A2,"_CHO_","")))/LEN("_CHO_"))*2-((LEN(A2)-LEN(SUBSTITUTE(A2,"_COOH_","")))/LEN("_COOH_"))*2</f>
        <v>43</v>
      </c>
      <c r="I2" s="17">
        <f>9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10</v>
      </c>
      <c r="J2" s="17">
        <v>1</v>
      </c>
      <c r="L2" s="19" t="str">
        <f>CONCATENATE("C",G2,"H",H2,"O",I2,"P",J2)</f>
        <v>C22H43O10P1</v>
      </c>
      <c r="M2" s="19">
        <f>(G2*12)+(H2*1.0078246)+(I2*15.994915)+(J2*30.973763)</f>
        <v>498.2593708</v>
      </c>
      <c r="N2" s="19">
        <f>M2+1.0078246-0.00055</f>
        <v>499.26664540000002</v>
      </c>
      <c r="O2" s="19">
        <f>N2-18.01057-0.00055</f>
        <v>481.25552540000001</v>
      </c>
      <c r="P2" s="19">
        <f>M2+18.03437-0.00055</f>
        <v>516.29319080000005</v>
      </c>
      <c r="Q2" s="46">
        <f>M2+22.98977-0.00055</f>
        <v>521.24859079999999</v>
      </c>
      <c r="R2" s="19">
        <f>M2+38.96371-0.00055</f>
        <v>537.22253080000007</v>
      </c>
      <c r="S2" s="19">
        <f>M2+7.01601-0.00055</f>
        <v>505.27483080000002</v>
      </c>
      <c r="T2" s="46">
        <f>M2-1.0078246+0.00055</f>
        <v>497.25209619999998</v>
      </c>
      <c r="U2" s="19">
        <f>M2+44.99767+0.00055</f>
        <v>543.2575908</v>
      </c>
      <c r="V2" s="19">
        <f>M2+59.01332+0.00055</f>
        <v>557.27324079999994</v>
      </c>
    </row>
    <row r="3" spans="1:23" x14ac:dyDescent="0.25">
      <c r="A3" s="17" t="s">
        <v>101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LPG 18:0</v>
      </c>
      <c r="C3" s="1" t="str">
        <f>MID(B3,5,FIND(":",B3)-FIND(" ",B3)-1)</f>
        <v>18</v>
      </c>
      <c r="D3" s="1" t="str">
        <f>IF(ISNUMBER(SEARCH("__",B3)),MID(B3,FIND(":",B3)+1,FIND("__",B3)-FIND(":",B3)-1),MID(B3,FIND(":",B3)+1,7))</f>
        <v>0</v>
      </c>
      <c r="G3" s="17">
        <f>C3+6</f>
        <v>24</v>
      </c>
      <c r="H3" s="17">
        <f>2*G3-(2*D3)+1-((LEN(A3)-LEN(SUBSTITUTE(A3,"_O_","")))/LEN("_O_"))*2-((LEN(A3)-LEN(SUBSTITUTE(A3,"_CHO_","")))/LEN("_CHO_"))*2-((LEN(A3)-LEN(SUBSTITUTE(A3,"_COOH_","")))/LEN("_COOH_"))*2</f>
        <v>49</v>
      </c>
      <c r="I3" s="17">
        <f>9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9</v>
      </c>
      <c r="J3" s="17">
        <v>1</v>
      </c>
      <c r="L3" s="19" t="str">
        <f>CONCATENATE("C",G3,"H",H3,"O",I3,"P",J3)</f>
        <v>C24H49O9P1</v>
      </c>
      <c r="M3" s="19">
        <f>(G3*12)+(H3*1.0078246)+(I3*15.994915)+(J3*30.973763)</f>
        <v>512.31140340000002</v>
      </c>
      <c r="N3" s="19">
        <f>M3+1.0078246-0.00055</f>
        <v>513.31867800000009</v>
      </c>
      <c r="O3" s="19">
        <f>N3-18.01057-0.00055</f>
        <v>495.30755800000009</v>
      </c>
      <c r="P3" s="19">
        <f>M3+18.03437-0.00055</f>
        <v>530.34522340000001</v>
      </c>
      <c r="Q3" s="46">
        <f>M3+22.98977-0.00055</f>
        <v>535.30062340000006</v>
      </c>
      <c r="R3" s="19">
        <f>M3+38.96371-0.00055</f>
        <v>551.27456340000003</v>
      </c>
      <c r="S3" s="19">
        <f>M3+7.01601-0.00055</f>
        <v>519.32686340000009</v>
      </c>
      <c r="T3" s="46">
        <f>M3-1.0078246+0.00055</f>
        <v>511.3041288</v>
      </c>
      <c r="U3" s="19">
        <f>M3+44.99767+0.00055</f>
        <v>557.30962339999996</v>
      </c>
      <c r="V3" s="19">
        <f>M3+59.01332+0.00055</f>
        <v>571.32527340000001</v>
      </c>
    </row>
    <row r="5" spans="1:23" x14ac:dyDescent="0.25">
      <c r="A5" s="17" t="s">
        <v>551</v>
      </c>
      <c r="B5" s="17" t="str">
        <f>IF(ISNUMBER(SEARCH("(",A5)),IF(ISNUMBER(SEARCH("/",A5)),CONCATENATE(MID(A5,1,2)," ",(SUM(MID(A5,FIND("(",A5)+1,FIND(":",A5)-FIND("(",A5)-1),MID(A5,FIND("/",A5)+1,FIND(":",A5,FIND("/",A5))-FIND("/",A5)-1))),":",SUM(MID(A5,FIND(":",A5)+1,FIND("/",A5)-FIND(":",A5)-1),MID(A5,FIND(":",A5,FIND("/",A5))+1,FIND(")",A5)-FIND(":",A5,FIND("/",A5))-1)),MID(A5,(FIND(")",A5)+1),100)),CONCATENATE(MID(A5,1,2)," ",(SUM(MID(A5,FIND("(",A5)+1,FIND(":",A5)-FIND("(",A5)-1),MID(A5,FIND("_",A5)+1,FIND(":",A5,FIND("_",A5))-FIND("_",A5)-1))),":",SUM(MID(A5,FIND(":",A5)+1,FIND("_",A5)-FIND(":",A5)-1),MID(A5,FIND(":",A5,FIND("_",A5))+1,FIND(")",A5)-FIND(":",A5,FIND("_",A5))-1)),MID(A5,(FIND(")",A5)+1),100))),A5)</f>
        <v>LPG 14:1</v>
      </c>
      <c r="C5" s="1" t="str">
        <f>MID(B5,5,FIND(":",B5)-FIND(" ",B5)-1)</f>
        <v>14</v>
      </c>
      <c r="D5" s="1" t="str">
        <f>IF(ISNUMBER(SEARCH("__",B5)),MID(B5,FIND(":",B5)+1,FIND("__",B5)-FIND(":",B5)-1),MID(B5,FIND(":",B5)+1,7))</f>
        <v>1</v>
      </c>
      <c r="G5" s="17">
        <f>C5+6</f>
        <v>20</v>
      </c>
      <c r="H5" s="17">
        <f>2*G5-(2*D5)+1-((LEN(A5)-LEN(SUBSTITUTE(A5,"_O_","")))/LEN("_O_"))*2-((LEN(A5)-LEN(SUBSTITUTE(A5,"_CHO_","")))/LEN("_CHO_"))*2-((LEN(A5)-LEN(SUBSTITUTE(A5,"_COOH_","")))/LEN("_COOH_"))*2</f>
        <v>39</v>
      </c>
      <c r="I5" s="17">
        <f>9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9</v>
      </c>
      <c r="J5" s="17">
        <v>1</v>
      </c>
      <c r="L5" s="19" t="str">
        <f>CONCATENATE("C",G5,"H",H5,"O",I5,"P",J5)</f>
        <v>C20H39O9P1</v>
      </c>
      <c r="M5" s="19">
        <f>(G5*12)+(H5*1.0078246)+(I5*15.994915)+(J5*30.973763)</f>
        <v>454.23315740000004</v>
      </c>
      <c r="N5" s="19">
        <f>M5+1.0078246-0.00055</f>
        <v>455.24043200000006</v>
      </c>
      <c r="O5" s="19">
        <f>N5-18.01057-0.00055</f>
        <v>437.22931200000005</v>
      </c>
      <c r="P5" s="19">
        <f>M5+18.03437-0.00055</f>
        <v>472.26697740000009</v>
      </c>
      <c r="Q5" s="46">
        <f>M5+22.98977-0.00055</f>
        <v>477.22237740000008</v>
      </c>
      <c r="R5" s="19">
        <f>M5+38.96371-0.00055</f>
        <v>493.19631740000005</v>
      </c>
      <c r="S5" s="19">
        <f>M5+7.01601-0.00055</f>
        <v>461.24861740000006</v>
      </c>
      <c r="T5" s="46">
        <f>M5-1.0078246+0.00055</f>
        <v>453.22588280000002</v>
      </c>
      <c r="U5" s="19">
        <f>M5+44.99767+0.00055</f>
        <v>499.23137740000004</v>
      </c>
      <c r="V5" s="19">
        <f>M5+59.01332+0.00055</f>
        <v>513.24702739999998</v>
      </c>
    </row>
    <row r="6" spans="1:23" x14ac:dyDescent="0.25">
      <c r="A6" s="17" t="s">
        <v>451</v>
      </c>
      <c r="B6" s="17" t="str">
        <f t="shared" ref="B6:B12" si="0"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LPG 14:0</v>
      </c>
      <c r="C6" s="1" t="str">
        <f t="shared" ref="C6:C12" si="1">MID(B6,5,FIND(":",B6)-FIND(" ",B6)-1)</f>
        <v>14</v>
      </c>
      <c r="D6" s="1" t="str">
        <f t="shared" ref="D6:D12" si="2">IF(ISNUMBER(SEARCH("__",B6)),MID(B6,FIND(":",B6)+1,FIND("__",B6)-FIND(":",B6)-1),MID(B6,FIND(":",B6)+1,7))</f>
        <v>0</v>
      </c>
      <c r="G6" s="17">
        <f t="shared" ref="G6:G12" si="3">C6+6</f>
        <v>20</v>
      </c>
      <c r="H6" s="17">
        <f t="shared" ref="H6:H12" si="4">2*G6-(2*D6)+1-((LEN(A6)-LEN(SUBSTITUTE(A6,"_O_","")))/LEN("_O_"))*2-((LEN(A6)-LEN(SUBSTITUTE(A6,"_CHO_","")))/LEN("_CHO_"))*2-((LEN(A6)-LEN(SUBSTITUTE(A6,"_COOH_","")))/LEN("_COOH_"))*2</f>
        <v>41</v>
      </c>
      <c r="I6" s="17">
        <f t="shared" ref="I6:I12" si="5">9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9</v>
      </c>
      <c r="J6" s="17">
        <v>1</v>
      </c>
      <c r="L6" s="19" t="str">
        <f t="shared" ref="L6:L12" si="6">CONCATENATE("C",G6,"H",H6,"O",I6,"P",J6)</f>
        <v>C20H41O9P1</v>
      </c>
      <c r="M6" s="19">
        <f t="shared" ref="M6:M12" si="7">(G6*12)+(H6*1.0078246)+(I6*15.994915)+(J6*30.973763)</f>
        <v>456.24880660000002</v>
      </c>
      <c r="N6" s="19">
        <f t="shared" ref="N6:N12" si="8">M6+1.0078246-0.00055</f>
        <v>457.25608120000004</v>
      </c>
      <c r="O6" s="19">
        <f t="shared" ref="O6:O12" si="9">N6-18.01057-0.00055</f>
        <v>439.24496120000003</v>
      </c>
      <c r="P6" s="19">
        <f t="shared" ref="P6:P12" si="10">M6+18.03437-0.00055</f>
        <v>474.28262660000007</v>
      </c>
      <c r="Q6" s="46">
        <f t="shared" ref="Q6:Q12" si="11">M6+22.98977-0.00055</f>
        <v>479.23802660000007</v>
      </c>
      <c r="R6" s="19">
        <f t="shared" ref="R6:R12" si="12">M6+38.96371-0.00055</f>
        <v>495.21196660000004</v>
      </c>
      <c r="S6" s="19">
        <f t="shared" ref="S6:S12" si="13">M6+7.01601-0.00055</f>
        <v>463.26426660000004</v>
      </c>
      <c r="T6" s="46">
        <f t="shared" ref="T6:T12" si="14">M6-1.0078246+0.00055</f>
        <v>455.24153200000001</v>
      </c>
      <c r="U6" s="19">
        <f t="shared" ref="U6:U12" si="15">M6+44.99767+0.00055</f>
        <v>501.24702660000003</v>
      </c>
      <c r="V6" s="19">
        <f t="shared" ref="V6:V12" si="16">M6+59.01332+0.00055</f>
        <v>515.26267659999996</v>
      </c>
    </row>
    <row r="7" spans="1:23" x14ac:dyDescent="0.25">
      <c r="A7" s="17" t="s">
        <v>550</v>
      </c>
      <c r="B7" s="17" t="str">
        <f>IF(ISNUMBER(SEARCH("(",A7)),IF(ISNUMBER(SEARCH("/",A7)),CONCATENATE(MID(A7,1,2)," ",(SUM(MID(A7,FIND("(",A7)+1,FIND(":",A7)-FIND("(",A7)-1),MID(A7,FIND("/",A7)+1,FIND(":",A7,FIND("/",A7))-FIND("/",A7)-1))),":",SUM(MID(A7,FIND(":",A7)+1,FIND("/",A7)-FIND(":",A7)-1),MID(A7,FIND(":",A7,FIND("/",A7))+1,FIND(")",A7)-FIND(":",A7,FIND("/",A7))-1)),MID(A7,(FIND(")",A7)+1),100)),CONCATENATE(MID(A7,1,2)," ",(SUM(MID(A7,FIND("(",A7)+1,FIND(":",A7)-FIND("(",A7)-1),MID(A7,FIND("_",A7)+1,FIND(":",A7,FIND("_",A7))-FIND("_",A7)-1))),":",SUM(MID(A7,FIND(":",A7)+1,FIND("_",A7)-FIND(":",A7)-1),MID(A7,FIND(":",A7,FIND("_",A7))+1,FIND(")",A7)-FIND(":",A7,FIND("_",A7))-1)),MID(A7,(FIND(")",A7)+1),100))),A7)</f>
        <v>LPG 15:1</v>
      </c>
      <c r="C7" s="1" t="str">
        <f>MID(B7,5,FIND(":",B7)-FIND(" ",B7)-1)</f>
        <v>15</v>
      </c>
      <c r="D7" s="1" t="str">
        <f>IF(ISNUMBER(SEARCH("__",B7)),MID(B7,FIND(":",B7)+1,FIND("__",B7)-FIND(":",B7)-1),MID(B7,FIND(":",B7)+1,7))</f>
        <v>1</v>
      </c>
      <c r="G7" s="17">
        <f>C7+6</f>
        <v>21</v>
      </c>
      <c r="H7" s="17">
        <f>2*G7-(2*D7)+1-((LEN(A7)-LEN(SUBSTITUTE(A7,"_O_","")))/LEN("_O_"))*2-((LEN(A7)-LEN(SUBSTITUTE(A7,"_CHO_","")))/LEN("_CHO_"))*2-((LEN(A7)-LEN(SUBSTITUTE(A7,"_COOH_","")))/LEN("_COOH_"))*2</f>
        <v>41</v>
      </c>
      <c r="I7" s="17">
        <f>9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9</v>
      </c>
      <c r="J7" s="17">
        <v>1</v>
      </c>
      <c r="L7" s="19" t="str">
        <f>CONCATENATE("C",G7,"H",H7,"O",I7,"P",J7)</f>
        <v>C21H41O9P1</v>
      </c>
      <c r="M7" s="19">
        <f>(G7*12)+(H7*1.0078246)+(I7*15.994915)+(J7*30.973763)</f>
        <v>468.24880660000002</v>
      </c>
      <c r="N7" s="19">
        <f>M7+1.0078246-0.00055</f>
        <v>469.25608120000004</v>
      </c>
      <c r="O7" s="19">
        <f>N7-18.01057-0.00055</f>
        <v>451.24496120000003</v>
      </c>
      <c r="P7" s="19">
        <f>M7+18.03437-0.00055</f>
        <v>486.28262660000007</v>
      </c>
      <c r="Q7" s="46">
        <f>M7+22.98977-0.00055</f>
        <v>491.23802660000007</v>
      </c>
      <c r="R7" s="19">
        <f>M7+38.96371-0.00055</f>
        <v>507.21196660000004</v>
      </c>
      <c r="S7" s="19">
        <f>M7+7.01601-0.00055</f>
        <v>475.26426660000004</v>
      </c>
      <c r="T7" s="46">
        <f>M7-1.0078246+0.00055</f>
        <v>467.24153200000001</v>
      </c>
      <c r="U7" s="19">
        <f>M7+44.99767+0.00055</f>
        <v>513.24702660000003</v>
      </c>
      <c r="V7" s="19">
        <f>M7+59.01332+0.00055</f>
        <v>527.26267659999996</v>
      </c>
    </row>
    <row r="8" spans="1:23" x14ac:dyDescent="0.25">
      <c r="A8" s="17" t="s">
        <v>547</v>
      </c>
      <c r="B8" s="17" t="str">
        <f t="shared" si="0"/>
        <v>LPG 15:0</v>
      </c>
      <c r="C8" s="1" t="str">
        <f t="shared" si="1"/>
        <v>15</v>
      </c>
      <c r="D8" s="1" t="str">
        <f t="shared" si="2"/>
        <v>0</v>
      </c>
      <c r="G8" s="17">
        <f t="shared" si="3"/>
        <v>21</v>
      </c>
      <c r="H8" s="17">
        <f t="shared" si="4"/>
        <v>43</v>
      </c>
      <c r="I8" s="17">
        <f t="shared" si="5"/>
        <v>9</v>
      </c>
      <c r="J8" s="17">
        <v>1</v>
      </c>
      <c r="L8" s="19" t="str">
        <f t="shared" si="6"/>
        <v>C21H43O9P1</v>
      </c>
      <c r="M8" s="19">
        <f t="shared" si="7"/>
        <v>470.26445580000001</v>
      </c>
      <c r="N8" s="19">
        <f t="shared" si="8"/>
        <v>471.27173040000002</v>
      </c>
      <c r="O8" s="19">
        <f t="shared" si="9"/>
        <v>453.26061040000002</v>
      </c>
      <c r="P8" s="19">
        <f t="shared" si="10"/>
        <v>488.29827580000006</v>
      </c>
      <c r="Q8" s="46">
        <f t="shared" si="11"/>
        <v>493.25367580000005</v>
      </c>
      <c r="R8" s="19">
        <f t="shared" si="12"/>
        <v>509.22761580000002</v>
      </c>
      <c r="S8" s="19">
        <f t="shared" si="13"/>
        <v>477.27991580000003</v>
      </c>
      <c r="T8" s="46">
        <f t="shared" si="14"/>
        <v>469.25718119999999</v>
      </c>
      <c r="U8" s="19">
        <f t="shared" si="15"/>
        <v>515.26267580000001</v>
      </c>
      <c r="V8" s="19">
        <f t="shared" si="16"/>
        <v>529.27832579999995</v>
      </c>
    </row>
    <row r="9" spans="1:23" x14ac:dyDescent="0.25">
      <c r="A9" s="17" t="s">
        <v>449</v>
      </c>
      <c r="B9" s="17" t="str">
        <f>IF(ISNUMBER(SEARCH("(",A9)),IF(ISNUMBER(SEARCH("/",A9)),CONCATENATE(MID(A9,1,2)," ",(SUM(MID(A9,FIND("(",A9)+1,FIND(":",A9)-FIND("(",A9)-1),MID(A9,FIND("/",A9)+1,FIND(":",A9,FIND("/",A9))-FIND("/",A9)-1))),":",SUM(MID(A9,FIND(":",A9)+1,FIND("/",A9)-FIND(":",A9)-1),MID(A9,FIND(":",A9,FIND("/",A9))+1,FIND(")",A9)-FIND(":",A9,FIND("/",A9))-1)),MID(A9,(FIND(")",A9)+1),100)),CONCATENATE(MID(A9,1,2)," ",(SUM(MID(A9,FIND("(",A9)+1,FIND(":",A9)-FIND("(",A9)-1),MID(A9,FIND("_",A9)+1,FIND(":",A9,FIND("_",A9))-FIND("_",A9)-1))),":",SUM(MID(A9,FIND(":",A9)+1,FIND("_",A9)-FIND(":",A9)-1),MID(A9,FIND(":",A9,FIND("_",A9))+1,FIND(")",A9)-FIND(":",A9,FIND("_",A9))-1)),MID(A9,(FIND(")",A9)+1),100))),A9)</f>
        <v>LPG 16:1</v>
      </c>
      <c r="C9" s="1" t="str">
        <f>MID(B9,5,FIND(":",B9)-FIND(" ",B9)-1)</f>
        <v>16</v>
      </c>
      <c r="D9" s="1" t="str">
        <f>IF(ISNUMBER(SEARCH("__",B9)),MID(B9,FIND(":",B9)+1,FIND("__",B9)-FIND(":",B9)-1),MID(B9,FIND(":",B9)+1,7))</f>
        <v>1</v>
      </c>
      <c r="G9" s="17">
        <f>C9+6</f>
        <v>22</v>
      </c>
      <c r="H9" s="17">
        <f>2*G9-(2*D9)+1-((LEN(A9)-LEN(SUBSTITUTE(A9,"_O_","")))/LEN("_O_"))*2-((LEN(A9)-LEN(SUBSTITUTE(A9,"_CHO_","")))/LEN("_CHO_"))*2-((LEN(A9)-LEN(SUBSTITUTE(A9,"_COOH_","")))/LEN("_COOH_"))*2</f>
        <v>43</v>
      </c>
      <c r="I9" s="17">
        <f>9+((LEN(A9)-LEN(SUBSTITUTE(A9,"_OH_","")))/LEN("_OH_"))*1+((LEN(A9)-LEN(SUBSTITUTE(A9,"_OOH_","")))/LEN("_OOH_"))*2+((LEN(A9)-LEN(SUBSTITUTE(A9,"_O_","")))/LEN("_O_"))*1+((LEN(A9)-LEN(SUBSTITUTE(A9,"_CHO_","")))/LEN("_CHO_"))*1+((LEN(A9)-LEN(SUBSTITUTE(A9,"_COOH_","")))/LEN("_COOH_"))*2</f>
        <v>9</v>
      </c>
      <c r="J9" s="17">
        <v>1</v>
      </c>
      <c r="L9" s="19" t="str">
        <f>CONCATENATE("C",G9,"H",H9,"O",I9,"P",J9)</f>
        <v>C22H43O9P1</v>
      </c>
      <c r="M9" s="19">
        <f>(G9*12)+(H9*1.0078246)+(I9*15.994915)+(J9*30.973763)</f>
        <v>482.26445580000001</v>
      </c>
      <c r="N9" s="19">
        <f>M9+1.0078246-0.00055</f>
        <v>483.27173040000002</v>
      </c>
      <c r="O9" s="19">
        <f>N9-18.01057-0.00055</f>
        <v>465.26061040000002</v>
      </c>
      <c r="P9" s="19">
        <f>M9+18.03437-0.00055</f>
        <v>500.29827580000006</v>
      </c>
      <c r="Q9" s="46">
        <f>M9+22.98977-0.00055</f>
        <v>505.25367580000005</v>
      </c>
      <c r="R9" s="19">
        <f>M9+38.96371-0.00055</f>
        <v>521.22761580000008</v>
      </c>
      <c r="S9" s="19">
        <f>M9+7.01601-0.00055</f>
        <v>489.27991580000003</v>
      </c>
      <c r="T9" s="46">
        <f>M9-1.0078246+0.00055</f>
        <v>481.25718119999999</v>
      </c>
      <c r="U9" s="19">
        <f>M9+44.99767+0.00055</f>
        <v>527.26267580000001</v>
      </c>
      <c r="V9" s="19">
        <f>M9+59.01332+0.00055</f>
        <v>541.27832579999995</v>
      </c>
    </row>
    <row r="10" spans="1:23" x14ac:dyDescent="0.25">
      <c r="A10" s="17" t="s">
        <v>448</v>
      </c>
      <c r="B10" s="17" t="str">
        <f>IF(ISNUMBER(SEARCH("(",A10)),IF(ISNUMBER(SEARCH("/",A10)),CONCATENATE(MID(A10,1,2)," ",(SUM(MID(A10,FIND("(",A10)+1,FIND(":",A10)-FIND("(",A10)-1),MID(A10,FIND("/",A10)+1,FIND(":",A10,FIND("/",A10))-FIND("/",A10)-1))),":",SUM(MID(A10,FIND(":",A10)+1,FIND("/",A10)-FIND(":",A10)-1),MID(A10,FIND(":",A10,FIND("/",A10))+1,FIND(")",A10)-FIND(":",A10,FIND("/",A10))-1)),MID(A10,(FIND(")",A10)+1),100)),CONCATENATE(MID(A10,1,2)," ",(SUM(MID(A10,FIND("(",A10)+1,FIND(":",A10)-FIND("(",A10)-1),MID(A10,FIND("_",A10)+1,FIND(":",A10,FIND("_",A10))-FIND("_",A10)-1))),":",SUM(MID(A10,FIND(":",A10)+1,FIND("_",A10)-FIND(":",A10)-1),MID(A10,FIND(":",A10,FIND("_",A10))+1,FIND(")",A10)-FIND(":",A10,FIND("_",A10))-1)),MID(A10,(FIND(")",A10)+1),100))),A10)</f>
        <v>LPG 16:0</v>
      </c>
      <c r="C10" s="1" t="str">
        <f>MID(B10,5,FIND(":",B10)-FIND(" ",B10)-1)</f>
        <v>16</v>
      </c>
      <c r="D10" s="1" t="str">
        <f>IF(ISNUMBER(SEARCH("__",B10)),MID(B10,FIND(":",B10)+1,FIND("__",B10)-FIND(":",B10)-1),MID(B10,FIND(":",B10)+1,7))</f>
        <v>0</v>
      </c>
      <c r="G10" s="17">
        <f>C10+6</f>
        <v>22</v>
      </c>
      <c r="H10" s="17">
        <f>2*G10-(2*D10)+1-((LEN(A10)-LEN(SUBSTITUTE(A10,"_O_","")))/LEN("_O_"))*2-((LEN(A10)-LEN(SUBSTITUTE(A10,"_CHO_","")))/LEN("_CHO_"))*2-((LEN(A10)-LEN(SUBSTITUTE(A10,"_COOH_","")))/LEN("_COOH_"))*2</f>
        <v>45</v>
      </c>
      <c r="I10" s="17">
        <f>9+((LEN(A10)-LEN(SUBSTITUTE(A10,"_OH_","")))/LEN("_OH_"))*1+((LEN(A10)-LEN(SUBSTITUTE(A10,"_OOH_","")))/LEN("_OOH_"))*2+((LEN(A10)-LEN(SUBSTITUTE(A10,"_O_","")))/LEN("_O_"))*1+((LEN(A10)-LEN(SUBSTITUTE(A10,"_CHO_","")))/LEN("_CHO_"))*1+((LEN(A10)-LEN(SUBSTITUTE(A10,"_COOH_","")))/LEN("_COOH_"))*2</f>
        <v>9</v>
      </c>
      <c r="J10" s="17">
        <v>1</v>
      </c>
      <c r="L10" s="19" t="str">
        <f>CONCATENATE("C",G10,"H",H10,"O",I10,"P",J10)</f>
        <v>C22H45O9P1</v>
      </c>
      <c r="M10" s="19">
        <f>(G10*12)+(H10*1.0078246)+(I10*15.994915)+(J10*30.973763)</f>
        <v>484.28010499999999</v>
      </c>
      <c r="N10" s="19">
        <f>M10+1.0078246-0.00055</f>
        <v>485.28737960000001</v>
      </c>
      <c r="O10" s="19">
        <f>N10-18.01057-0.00055</f>
        <v>467.2762596</v>
      </c>
      <c r="P10" s="19">
        <f>M10+18.03437-0.00055</f>
        <v>502.31392500000004</v>
      </c>
      <c r="Q10" s="46">
        <f>M10+22.98977-0.00055</f>
        <v>507.26932500000004</v>
      </c>
      <c r="R10" s="19">
        <f>M10+38.96371-0.00055</f>
        <v>523.24326500000006</v>
      </c>
      <c r="S10" s="19">
        <f>M10+7.01601-0.00055</f>
        <v>491.29556500000001</v>
      </c>
      <c r="T10" s="46">
        <f>M10-1.0078246+0.00055</f>
        <v>483.27283039999998</v>
      </c>
      <c r="U10" s="19">
        <f>M10+44.99767+0.00055</f>
        <v>529.278325</v>
      </c>
      <c r="V10" s="19">
        <f>M10+59.01332+0.00055</f>
        <v>543.29397499999993</v>
      </c>
    </row>
    <row r="11" spans="1:23" x14ac:dyDescent="0.25">
      <c r="A11" s="17" t="s">
        <v>548</v>
      </c>
      <c r="B11" s="17" t="str">
        <f t="shared" si="0"/>
        <v>LPG 17:0</v>
      </c>
      <c r="C11" s="1" t="str">
        <f t="shared" si="1"/>
        <v>17</v>
      </c>
      <c r="D11" s="1" t="str">
        <f t="shared" si="2"/>
        <v>0</v>
      </c>
      <c r="G11" s="17">
        <f t="shared" si="3"/>
        <v>23</v>
      </c>
      <c r="H11" s="17">
        <f t="shared" si="4"/>
        <v>47</v>
      </c>
      <c r="I11" s="17">
        <f t="shared" si="5"/>
        <v>9</v>
      </c>
      <c r="J11" s="17">
        <v>1</v>
      </c>
      <c r="L11" s="19" t="str">
        <f t="shared" si="6"/>
        <v>C23H47O9P1</v>
      </c>
      <c r="M11" s="19">
        <f t="shared" si="7"/>
        <v>498.29575419999998</v>
      </c>
      <c r="N11" s="19">
        <f t="shared" si="8"/>
        <v>499.30302879999999</v>
      </c>
      <c r="O11" s="19">
        <f t="shared" si="9"/>
        <v>481.29190879999999</v>
      </c>
      <c r="P11" s="19">
        <f t="shared" si="10"/>
        <v>516.32957420000002</v>
      </c>
      <c r="Q11" s="46">
        <f t="shared" si="11"/>
        <v>521.28497419999997</v>
      </c>
      <c r="R11" s="19">
        <f t="shared" si="12"/>
        <v>537.25891420000005</v>
      </c>
      <c r="S11" s="19">
        <f t="shared" si="13"/>
        <v>505.31121419999999</v>
      </c>
      <c r="T11" s="46">
        <f t="shared" si="14"/>
        <v>497.28847959999996</v>
      </c>
      <c r="U11" s="19">
        <f t="shared" si="15"/>
        <v>543.29397419999998</v>
      </c>
      <c r="V11" s="19">
        <f t="shared" si="16"/>
        <v>557.30962419999992</v>
      </c>
    </row>
    <row r="12" spans="1:23" x14ac:dyDescent="0.25">
      <c r="A12" s="17" t="s">
        <v>549</v>
      </c>
      <c r="B12" s="17" t="str">
        <f t="shared" si="0"/>
        <v>LPG 17:1</v>
      </c>
      <c r="C12" s="1" t="str">
        <f t="shared" si="1"/>
        <v>17</v>
      </c>
      <c r="D12" s="1" t="str">
        <f t="shared" si="2"/>
        <v>1</v>
      </c>
      <c r="G12" s="17">
        <f t="shared" si="3"/>
        <v>23</v>
      </c>
      <c r="H12" s="17">
        <f t="shared" si="4"/>
        <v>45</v>
      </c>
      <c r="I12" s="17">
        <f t="shared" si="5"/>
        <v>9</v>
      </c>
      <c r="J12" s="17">
        <v>1</v>
      </c>
      <c r="L12" s="19" t="str">
        <f t="shared" si="6"/>
        <v>C23H45O9P1</v>
      </c>
      <c r="M12" s="19">
        <f t="shared" si="7"/>
        <v>496.28010499999999</v>
      </c>
      <c r="N12" s="19">
        <f t="shared" si="8"/>
        <v>497.28737960000001</v>
      </c>
      <c r="O12" s="19">
        <f t="shared" si="9"/>
        <v>479.2762596</v>
      </c>
      <c r="P12" s="19">
        <f t="shared" si="10"/>
        <v>514.31392500000004</v>
      </c>
      <c r="Q12" s="46">
        <f t="shared" si="11"/>
        <v>519.26932499999998</v>
      </c>
      <c r="R12" s="19">
        <f t="shared" si="12"/>
        <v>535.24326500000006</v>
      </c>
      <c r="S12" s="19">
        <f t="shared" si="13"/>
        <v>503.29556500000001</v>
      </c>
      <c r="T12" s="46">
        <f t="shared" si="14"/>
        <v>495.27283039999998</v>
      </c>
      <c r="U12" s="19">
        <f t="shared" si="15"/>
        <v>541.278325</v>
      </c>
      <c r="V12" s="19">
        <f t="shared" si="16"/>
        <v>555.29397499999993</v>
      </c>
    </row>
    <row r="13" spans="1:23" x14ac:dyDescent="0.25">
      <c r="A13" s="17" t="s">
        <v>450</v>
      </c>
      <c r="B13" s="17" t="str">
        <f t="shared" ref="B13:B19" si="17">IF(ISNUMBER(SEARCH("(",A13)),IF(ISNUMBER(SEARCH("/",A13)),CONCATENATE(MID(A13,1,2)," ",(SUM(MID(A13,FIND("(",A13)+1,FIND(":",A13)-FIND("(",A13)-1),MID(A13,FIND("/",A13)+1,FIND(":",A13,FIND("/",A13))-FIND("/",A13)-1))),":",SUM(MID(A13,FIND(":",A13)+1,FIND("/",A13)-FIND(":",A13)-1),MID(A13,FIND(":",A13,FIND("/",A13))+1,FIND(")",A13)-FIND(":",A13,FIND("/",A13))-1)),MID(A13,(FIND(")",A13)+1),100)),CONCATENATE(MID(A13,1,2)," ",(SUM(MID(A13,FIND("(",A13)+1,FIND(":",A13)-FIND("(",A13)-1),MID(A13,FIND("_",A13)+1,FIND(":",A13,FIND("_",A13))-FIND("_",A13)-1))),":",SUM(MID(A13,FIND(":",A13)+1,FIND("_",A13)-FIND(":",A13)-1),MID(A13,FIND(":",A13,FIND("_",A13))+1,FIND(")",A13)-FIND(":",A13,FIND("_",A13))-1)),MID(A13,(FIND(")",A13)+1),100))),A13)</f>
        <v>LPG 18:1</v>
      </c>
      <c r="C13" s="1" t="str">
        <f t="shared" ref="C13:C19" si="18">MID(B13,5,FIND(":",B13)-FIND(" ",B13)-1)</f>
        <v>18</v>
      </c>
      <c r="D13" s="1" t="str">
        <f t="shared" ref="D13:D19" si="19">IF(ISNUMBER(SEARCH("__",B13)),MID(B13,FIND(":",B13)+1,FIND("__",B13)-FIND(":",B13)-1),MID(B13,FIND(":",B13)+1,7))</f>
        <v>1</v>
      </c>
      <c r="G13" s="17">
        <f t="shared" ref="G13:G19" si="20">C13+6</f>
        <v>24</v>
      </c>
      <c r="H13" s="17">
        <f t="shared" ref="H13:H19" si="21">2*G13-(2*D13)+1-((LEN(A13)-LEN(SUBSTITUTE(A13,"_O_","")))/LEN("_O_"))*2-((LEN(A13)-LEN(SUBSTITUTE(A13,"_CHO_","")))/LEN("_CHO_"))*2-((LEN(A13)-LEN(SUBSTITUTE(A13,"_COOH_","")))/LEN("_COOH_"))*2</f>
        <v>47</v>
      </c>
      <c r="I13" s="17">
        <f t="shared" ref="I13:I19" si="22">9+((LEN(A13)-LEN(SUBSTITUTE(A13,"_OH_","")))/LEN("_OH_"))*1+((LEN(A13)-LEN(SUBSTITUTE(A13,"_OOH_","")))/LEN("_OOH_"))*2+((LEN(A13)-LEN(SUBSTITUTE(A13,"_O_","")))/LEN("_O_"))*1+((LEN(A13)-LEN(SUBSTITUTE(A13,"_CHO_","")))/LEN("_CHO_"))*1+((LEN(A13)-LEN(SUBSTITUTE(A13,"_COOH_","")))/LEN("_COOH_"))*2</f>
        <v>9</v>
      </c>
      <c r="J13" s="17">
        <v>1</v>
      </c>
      <c r="L13" s="19" t="str">
        <f t="shared" ref="L13:L19" si="23">CONCATENATE("C",G13,"H",H13,"O",I13,"P",J13)</f>
        <v>C24H47O9P1</v>
      </c>
      <c r="M13" s="19">
        <f t="shared" ref="M13:M19" si="24">(G13*12)+(H13*1.0078246)+(I13*15.994915)+(J13*30.973763)</f>
        <v>510.29575419999998</v>
      </c>
      <c r="N13" s="19">
        <f t="shared" ref="N13:N19" si="25">M13+1.0078246-0.00055</f>
        <v>511.30302879999999</v>
      </c>
      <c r="O13" s="19">
        <f t="shared" ref="O13:O19" si="26">N13-18.01057-0.00055</f>
        <v>493.29190879999999</v>
      </c>
      <c r="P13" s="19">
        <f t="shared" ref="P13:P19" si="27">M13+18.03437-0.00055</f>
        <v>528.32957420000002</v>
      </c>
      <c r="Q13" s="46">
        <f t="shared" ref="Q13:Q19" si="28">M13+22.98977-0.00055</f>
        <v>533.28497419999997</v>
      </c>
      <c r="R13" s="19">
        <f t="shared" ref="R13:R19" si="29">M13+38.96371-0.00055</f>
        <v>549.25891420000005</v>
      </c>
      <c r="S13" s="19">
        <f t="shared" ref="S13:S19" si="30">M13+7.01601-0.00055</f>
        <v>517.31121419999999</v>
      </c>
      <c r="T13" s="46">
        <f t="shared" ref="T13:T19" si="31">M13-1.0078246+0.00055</f>
        <v>509.28847959999996</v>
      </c>
      <c r="U13" s="19">
        <f t="shared" ref="U13:U19" si="32">M13+44.99767+0.00055</f>
        <v>555.29397419999998</v>
      </c>
      <c r="V13" s="19">
        <f t="shared" ref="V13:V19" si="33">M13+59.01332+0.00055</f>
        <v>569.30962419999992</v>
      </c>
    </row>
    <row r="14" spans="1:23" x14ac:dyDescent="0.25">
      <c r="A14" s="17" t="s">
        <v>101</v>
      </c>
      <c r="B14" s="17" t="str">
        <f t="shared" si="17"/>
        <v>LPG 18:0</v>
      </c>
      <c r="C14" s="1" t="str">
        <f t="shared" si="18"/>
        <v>18</v>
      </c>
      <c r="D14" s="1" t="str">
        <f t="shared" si="19"/>
        <v>0</v>
      </c>
      <c r="G14" s="17">
        <f t="shared" si="20"/>
        <v>24</v>
      </c>
      <c r="H14" s="17">
        <f t="shared" si="21"/>
        <v>49</v>
      </c>
      <c r="I14" s="17">
        <f t="shared" si="22"/>
        <v>9</v>
      </c>
      <c r="J14" s="17">
        <v>1</v>
      </c>
      <c r="L14" s="19" t="str">
        <f t="shared" si="23"/>
        <v>C24H49O9P1</v>
      </c>
      <c r="M14" s="19">
        <f t="shared" si="24"/>
        <v>512.31140340000002</v>
      </c>
      <c r="N14" s="19">
        <f t="shared" si="25"/>
        <v>513.31867800000009</v>
      </c>
      <c r="O14" s="19">
        <f t="shared" si="26"/>
        <v>495.30755800000009</v>
      </c>
      <c r="P14" s="19">
        <f t="shared" si="27"/>
        <v>530.34522340000001</v>
      </c>
      <c r="Q14" s="46">
        <f t="shared" si="28"/>
        <v>535.30062340000006</v>
      </c>
      <c r="R14" s="19">
        <f t="shared" si="29"/>
        <v>551.27456340000003</v>
      </c>
      <c r="S14" s="19">
        <f t="shared" si="30"/>
        <v>519.32686340000009</v>
      </c>
      <c r="T14" s="46">
        <f t="shared" si="31"/>
        <v>511.3041288</v>
      </c>
      <c r="U14" s="19">
        <f t="shared" si="32"/>
        <v>557.30962339999996</v>
      </c>
      <c r="V14" s="19">
        <f t="shared" si="33"/>
        <v>571.32527340000001</v>
      </c>
    </row>
    <row r="15" spans="1:23" x14ac:dyDescent="0.25">
      <c r="A15" s="17" t="s">
        <v>579</v>
      </c>
      <c r="B15" s="17" t="str">
        <f>IF(ISNUMBER(SEARCH("(",A15)),IF(ISNUMBER(SEARCH("/",A15)),CONCATENATE(MID(A15,1,2)," ",(SUM(MID(A15,FIND("(",A15)+1,FIND(":",A15)-FIND("(",A15)-1),MID(A15,FIND("/",A15)+1,FIND(":",A15,FIND("/",A15))-FIND("/",A15)-1))),":",SUM(MID(A15,FIND(":",A15)+1,FIND("/",A15)-FIND(":",A15)-1),MID(A15,FIND(":",A15,FIND("/",A15))+1,FIND(")",A15)-FIND(":",A15,FIND("/",A15))-1)),MID(A15,(FIND(")",A15)+1),100)),CONCATENATE(MID(A15,1,2)," ",(SUM(MID(A15,FIND("(",A15)+1,FIND(":",A15)-FIND("(",A15)-1),MID(A15,FIND("_",A15)+1,FIND(":",A15,FIND("_",A15))-FIND("_",A15)-1))),":",SUM(MID(A15,FIND(":",A15)+1,FIND("_",A15)-FIND(":",A15)-1),MID(A15,FIND(":",A15,FIND("_",A15))+1,FIND(")",A15)-FIND(":",A15,FIND("_",A15))-1)),MID(A15,(FIND(")",A15)+1),100))),A15)</f>
        <v>LPG 19:1</v>
      </c>
      <c r="C15" s="1" t="str">
        <f>MID(B15,5,FIND(":",B15)-FIND(" ",B15)-1)</f>
        <v>19</v>
      </c>
      <c r="D15" s="1" t="str">
        <f>IF(ISNUMBER(SEARCH("__",B15)),MID(B15,FIND(":",B15)+1,FIND("__",B15)-FIND(":",B15)-1),MID(B15,FIND(":",B15)+1,7))</f>
        <v>1</v>
      </c>
      <c r="G15" s="17">
        <f>C15+6</f>
        <v>25</v>
      </c>
      <c r="H15" s="17">
        <f>2*G15-(2*D15)+1-((LEN(A15)-LEN(SUBSTITUTE(A15,"_O_","")))/LEN("_O_"))*2-((LEN(A15)-LEN(SUBSTITUTE(A15,"_CHO_","")))/LEN("_CHO_"))*2-((LEN(A15)-LEN(SUBSTITUTE(A15,"_COOH_","")))/LEN("_COOH_"))*2</f>
        <v>49</v>
      </c>
      <c r="I15" s="17">
        <f>9+((LEN(A15)-LEN(SUBSTITUTE(A15,"_OH_","")))/LEN("_OH_"))*1+((LEN(A15)-LEN(SUBSTITUTE(A15,"_OOH_","")))/LEN("_OOH_"))*2+((LEN(A15)-LEN(SUBSTITUTE(A15,"_O_","")))/LEN("_O_"))*1+((LEN(A15)-LEN(SUBSTITUTE(A15,"_CHO_","")))/LEN("_CHO_"))*1+((LEN(A15)-LEN(SUBSTITUTE(A15,"_COOH_","")))/LEN("_COOH_"))*2</f>
        <v>9</v>
      </c>
      <c r="J15" s="17">
        <v>1</v>
      </c>
      <c r="L15" s="19" t="str">
        <f>CONCATENATE("C",G15,"H",H15,"O",I15,"P",J15)</f>
        <v>C25H49O9P1</v>
      </c>
      <c r="M15" s="19">
        <f>(G15*12)+(H15*1.0078246)+(I15*15.994915)+(J15*30.973763)</f>
        <v>524.31140340000002</v>
      </c>
      <c r="N15" s="19">
        <f>M15+1.0078246-0.00055</f>
        <v>525.31867800000009</v>
      </c>
      <c r="O15" s="19">
        <f>N15-18.01057-0.00055</f>
        <v>507.30755800000009</v>
      </c>
      <c r="P15" s="19">
        <f>M15+18.03437-0.00055</f>
        <v>542.34522340000001</v>
      </c>
      <c r="Q15" s="46">
        <f>M15+22.98977-0.00055</f>
        <v>547.30062340000006</v>
      </c>
      <c r="R15" s="19">
        <f>M15+38.96371-0.00055</f>
        <v>563.27456340000003</v>
      </c>
      <c r="S15" s="19">
        <f>M15+7.01601-0.00055</f>
        <v>531.32686340000009</v>
      </c>
      <c r="T15" s="46">
        <f>M15-1.0078246+0.00055</f>
        <v>523.30412879999994</v>
      </c>
      <c r="U15" s="19">
        <f>M15+44.99767+0.00055</f>
        <v>569.30962339999996</v>
      </c>
      <c r="V15" s="19">
        <f>M15+59.01332+0.00055</f>
        <v>583.32527340000001</v>
      </c>
    </row>
    <row r="16" spans="1:23" x14ac:dyDescent="0.25">
      <c r="A16" s="17" t="s">
        <v>575</v>
      </c>
      <c r="B16" s="17" t="str">
        <f t="shared" si="17"/>
        <v>LPG 19:0</v>
      </c>
      <c r="C16" s="1" t="str">
        <f t="shared" si="18"/>
        <v>19</v>
      </c>
      <c r="D16" s="1" t="str">
        <f t="shared" si="19"/>
        <v>0</v>
      </c>
      <c r="G16" s="17">
        <f t="shared" si="20"/>
        <v>25</v>
      </c>
      <c r="H16" s="17">
        <f t="shared" si="21"/>
        <v>51</v>
      </c>
      <c r="I16" s="17">
        <f t="shared" si="22"/>
        <v>9</v>
      </c>
      <c r="J16" s="17">
        <v>1</v>
      </c>
      <c r="L16" s="19" t="str">
        <f t="shared" si="23"/>
        <v>C25H51O9P1</v>
      </c>
      <c r="M16" s="19">
        <f t="shared" si="24"/>
        <v>526.3270526</v>
      </c>
      <c r="N16" s="19">
        <f t="shared" si="25"/>
        <v>527.33432720000008</v>
      </c>
      <c r="O16" s="19">
        <f t="shared" si="26"/>
        <v>509.32320720000007</v>
      </c>
      <c r="P16" s="19">
        <f t="shared" si="27"/>
        <v>544.36087259999999</v>
      </c>
      <c r="Q16" s="46">
        <f t="shared" si="28"/>
        <v>549.31627260000005</v>
      </c>
      <c r="R16" s="19">
        <f t="shared" si="29"/>
        <v>565.29021260000002</v>
      </c>
      <c r="S16" s="19">
        <f t="shared" si="30"/>
        <v>533.34251260000008</v>
      </c>
      <c r="T16" s="46">
        <f t="shared" si="31"/>
        <v>525.31977799999993</v>
      </c>
      <c r="U16" s="19">
        <f t="shared" si="32"/>
        <v>571.32527259999995</v>
      </c>
      <c r="V16" s="19">
        <f t="shared" si="33"/>
        <v>585.3409226</v>
      </c>
    </row>
    <row r="17" spans="1:22" x14ac:dyDescent="0.25">
      <c r="A17" s="17" t="s">
        <v>576</v>
      </c>
      <c r="B17" s="17" t="str">
        <f t="shared" si="17"/>
        <v>LPG 20:0</v>
      </c>
      <c r="C17" s="1" t="str">
        <f t="shared" si="18"/>
        <v>20</v>
      </c>
      <c r="D17" s="1" t="str">
        <f t="shared" si="19"/>
        <v>0</v>
      </c>
      <c r="G17" s="17">
        <f t="shared" si="20"/>
        <v>26</v>
      </c>
      <c r="H17" s="17">
        <f t="shared" si="21"/>
        <v>53</v>
      </c>
      <c r="I17" s="17">
        <f t="shared" si="22"/>
        <v>9</v>
      </c>
      <c r="J17" s="17">
        <v>1</v>
      </c>
      <c r="L17" s="19" t="str">
        <f t="shared" si="23"/>
        <v>C26H53O9P1</v>
      </c>
      <c r="M17" s="19">
        <f t="shared" si="24"/>
        <v>540.34270179999999</v>
      </c>
      <c r="N17" s="19">
        <f t="shared" si="25"/>
        <v>541.34997640000006</v>
      </c>
      <c r="O17" s="19">
        <f t="shared" si="26"/>
        <v>523.33885640000005</v>
      </c>
      <c r="P17" s="19">
        <f t="shared" si="27"/>
        <v>558.37652179999998</v>
      </c>
      <c r="Q17" s="46">
        <f t="shared" si="28"/>
        <v>563.33192180000003</v>
      </c>
      <c r="R17" s="19">
        <f t="shared" si="29"/>
        <v>579.3058618</v>
      </c>
      <c r="S17" s="19">
        <f t="shared" si="30"/>
        <v>547.35816180000006</v>
      </c>
      <c r="T17" s="46">
        <f t="shared" si="31"/>
        <v>539.33542719999991</v>
      </c>
      <c r="U17" s="19">
        <f t="shared" si="32"/>
        <v>585.34092179999993</v>
      </c>
      <c r="V17" s="19">
        <f t="shared" si="33"/>
        <v>599.35657179999998</v>
      </c>
    </row>
    <row r="18" spans="1:22" x14ac:dyDescent="0.25">
      <c r="A18" s="17" t="s">
        <v>577</v>
      </c>
      <c r="B18" s="17" t="str">
        <f t="shared" si="17"/>
        <v>LPG 21:0</v>
      </c>
      <c r="C18" s="1" t="str">
        <f t="shared" si="18"/>
        <v>21</v>
      </c>
      <c r="D18" s="1" t="str">
        <f t="shared" si="19"/>
        <v>0</v>
      </c>
      <c r="G18" s="17">
        <f t="shared" si="20"/>
        <v>27</v>
      </c>
      <c r="H18" s="17">
        <f t="shared" si="21"/>
        <v>55</v>
      </c>
      <c r="I18" s="17">
        <f t="shared" si="22"/>
        <v>9</v>
      </c>
      <c r="J18" s="17">
        <v>1</v>
      </c>
      <c r="L18" s="19" t="str">
        <f t="shared" si="23"/>
        <v>C27H55O9P1</v>
      </c>
      <c r="M18" s="19">
        <f t="shared" si="24"/>
        <v>554.35835099999997</v>
      </c>
      <c r="N18" s="19">
        <f t="shared" si="25"/>
        <v>555.36562560000004</v>
      </c>
      <c r="O18" s="19">
        <f t="shared" si="26"/>
        <v>537.35450560000004</v>
      </c>
      <c r="P18" s="19">
        <f t="shared" si="27"/>
        <v>572.39217099999996</v>
      </c>
      <c r="Q18" s="46">
        <f t="shared" si="28"/>
        <v>577.34757100000002</v>
      </c>
      <c r="R18" s="19">
        <f t="shared" si="29"/>
        <v>593.32151099999999</v>
      </c>
      <c r="S18" s="19">
        <f t="shared" si="30"/>
        <v>561.37381100000005</v>
      </c>
      <c r="T18" s="46">
        <f t="shared" si="31"/>
        <v>553.3510763999999</v>
      </c>
      <c r="U18" s="19">
        <f t="shared" si="32"/>
        <v>599.35657099999992</v>
      </c>
      <c r="V18" s="19">
        <f t="shared" si="33"/>
        <v>613.37222099999997</v>
      </c>
    </row>
    <row r="19" spans="1:22" x14ac:dyDescent="0.25">
      <c r="A19" s="17" t="s">
        <v>578</v>
      </c>
      <c r="B19" s="17" t="str">
        <f t="shared" si="17"/>
        <v>LPG 22:0</v>
      </c>
      <c r="C19" s="1" t="str">
        <f t="shared" si="18"/>
        <v>22</v>
      </c>
      <c r="D19" s="1" t="str">
        <f t="shared" si="19"/>
        <v>0</v>
      </c>
      <c r="G19" s="17">
        <f t="shared" si="20"/>
        <v>28</v>
      </c>
      <c r="H19" s="17">
        <f t="shared" si="21"/>
        <v>57</v>
      </c>
      <c r="I19" s="17">
        <f t="shared" si="22"/>
        <v>9</v>
      </c>
      <c r="J19" s="17">
        <v>1</v>
      </c>
      <c r="L19" s="19" t="str">
        <f t="shared" si="23"/>
        <v>C28H57O9P1</v>
      </c>
      <c r="M19" s="19">
        <f t="shared" si="24"/>
        <v>568.37400019999995</v>
      </c>
      <c r="N19" s="19">
        <f t="shared" si="25"/>
        <v>569.38127480000003</v>
      </c>
      <c r="O19" s="19">
        <f t="shared" si="26"/>
        <v>551.37015480000002</v>
      </c>
      <c r="P19" s="19">
        <f t="shared" si="27"/>
        <v>586.40782019999995</v>
      </c>
      <c r="Q19" s="46">
        <f t="shared" si="28"/>
        <v>591.3632202</v>
      </c>
      <c r="R19" s="19">
        <f t="shared" si="29"/>
        <v>607.33716019999997</v>
      </c>
      <c r="S19" s="19">
        <f t="shared" si="30"/>
        <v>575.38946020000003</v>
      </c>
      <c r="T19" s="46">
        <f t="shared" si="31"/>
        <v>567.36672559999988</v>
      </c>
      <c r="U19" s="19">
        <f t="shared" si="32"/>
        <v>613.3722201999999</v>
      </c>
      <c r="V19" s="19">
        <f t="shared" si="33"/>
        <v>627.38787019999995</v>
      </c>
    </row>
    <row r="20" spans="1:22" x14ac:dyDescent="0.25">
      <c r="A20" s="17" t="s">
        <v>667</v>
      </c>
      <c r="B20" s="17" t="str">
        <f>IF(ISNUMBER(SEARCH("(",A20)),IF(ISNUMBER(SEARCH("/",A20)),CONCATENATE(MID(A20,1,2)," ",(SUM(MID(A20,FIND("(",A20)+1,FIND(":",A20)-FIND("(",A20)-1),MID(A20,FIND("/",A20)+1,FIND(":",A20,FIND("/",A20))-FIND("/",A20)-1))),":",SUM(MID(A20,FIND(":",A20)+1,FIND("/",A20)-FIND(":",A20)-1),MID(A20,FIND(":",A20,FIND("/",A20))+1,FIND(")",A20)-FIND(":",A20,FIND("/",A20))-1)),MID(A20,(FIND(")",A20)+1),100)),CONCATENATE(MID(A20,1,2)," ",(SUM(MID(A20,FIND("(",A20)+1,FIND(":",A20)-FIND("(",A20)-1),MID(A20,FIND("_",A20)+1,FIND(":",A20,FIND("_",A20))-FIND("_",A20)-1))),":",SUM(MID(A20,FIND(":",A20)+1,FIND("_",A20)-FIND(":",A20)-1),MID(A20,FIND(":",A20,FIND("_",A20))+1,FIND(")",A20)-FIND(":",A20,FIND("_",A20))-1)),MID(A20,(FIND(")",A20)+1),100))),A20)</f>
        <v>LPG 23:0</v>
      </c>
      <c r="C20" s="1" t="str">
        <f>MID(B20,5,FIND(":",B20)-FIND(" ",B20)-1)</f>
        <v>23</v>
      </c>
      <c r="D20" s="1" t="str">
        <f>IF(ISNUMBER(SEARCH("__",B20)),MID(B20,FIND(":",B20)+1,FIND("__",B20)-FIND(":",B20)-1),MID(B20,FIND(":",B20)+1,7))</f>
        <v>0</v>
      </c>
      <c r="G20" s="17">
        <f>C20+6</f>
        <v>29</v>
      </c>
      <c r="H20" s="17">
        <f>2*G20-(2*D20)+1-((LEN(A20)-LEN(SUBSTITUTE(A20,"_O_","")))/LEN("_O_"))*2-((LEN(A20)-LEN(SUBSTITUTE(A20,"_CHO_","")))/LEN("_CHO_"))*2-((LEN(A20)-LEN(SUBSTITUTE(A20,"_COOH_","")))/LEN("_COOH_"))*2</f>
        <v>59</v>
      </c>
      <c r="I20" s="17">
        <f>9+((LEN(A20)-LEN(SUBSTITUTE(A20,"_OH_","")))/LEN("_OH_"))*1+((LEN(A20)-LEN(SUBSTITUTE(A20,"_OOH_","")))/LEN("_OOH_"))*2+((LEN(A20)-LEN(SUBSTITUTE(A20,"_O_","")))/LEN("_O_"))*1+((LEN(A20)-LEN(SUBSTITUTE(A20,"_CHO_","")))/LEN("_CHO_"))*1+((LEN(A20)-LEN(SUBSTITUTE(A20,"_COOH_","")))/LEN("_COOH_"))*2</f>
        <v>9</v>
      </c>
      <c r="J20" s="17">
        <v>1</v>
      </c>
      <c r="L20" s="19" t="str">
        <f>CONCATENATE("C",G20,"H",H20,"O",I20,"P",J20)</f>
        <v>C29H59O9P1</v>
      </c>
      <c r="M20" s="19">
        <f>(G20*12)+(H20*1.0078246)+(I20*15.994915)+(J20*30.973763)</f>
        <v>582.38964939999994</v>
      </c>
      <c r="N20" s="19">
        <f>M20+1.0078246-0.00055</f>
        <v>583.39692400000001</v>
      </c>
      <c r="O20" s="19">
        <f>N20-18.01057-0.00055</f>
        <v>565.38580400000001</v>
      </c>
      <c r="P20" s="19">
        <f>M20+18.03437-0.00055</f>
        <v>600.42346939999993</v>
      </c>
      <c r="Q20" s="46">
        <f>M20+22.98977-0.00055</f>
        <v>605.37886939999999</v>
      </c>
      <c r="R20" s="19">
        <f>M20+38.96371-0.00055</f>
        <v>621.35280939999996</v>
      </c>
      <c r="S20" s="19">
        <f>M20+7.01601-0.00055</f>
        <v>589.40510940000001</v>
      </c>
      <c r="T20" s="46">
        <f>M20-1.0078246+0.00055</f>
        <v>581.38237479999987</v>
      </c>
      <c r="U20" s="19">
        <f>M20+44.99767+0.00055</f>
        <v>627.38786939999989</v>
      </c>
      <c r="V20" s="19">
        <f>M20+59.01332+0.00055</f>
        <v>641.40351939999994</v>
      </c>
    </row>
    <row r="21" spans="1:22" x14ac:dyDescent="0.25">
      <c r="A21" s="17" t="s">
        <v>668</v>
      </c>
      <c r="B21" s="17" t="str">
        <f>IF(ISNUMBER(SEARCH("(",A21)),IF(ISNUMBER(SEARCH("/",A21)),CONCATENATE(MID(A21,1,2)," ",(SUM(MID(A21,FIND("(",A21)+1,FIND(":",A21)-FIND("(",A21)-1),MID(A21,FIND("/",A21)+1,FIND(":",A21,FIND("/",A21))-FIND("/",A21)-1))),":",SUM(MID(A21,FIND(":",A21)+1,FIND("/",A21)-FIND(":",A21)-1),MID(A21,FIND(":",A21,FIND("/",A21))+1,FIND(")",A21)-FIND(":",A21,FIND("/",A21))-1)),MID(A21,(FIND(")",A21)+1),100)),CONCATENATE(MID(A21,1,2)," ",(SUM(MID(A21,FIND("(",A21)+1,FIND(":",A21)-FIND("(",A21)-1),MID(A21,FIND("_",A21)+1,FIND(":",A21,FIND("_",A21))-FIND("_",A21)-1))),":",SUM(MID(A21,FIND(":",A21)+1,FIND("_",A21)-FIND(":",A21)-1),MID(A21,FIND(":",A21,FIND("_",A21))+1,FIND(")",A21)-FIND(":",A21,FIND("_",A21))-1)),MID(A21,(FIND(")",A21)+1),100))),A21)</f>
        <v>LPG 24:0</v>
      </c>
      <c r="C21" s="1" t="str">
        <f>MID(B21,5,FIND(":",B21)-FIND(" ",B21)-1)</f>
        <v>24</v>
      </c>
      <c r="D21" s="1" t="str">
        <f>IF(ISNUMBER(SEARCH("__",B21)),MID(B21,FIND(":",B21)+1,FIND("__",B21)-FIND(":",B21)-1),MID(B21,FIND(":",B21)+1,7))</f>
        <v>0</v>
      </c>
      <c r="G21" s="17">
        <f>C21+6</f>
        <v>30</v>
      </c>
      <c r="H21" s="17">
        <f>2*G21-(2*D21)+1-((LEN(A21)-LEN(SUBSTITUTE(A21,"_O_","")))/LEN("_O_"))*2-((LEN(A21)-LEN(SUBSTITUTE(A21,"_CHO_","")))/LEN("_CHO_"))*2-((LEN(A21)-LEN(SUBSTITUTE(A21,"_COOH_","")))/LEN("_COOH_"))*2</f>
        <v>61</v>
      </c>
      <c r="I21" s="17">
        <f>9+((LEN(A21)-LEN(SUBSTITUTE(A21,"_OH_","")))/LEN("_OH_"))*1+((LEN(A21)-LEN(SUBSTITUTE(A21,"_OOH_","")))/LEN("_OOH_"))*2+((LEN(A21)-LEN(SUBSTITUTE(A21,"_O_","")))/LEN("_O_"))*1+((LEN(A21)-LEN(SUBSTITUTE(A21,"_CHO_","")))/LEN("_CHO_"))*1+((LEN(A21)-LEN(SUBSTITUTE(A21,"_COOH_","")))/LEN("_COOH_"))*2</f>
        <v>9</v>
      </c>
      <c r="J21" s="17">
        <v>1</v>
      </c>
      <c r="L21" s="19" t="str">
        <f>CONCATENATE("C",G21,"H",H21,"O",I21,"P",J21)</f>
        <v>C30H61O9P1</v>
      </c>
      <c r="M21" s="19">
        <f>(G21*12)+(H21*1.0078246)+(I21*15.994915)+(J21*30.973763)</f>
        <v>596.40529859999992</v>
      </c>
      <c r="N21" s="19">
        <f>M21+1.0078246-0.00055</f>
        <v>597.4125732</v>
      </c>
      <c r="O21" s="19">
        <f>N21-18.01057-0.00055</f>
        <v>579.40145319999999</v>
      </c>
      <c r="P21" s="19">
        <f>M21+18.03437-0.00055</f>
        <v>614.43911859999992</v>
      </c>
      <c r="Q21" s="46">
        <f>M21+22.98977-0.00055</f>
        <v>619.39451859999997</v>
      </c>
      <c r="R21" s="19">
        <f>M21+38.96371-0.00055</f>
        <v>635.36845859999994</v>
      </c>
      <c r="S21" s="19">
        <f>M21+7.01601-0.00055</f>
        <v>603.4207586</v>
      </c>
      <c r="T21" s="46">
        <f>M21-1.0078246+0.00055</f>
        <v>595.39802399999985</v>
      </c>
      <c r="U21" s="19">
        <f>M21+44.99767+0.00055</f>
        <v>641.40351859999987</v>
      </c>
      <c r="V21" s="19">
        <f>M21+59.01332+0.00055</f>
        <v>655.41916859999992</v>
      </c>
    </row>
    <row r="22" spans="1:22" x14ac:dyDescent="0.25">
      <c r="A22" s="17" t="s">
        <v>669</v>
      </c>
      <c r="B22" s="17" t="str">
        <f>IF(ISNUMBER(SEARCH("(",A22)),IF(ISNUMBER(SEARCH("/",A22)),CONCATENATE(MID(A22,1,2)," ",(SUM(MID(A22,FIND("(",A22)+1,FIND(":",A22)-FIND("(",A22)-1),MID(A22,FIND("/",A22)+1,FIND(":",A22,FIND("/",A22))-FIND("/",A22)-1))),":",SUM(MID(A22,FIND(":",A22)+1,FIND("/",A22)-FIND(":",A22)-1),MID(A22,FIND(":",A22,FIND("/",A22))+1,FIND(")",A22)-FIND(":",A22,FIND("/",A22))-1)),MID(A22,(FIND(")",A22)+1),100)),CONCATENATE(MID(A22,1,2)," ",(SUM(MID(A22,FIND("(",A22)+1,FIND(":",A22)-FIND("(",A22)-1),MID(A22,FIND("_",A22)+1,FIND(":",A22,FIND("_",A22))-FIND("_",A22)-1))),":",SUM(MID(A22,FIND(":",A22)+1,FIND("_",A22)-FIND(":",A22)-1),MID(A22,FIND(":",A22,FIND("_",A22))+1,FIND(")",A22)-FIND(":",A22,FIND("_",A22))-1)),MID(A22,(FIND(")",A22)+1),100))),A22)</f>
        <v>LPG 25:0</v>
      </c>
      <c r="C22" s="1" t="str">
        <f>MID(B22,5,FIND(":",B22)-FIND(" ",B22)-1)</f>
        <v>25</v>
      </c>
      <c r="D22" s="1" t="str">
        <f>IF(ISNUMBER(SEARCH("__",B22)),MID(B22,FIND(":",B22)+1,FIND("__",B22)-FIND(":",B22)-1),MID(B22,FIND(":",B22)+1,7))</f>
        <v>0</v>
      </c>
      <c r="G22" s="17">
        <f>C22+6</f>
        <v>31</v>
      </c>
      <c r="H22" s="17">
        <f>2*G22-(2*D22)+1-((LEN(A22)-LEN(SUBSTITUTE(A22,"_O_","")))/LEN("_O_"))*2-((LEN(A22)-LEN(SUBSTITUTE(A22,"_CHO_","")))/LEN("_CHO_"))*2-((LEN(A22)-LEN(SUBSTITUTE(A22,"_COOH_","")))/LEN("_COOH_"))*2</f>
        <v>63</v>
      </c>
      <c r="I22" s="17">
        <f>9+((LEN(A22)-LEN(SUBSTITUTE(A22,"_OH_","")))/LEN("_OH_"))*1+((LEN(A22)-LEN(SUBSTITUTE(A22,"_OOH_","")))/LEN("_OOH_"))*2+((LEN(A22)-LEN(SUBSTITUTE(A22,"_O_","")))/LEN("_O_"))*1+((LEN(A22)-LEN(SUBSTITUTE(A22,"_CHO_","")))/LEN("_CHO_"))*1+((LEN(A22)-LEN(SUBSTITUTE(A22,"_COOH_","")))/LEN("_COOH_"))*2</f>
        <v>9</v>
      </c>
      <c r="J22" s="17">
        <v>1</v>
      </c>
      <c r="L22" s="19" t="str">
        <f>CONCATENATE("C",G22,"H",H22,"O",I22,"P",J22)</f>
        <v>C31H63O9P1</v>
      </c>
      <c r="M22" s="19">
        <f>(G22*12)+(H22*1.0078246)+(I22*15.994915)+(J22*30.973763)</f>
        <v>610.42094780000002</v>
      </c>
      <c r="N22" s="19">
        <f>M22+1.0078246-0.00055</f>
        <v>611.4282224000001</v>
      </c>
      <c r="O22" s="19">
        <f>N22-18.01057-0.00055</f>
        <v>593.41710240000009</v>
      </c>
      <c r="P22" s="19">
        <f>M22+18.03437-0.00055</f>
        <v>628.45476780000001</v>
      </c>
      <c r="Q22" s="46">
        <f>M22+22.98977-0.00055</f>
        <v>633.41016780000007</v>
      </c>
      <c r="R22" s="19">
        <f>M22+38.96371-0.00055</f>
        <v>649.38410780000004</v>
      </c>
      <c r="S22" s="19">
        <f>M22+7.01601-0.00055</f>
        <v>617.4364078000001</v>
      </c>
      <c r="T22" s="46">
        <f>M22-1.0078246+0.00055</f>
        <v>609.41367319999995</v>
      </c>
      <c r="U22" s="19">
        <f>M22+44.99767+0.00055</f>
        <v>655.41916779999997</v>
      </c>
      <c r="V22" s="19">
        <f>M22+59.01332+0.00055</f>
        <v>669.43481780000002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79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W1" sqref="W1:W1048576"/>
    </sheetView>
  </sheetViews>
  <sheetFormatPr defaultColWidth="9.140625" defaultRowHeight="15.75" x14ac:dyDescent="0.25"/>
  <cols>
    <col min="1" max="1" width="26.28515625" style="17" customWidth="1"/>
    <col min="2" max="2" width="21.140625" style="17" hidden="1" customWidth="1"/>
    <col min="3" max="4" width="3.85546875" style="17" hidden="1" customWidth="1"/>
    <col min="5" max="5" width="9.140625" style="17" hidden="1" customWidth="1"/>
    <col min="6" max="7" width="10.85546875" style="17" hidden="1" customWidth="1"/>
    <col min="8" max="8" width="9.5703125" style="17" hidden="1" customWidth="1"/>
    <col min="9" max="11" width="9.140625" style="17" hidden="1" customWidth="1"/>
    <col min="12" max="12" width="12.7109375" style="19" bestFit="1" customWidth="1"/>
    <col min="13" max="13" width="15.85546875" style="19" bestFit="1" customWidth="1"/>
    <col min="14" max="14" width="12.140625" style="19" bestFit="1" customWidth="1"/>
    <col min="15" max="15" width="14.42578125" style="46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3.28515625" style="17" bestFit="1" customWidth="1"/>
    <col min="24" max="24" width="13.5703125" style="17" bestFit="1" customWidth="1"/>
    <col min="25" max="25" width="16.140625" style="17" bestFit="1" customWidth="1"/>
  </cols>
  <sheetData>
    <row r="1" spans="1:25" s="28" customFormat="1" x14ac:dyDescent="0.25">
      <c r="A1" s="27" t="s">
        <v>74</v>
      </c>
      <c r="B1" s="27" t="s">
        <v>5</v>
      </c>
      <c r="C1" s="27"/>
      <c r="D1" s="27"/>
      <c r="E1" s="27"/>
      <c r="F1" s="27" t="s">
        <v>0</v>
      </c>
      <c r="G1" s="27" t="s">
        <v>1</v>
      </c>
      <c r="H1" s="27" t="s">
        <v>2</v>
      </c>
      <c r="I1" s="27"/>
      <c r="J1" s="27"/>
      <c r="K1" s="27"/>
      <c r="L1" s="29" t="s">
        <v>14</v>
      </c>
      <c r="M1" s="29" t="s">
        <v>3</v>
      </c>
      <c r="N1" s="29" t="s">
        <v>7</v>
      </c>
      <c r="O1" s="44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  <c r="Y1" s="27"/>
    </row>
    <row r="2" spans="1:25" hidden="1" x14ac:dyDescent="0.25">
      <c r="A2" s="17" t="s">
        <v>86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DG 23:18</v>
      </c>
      <c r="C2" s="17" t="str">
        <f>MID(B2,4,FIND(":",B2)-FIND(" ",B2)-1)</f>
        <v>23</v>
      </c>
      <c r="D2" s="17" t="str">
        <f>IF(ISNUMBER(SEARCH("__",B2)),MID(B2,FIND(":",B2)+1,FIND("__",B2)-FIND(":",B2)-1),MID(B2,FIND(":",B2)+1,7))</f>
        <v>18</v>
      </c>
      <c r="F2" s="17">
        <f t="shared" ref="F2" si="0">C2+3</f>
        <v>26</v>
      </c>
      <c r="G2" s="17">
        <f>2*F2-(2*D2)-2-((LEN(A2)-LEN(SUBSTITUTE(A2,"_O_","")))/LEN("_O_"))*2-((LEN(A2)-LEN(SUBSTITUTE(A2,"_CHO_","")))/LEN("_CHO_"))*2-((LEN(A2)-LEN(SUBSTITUTE(A2,"_COOH_","")))/LEN("_COOH_"))*2</f>
        <v>14</v>
      </c>
      <c r="H2" s="17">
        <f>5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5</v>
      </c>
      <c r="L2" s="19" t="str">
        <f>CONCATENATE("C",F2,"H",G2,"O",H2)</f>
        <v>C26H14O5</v>
      </c>
      <c r="M2" s="19">
        <f>(F2*12)+(G2*1.0078246)+(H2*15.994915)</f>
        <v>406.08411940000002</v>
      </c>
      <c r="N2" s="19">
        <f>M2+1.0078246-0.00055</f>
        <v>407.09139400000004</v>
      </c>
      <c r="O2" s="46">
        <f>N2-18.01057-0.00055</f>
        <v>389.08027400000003</v>
      </c>
      <c r="P2" s="19">
        <f>M2+18.03437-0.00055</f>
        <v>424.11793940000007</v>
      </c>
      <c r="Q2" s="19">
        <f>M2+22.98977-0.00055</f>
        <v>429.07333940000007</v>
      </c>
      <c r="R2" s="19">
        <f>M2+38.96371-0.00055</f>
        <v>445.04727940000004</v>
      </c>
      <c r="S2" s="19">
        <f>M2+7.01601-0.00055</f>
        <v>413.09957940000004</v>
      </c>
      <c r="T2" s="19">
        <f>M2-1.0078246+0.00055</f>
        <v>405.0768448</v>
      </c>
      <c r="U2" s="19">
        <f>M2+44.99767+0.00055</f>
        <v>451.08233940000002</v>
      </c>
      <c r="V2" s="19">
        <f>M2+59.01332+0.00055</f>
        <v>465.09798940000002</v>
      </c>
    </row>
    <row r="3" spans="1:25" s="62" customFormat="1" x14ac:dyDescent="0.25">
      <c r="A3" s="17" t="s">
        <v>688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DG 28:0</v>
      </c>
      <c r="C3" s="17" t="str">
        <f>MID(B3,4,FIND(":",B3)-FIND(" ",B3)-1)</f>
        <v>28</v>
      </c>
      <c r="D3" s="17" t="str">
        <f>IF(ISNUMBER(SEARCH("__",B3)),MID(B3,FIND(":",B3)+1,FIND("__",B3)-FIND(":",B3)-1),MID(B3,FIND(":",B3)+1,7))</f>
        <v>0</v>
      </c>
      <c r="E3" s="17"/>
      <c r="F3" s="17">
        <f t="shared" ref="F3:F4" si="1">C3+3</f>
        <v>31</v>
      </c>
      <c r="G3" s="17">
        <f>2*F3-(2*D3)-2-((LEN(A3)-LEN(SUBSTITUTE(A3,"_O_","")))/LEN("_O_"))*2-((LEN(A3)-LEN(SUBSTITUTE(A3,"_CHO_","")))/LEN("_CHO_"))*2-((LEN(A3)-LEN(SUBSTITUTE(A3,"_COOH_","")))/LEN("_COOH_"))*2</f>
        <v>60</v>
      </c>
      <c r="H3" s="17">
        <f>5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5</v>
      </c>
      <c r="I3" s="17"/>
      <c r="J3" s="17"/>
      <c r="K3" s="17"/>
      <c r="L3" s="19" t="str">
        <f>CONCATENATE("C",F3,"H",G3,"O",H3)</f>
        <v>C31H60O5</v>
      </c>
      <c r="M3" s="19">
        <f>(F3*12)+(G3*1.0078246)+(H3*15.994915)</f>
        <v>512.44405099999994</v>
      </c>
      <c r="N3" s="19">
        <f>M3+1.0078246-0.00055</f>
        <v>513.45132560000002</v>
      </c>
      <c r="O3" s="46">
        <f>N3-18.01057-0.00055</f>
        <v>495.44020560000001</v>
      </c>
      <c r="P3" s="19">
        <f>M3+18.03437-0.00055</f>
        <v>530.47787099999994</v>
      </c>
      <c r="Q3" s="19">
        <f>M3+22.98977-0.00055</f>
        <v>535.43327099999999</v>
      </c>
      <c r="R3" s="19">
        <f>M3+38.96371-0.00055</f>
        <v>551.40721099999996</v>
      </c>
      <c r="S3" s="19">
        <f>M3+7.01601-0.00055</f>
        <v>519.45951100000002</v>
      </c>
      <c r="T3" s="19">
        <f>M3-1.0078246+0.00055</f>
        <v>511.43677639999993</v>
      </c>
      <c r="U3" s="19">
        <f>M3+44.99767+0.00055</f>
        <v>557.44227099999989</v>
      </c>
      <c r="V3" s="19">
        <f>M3+59.01332+0.00055</f>
        <v>571.45792099999994</v>
      </c>
      <c r="W3" s="17"/>
      <c r="X3" s="17"/>
      <c r="Y3" s="17"/>
    </row>
    <row r="4" spans="1:25" s="62" customFormat="1" x14ac:dyDescent="0.25">
      <c r="A4" s="17" t="s">
        <v>689</v>
      </c>
      <c r="B4" s="17" t="str">
        <f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DG 29:0</v>
      </c>
      <c r="C4" s="17" t="str">
        <f>MID(B4,4,FIND(":",B4)-FIND(" ",B4)-1)</f>
        <v>29</v>
      </c>
      <c r="D4" s="17" t="str">
        <f>IF(ISNUMBER(SEARCH("__",B4)),MID(B4,FIND(":",B4)+1,FIND("__",B4)-FIND(":",B4)-1),MID(B4,FIND(":",B4)+1,7))</f>
        <v>0</v>
      </c>
      <c r="E4" s="17"/>
      <c r="F4" s="17">
        <f t="shared" si="1"/>
        <v>32</v>
      </c>
      <c r="G4" s="17">
        <f>2*F4-(2*D4)-2-((LEN(A4)-LEN(SUBSTITUTE(A4,"_O_","")))/LEN("_O_"))*2-((LEN(A4)-LEN(SUBSTITUTE(A4,"_CHO_","")))/LEN("_CHO_"))*2-((LEN(A4)-LEN(SUBSTITUTE(A4,"_COOH_","")))/LEN("_COOH_"))*2</f>
        <v>62</v>
      </c>
      <c r="H4" s="17">
        <f>5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5</v>
      </c>
      <c r="I4" s="17"/>
      <c r="J4" s="17"/>
      <c r="K4" s="17"/>
      <c r="L4" s="19" t="str">
        <f>CONCATENATE("C",F4,"H",G4,"O",H4)</f>
        <v>C32H62O5</v>
      </c>
      <c r="M4" s="19">
        <f>(F4*12)+(G4*1.0078246)+(H4*15.994915)</f>
        <v>526.45970019999993</v>
      </c>
      <c r="N4" s="19">
        <f>M4+1.0078246-0.00055</f>
        <v>527.4669748</v>
      </c>
      <c r="O4" s="46">
        <f>N4-18.01057-0.00055</f>
        <v>509.4558548</v>
      </c>
      <c r="P4" s="19">
        <f>M4+18.03437-0.00055</f>
        <v>544.49352019999992</v>
      </c>
      <c r="Q4" s="19">
        <f>M4+22.98977-0.00055</f>
        <v>549.44892019999998</v>
      </c>
      <c r="R4" s="19">
        <f>M4+38.96371-0.00055</f>
        <v>565.42286019999995</v>
      </c>
      <c r="S4" s="19">
        <f>M4+7.01601-0.00055</f>
        <v>533.4751602</v>
      </c>
      <c r="T4" s="19">
        <f>M4-1.0078246+0.00055</f>
        <v>525.45242559999986</v>
      </c>
      <c r="U4" s="19">
        <f>M4+44.99767+0.00055</f>
        <v>571.45792019999988</v>
      </c>
      <c r="V4" s="19">
        <f>M4+59.01332+0.00055</f>
        <v>585.47357019999993</v>
      </c>
      <c r="W4" s="17"/>
      <c r="X4" s="17"/>
      <c r="Y4" s="17"/>
    </row>
    <row r="5" spans="1:25" x14ac:dyDescent="0.25">
      <c r="A5" s="17" t="s">
        <v>580</v>
      </c>
      <c r="B5" s="17" t="str">
        <f t="shared" ref="B5:B25" si="2">IF(ISNUMBER(SEARCH("(",A5)),IF(ISNUMBER(SEARCH("/",A5)),CONCATENATE(MID(A5,1,2)," ",(SUM(MID(A5,FIND("(",A5)+1,FIND(":",A5)-FIND("(",A5)-1),MID(A5,FIND("/",A5)+1,FIND(":",A5,FIND("/",A5))-FIND("/",A5)-1))),":",SUM(MID(A5,FIND(":",A5)+1,FIND("/",A5)-FIND(":",A5)-1),MID(A5,FIND(":",A5,FIND("/",A5))+1,FIND(")",A5)-FIND(":",A5,FIND("/",A5))-1)),MID(A5,(FIND(")",A5)+1),100)),CONCATENATE(MID(A5,1,2)," ",(SUM(MID(A5,FIND("(",A5)+1,FIND(":",A5)-FIND("(",A5)-1),MID(A5,FIND("_",A5)+1,FIND(":",A5,FIND("_",A5))-FIND("_",A5)-1))),":",SUM(MID(A5,FIND(":",A5)+1,FIND("_",A5)-FIND(":",A5)-1),MID(A5,FIND(":",A5,FIND("_",A5))+1,FIND(")",A5)-FIND(":",A5,FIND("_",A5))-1)),MID(A5,(FIND(")",A5)+1),100))),A5)</f>
        <v>DG 30:2</v>
      </c>
      <c r="C5" s="17" t="str">
        <f t="shared" ref="C5:C25" si="3">MID(B5,4,FIND(":",B5)-FIND(" ",B5)-1)</f>
        <v>30</v>
      </c>
      <c r="D5" s="17" t="str">
        <f t="shared" ref="D5:D25" si="4">IF(ISNUMBER(SEARCH("__",B5)),MID(B5,FIND(":",B5)+1,FIND("__",B5)-FIND(":",B5)-1),MID(B5,FIND(":",B5)+1,7))</f>
        <v>2</v>
      </c>
      <c r="F5" s="17">
        <f t="shared" ref="F5:F25" si="5">C5+3</f>
        <v>33</v>
      </c>
      <c r="G5" s="17">
        <f t="shared" ref="G5:G25" si="6">2*F5-(2*D5)-2-((LEN(A5)-LEN(SUBSTITUTE(A5,"_O_","")))/LEN("_O_"))*2-((LEN(A5)-LEN(SUBSTITUTE(A5,"_CHO_","")))/LEN("_CHO_"))*2-((LEN(A5)-LEN(SUBSTITUTE(A5,"_COOH_","")))/LEN("_COOH_"))*2</f>
        <v>60</v>
      </c>
      <c r="H5" s="17">
        <f t="shared" ref="H5:H25" si="7">5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5</v>
      </c>
      <c r="L5" s="19" t="str">
        <f t="shared" ref="L5:L25" si="8">CONCATENATE("C",F5,"H",G5,"O",H5)</f>
        <v>C33H60O5</v>
      </c>
      <c r="M5" s="19">
        <f t="shared" ref="M5:M25" si="9">(F5*12)+(G5*1.0078246)+(H5*15.994915)</f>
        <v>536.44405099999994</v>
      </c>
      <c r="N5" s="19">
        <f t="shared" ref="N5:N25" si="10">M5+1.0078246-0.00055</f>
        <v>537.45132560000002</v>
      </c>
      <c r="O5" s="46">
        <f t="shared" ref="O5:O25" si="11">N5-18.01057-0.00055</f>
        <v>519.44020560000001</v>
      </c>
      <c r="P5" s="19">
        <f t="shared" ref="P5:P25" si="12">M5+18.03437-0.00055</f>
        <v>554.47787099999994</v>
      </c>
      <c r="Q5" s="19">
        <f t="shared" ref="Q5:Q25" si="13">M5+22.98977-0.00055</f>
        <v>559.43327099999999</v>
      </c>
      <c r="R5" s="19">
        <f t="shared" ref="R5:R25" si="14">M5+38.96371-0.00055</f>
        <v>575.40721099999996</v>
      </c>
      <c r="S5" s="19">
        <f t="shared" ref="S5:S25" si="15">M5+7.01601-0.00055</f>
        <v>543.45951100000002</v>
      </c>
      <c r="T5" s="19">
        <f t="shared" ref="T5:T25" si="16">M5-1.0078246+0.00055</f>
        <v>535.43677639999987</v>
      </c>
      <c r="U5" s="19">
        <f t="shared" ref="U5:U25" si="17">M5+44.99767+0.00055</f>
        <v>581.44227099999989</v>
      </c>
      <c r="V5" s="19">
        <f t="shared" ref="V5:V25" si="18">M5+59.01332+0.00055</f>
        <v>595.45792099999994</v>
      </c>
    </row>
    <row r="6" spans="1:25" x14ac:dyDescent="0.25">
      <c r="A6" s="17" t="s">
        <v>581</v>
      </c>
      <c r="B6" s="17" t="str">
        <f t="shared" si="2"/>
        <v>DG 30:1</v>
      </c>
      <c r="C6" s="17" t="str">
        <f t="shared" si="3"/>
        <v>30</v>
      </c>
      <c r="D6" s="17" t="str">
        <f t="shared" si="4"/>
        <v>1</v>
      </c>
      <c r="F6" s="17">
        <f t="shared" si="5"/>
        <v>33</v>
      </c>
      <c r="G6" s="17">
        <f t="shared" si="6"/>
        <v>62</v>
      </c>
      <c r="H6" s="17">
        <f t="shared" si="7"/>
        <v>5</v>
      </c>
      <c r="L6" s="19" t="str">
        <f t="shared" si="8"/>
        <v>C33H62O5</v>
      </c>
      <c r="M6" s="19">
        <f t="shared" si="9"/>
        <v>538.45970019999993</v>
      </c>
      <c r="N6" s="19">
        <f t="shared" si="10"/>
        <v>539.4669748</v>
      </c>
      <c r="O6" s="46">
        <f t="shared" si="11"/>
        <v>521.4558548</v>
      </c>
      <c r="P6" s="19">
        <f t="shared" si="12"/>
        <v>556.49352019999992</v>
      </c>
      <c r="Q6" s="19">
        <f t="shared" si="13"/>
        <v>561.44892019999998</v>
      </c>
      <c r="R6" s="19">
        <f t="shared" si="14"/>
        <v>577.42286019999995</v>
      </c>
      <c r="S6" s="19">
        <f t="shared" si="15"/>
        <v>545.4751602</v>
      </c>
      <c r="T6" s="19">
        <f t="shared" si="16"/>
        <v>537.45242559999986</v>
      </c>
      <c r="U6" s="19">
        <f t="shared" si="17"/>
        <v>583.45792019999988</v>
      </c>
      <c r="V6" s="19">
        <f t="shared" si="18"/>
        <v>597.47357019999993</v>
      </c>
    </row>
    <row r="7" spans="1:25" x14ac:dyDescent="0.25">
      <c r="A7" s="17" t="s">
        <v>582</v>
      </c>
      <c r="B7" s="17" t="str">
        <f t="shared" si="2"/>
        <v>DG 30:0</v>
      </c>
      <c r="C7" s="17" t="str">
        <f t="shared" si="3"/>
        <v>30</v>
      </c>
      <c r="D7" s="17" t="str">
        <f t="shared" si="4"/>
        <v>0</v>
      </c>
      <c r="F7" s="17">
        <f t="shared" si="5"/>
        <v>33</v>
      </c>
      <c r="G7" s="17">
        <f t="shared" si="6"/>
        <v>64</v>
      </c>
      <c r="H7" s="17">
        <f t="shared" si="7"/>
        <v>5</v>
      </c>
      <c r="L7" s="19" t="str">
        <f t="shared" si="8"/>
        <v>C33H64O5</v>
      </c>
      <c r="M7" s="19">
        <f t="shared" si="9"/>
        <v>540.47534940000003</v>
      </c>
      <c r="N7" s="19">
        <f t="shared" si="10"/>
        <v>541.4826240000001</v>
      </c>
      <c r="O7" s="46">
        <f t="shared" si="11"/>
        <v>523.4715040000001</v>
      </c>
      <c r="P7" s="19">
        <f t="shared" si="12"/>
        <v>558.50916940000002</v>
      </c>
      <c r="Q7" s="19">
        <f t="shared" si="13"/>
        <v>563.46456940000007</v>
      </c>
      <c r="R7" s="19">
        <f t="shared" si="14"/>
        <v>579.43850940000004</v>
      </c>
      <c r="S7" s="19">
        <f t="shared" si="15"/>
        <v>547.4908094000001</v>
      </c>
      <c r="T7" s="19">
        <f t="shared" si="16"/>
        <v>539.46807479999995</v>
      </c>
      <c r="U7" s="19">
        <f t="shared" si="17"/>
        <v>585.47356939999997</v>
      </c>
      <c r="V7" s="19">
        <f t="shared" si="18"/>
        <v>599.48921940000002</v>
      </c>
    </row>
    <row r="8" spans="1:25" x14ac:dyDescent="0.25">
      <c r="A8" s="17" t="s">
        <v>583</v>
      </c>
      <c r="B8" s="17" t="str">
        <f t="shared" si="2"/>
        <v>DG 31:2</v>
      </c>
      <c r="C8" s="17" t="str">
        <f t="shared" si="3"/>
        <v>31</v>
      </c>
      <c r="D8" s="17" t="str">
        <f t="shared" si="4"/>
        <v>2</v>
      </c>
      <c r="F8" s="17">
        <f t="shared" si="5"/>
        <v>34</v>
      </c>
      <c r="G8" s="17">
        <f t="shared" si="6"/>
        <v>62</v>
      </c>
      <c r="H8" s="17">
        <f t="shared" si="7"/>
        <v>5</v>
      </c>
      <c r="L8" s="19" t="str">
        <f t="shared" si="8"/>
        <v>C34H62O5</v>
      </c>
      <c r="M8" s="19">
        <f t="shared" si="9"/>
        <v>550.45970019999993</v>
      </c>
      <c r="N8" s="19">
        <f t="shared" si="10"/>
        <v>551.4669748</v>
      </c>
      <c r="O8" s="46">
        <f t="shared" si="11"/>
        <v>533.4558548</v>
      </c>
      <c r="P8" s="19">
        <f t="shared" si="12"/>
        <v>568.49352019999992</v>
      </c>
      <c r="Q8" s="19">
        <f t="shared" si="13"/>
        <v>573.44892019999998</v>
      </c>
      <c r="R8" s="19">
        <f t="shared" si="14"/>
        <v>589.42286019999995</v>
      </c>
      <c r="S8" s="19">
        <f t="shared" si="15"/>
        <v>557.4751602</v>
      </c>
      <c r="T8" s="19">
        <f t="shared" si="16"/>
        <v>549.45242559999986</v>
      </c>
      <c r="U8" s="19">
        <f t="shared" si="17"/>
        <v>595.45792019999988</v>
      </c>
      <c r="V8" s="19">
        <f t="shared" si="18"/>
        <v>609.47357019999993</v>
      </c>
    </row>
    <row r="9" spans="1:25" x14ac:dyDescent="0.25">
      <c r="A9" s="17" t="s">
        <v>584</v>
      </c>
      <c r="B9" s="17" t="str">
        <f t="shared" si="2"/>
        <v>DG 31:1</v>
      </c>
      <c r="C9" s="17" t="str">
        <f t="shared" si="3"/>
        <v>31</v>
      </c>
      <c r="D9" s="17" t="str">
        <f t="shared" si="4"/>
        <v>1</v>
      </c>
      <c r="F9" s="17">
        <f t="shared" si="5"/>
        <v>34</v>
      </c>
      <c r="G9" s="17">
        <f t="shared" si="6"/>
        <v>64</v>
      </c>
      <c r="H9" s="17">
        <f t="shared" si="7"/>
        <v>5</v>
      </c>
      <c r="L9" s="19" t="str">
        <f t="shared" si="8"/>
        <v>C34H64O5</v>
      </c>
      <c r="M9" s="19">
        <f t="shared" si="9"/>
        <v>552.47534940000003</v>
      </c>
      <c r="N9" s="19">
        <f t="shared" si="10"/>
        <v>553.4826240000001</v>
      </c>
      <c r="O9" s="46">
        <f t="shared" si="11"/>
        <v>535.4715040000001</v>
      </c>
      <c r="P9" s="19">
        <f t="shared" si="12"/>
        <v>570.50916940000002</v>
      </c>
      <c r="Q9" s="19">
        <f t="shared" si="13"/>
        <v>575.46456940000007</v>
      </c>
      <c r="R9" s="19">
        <f t="shared" si="14"/>
        <v>591.43850940000004</v>
      </c>
      <c r="S9" s="19">
        <f t="shared" si="15"/>
        <v>559.4908094000001</v>
      </c>
      <c r="T9" s="19">
        <f t="shared" si="16"/>
        <v>551.46807479999995</v>
      </c>
      <c r="U9" s="19">
        <f t="shared" si="17"/>
        <v>597.47356939999997</v>
      </c>
      <c r="V9" s="19">
        <f t="shared" si="18"/>
        <v>611.48921940000002</v>
      </c>
    </row>
    <row r="10" spans="1:25" x14ac:dyDescent="0.25">
      <c r="A10" s="17" t="s">
        <v>585</v>
      </c>
      <c r="B10" s="17" t="str">
        <f t="shared" si="2"/>
        <v>DG 31:0</v>
      </c>
      <c r="C10" s="17" t="str">
        <f t="shared" si="3"/>
        <v>31</v>
      </c>
      <c r="D10" s="17" t="str">
        <f t="shared" si="4"/>
        <v>0</v>
      </c>
      <c r="F10" s="17">
        <f t="shared" si="5"/>
        <v>34</v>
      </c>
      <c r="G10" s="17">
        <f t="shared" si="6"/>
        <v>66</v>
      </c>
      <c r="H10" s="17">
        <f t="shared" si="7"/>
        <v>5</v>
      </c>
      <c r="L10" s="19" t="str">
        <f t="shared" si="8"/>
        <v>C34H66O5</v>
      </c>
      <c r="M10" s="19">
        <f t="shared" si="9"/>
        <v>554.49099860000001</v>
      </c>
      <c r="N10" s="19">
        <f t="shared" si="10"/>
        <v>555.49827320000009</v>
      </c>
      <c r="O10" s="46">
        <f t="shared" si="11"/>
        <v>537.48715320000008</v>
      </c>
      <c r="P10" s="19">
        <f t="shared" si="12"/>
        <v>572.5248186</v>
      </c>
      <c r="Q10" s="19">
        <f t="shared" si="13"/>
        <v>577.48021860000006</v>
      </c>
      <c r="R10" s="19">
        <f t="shared" si="14"/>
        <v>593.45415860000003</v>
      </c>
      <c r="S10" s="19">
        <f t="shared" si="15"/>
        <v>561.50645860000009</v>
      </c>
      <c r="T10" s="19">
        <f t="shared" si="16"/>
        <v>553.48372399999994</v>
      </c>
      <c r="U10" s="19">
        <f t="shared" si="17"/>
        <v>599.48921859999996</v>
      </c>
      <c r="V10" s="19">
        <f t="shared" si="18"/>
        <v>613.50486860000001</v>
      </c>
    </row>
    <row r="11" spans="1:25" x14ac:dyDescent="0.25">
      <c r="A11" s="17" t="s">
        <v>586</v>
      </c>
      <c r="B11" s="17" t="str">
        <f t="shared" si="2"/>
        <v>DG 32:2</v>
      </c>
      <c r="C11" s="17" t="str">
        <f t="shared" si="3"/>
        <v>32</v>
      </c>
      <c r="D11" s="17" t="str">
        <f t="shared" si="4"/>
        <v>2</v>
      </c>
      <c r="F11" s="17">
        <f t="shared" si="5"/>
        <v>35</v>
      </c>
      <c r="G11" s="17">
        <f t="shared" si="6"/>
        <v>64</v>
      </c>
      <c r="H11" s="17">
        <f t="shared" si="7"/>
        <v>5</v>
      </c>
      <c r="L11" s="19" t="str">
        <f t="shared" si="8"/>
        <v>C35H64O5</v>
      </c>
      <c r="M11" s="19">
        <f t="shared" si="9"/>
        <v>564.47534940000003</v>
      </c>
      <c r="N11" s="19">
        <f t="shared" si="10"/>
        <v>565.4826240000001</v>
      </c>
      <c r="O11" s="46">
        <f t="shared" si="11"/>
        <v>547.4715040000001</v>
      </c>
      <c r="P11" s="19">
        <f t="shared" si="12"/>
        <v>582.50916940000002</v>
      </c>
      <c r="Q11" s="19">
        <f t="shared" si="13"/>
        <v>587.46456940000007</v>
      </c>
      <c r="R11" s="19">
        <f t="shared" si="14"/>
        <v>603.43850940000004</v>
      </c>
      <c r="S11" s="19">
        <f t="shared" si="15"/>
        <v>571.4908094000001</v>
      </c>
      <c r="T11" s="19">
        <f t="shared" si="16"/>
        <v>563.46807479999995</v>
      </c>
      <c r="U11" s="19">
        <f t="shared" si="17"/>
        <v>609.47356939999997</v>
      </c>
      <c r="V11" s="19">
        <f t="shared" si="18"/>
        <v>623.48921940000002</v>
      </c>
    </row>
    <row r="12" spans="1:25" x14ac:dyDescent="0.25">
      <c r="A12" s="17" t="s">
        <v>587</v>
      </c>
      <c r="B12" s="17" t="str">
        <f t="shared" si="2"/>
        <v>DG 32:1</v>
      </c>
      <c r="C12" s="17" t="str">
        <f t="shared" si="3"/>
        <v>32</v>
      </c>
      <c r="D12" s="17" t="str">
        <f t="shared" si="4"/>
        <v>1</v>
      </c>
      <c r="F12" s="17">
        <f t="shared" si="5"/>
        <v>35</v>
      </c>
      <c r="G12" s="17">
        <f t="shared" si="6"/>
        <v>66</v>
      </c>
      <c r="H12" s="17">
        <f t="shared" si="7"/>
        <v>5</v>
      </c>
      <c r="L12" s="19" t="str">
        <f t="shared" si="8"/>
        <v>C35H66O5</v>
      </c>
      <c r="M12" s="19">
        <f t="shared" si="9"/>
        <v>566.49099860000001</v>
      </c>
      <c r="N12" s="19">
        <f t="shared" si="10"/>
        <v>567.49827320000009</v>
      </c>
      <c r="O12" s="46">
        <f t="shared" si="11"/>
        <v>549.48715320000008</v>
      </c>
      <c r="P12" s="19">
        <f t="shared" si="12"/>
        <v>584.5248186</v>
      </c>
      <c r="Q12" s="19">
        <f t="shared" si="13"/>
        <v>589.48021860000006</v>
      </c>
      <c r="R12" s="19">
        <f t="shared" si="14"/>
        <v>605.45415860000003</v>
      </c>
      <c r="S12" s="19">
        <f t="shared" si="15"/>
        <v>573.50645860000009</v>
      </c>
      <c r="T12" s="19">
        <f t="shared" si="16"/>
        <v>565.48372399999994</v>
      </c>
      <c r="U12" s="19">
        <f t="shared" si="17"/>
        <v>611.48921859999996</v>
      </c>
      <c r="V12" s="19">
        <f t="shared" si="18"/>
        <v>625.50486860000001</v>
      </c>
    </row>
    <row r="13" spans="1:25" x14ac:dyDescent="0.25">
      <c r="A13" s="17" t="s">
        <v>588</v>
      </c>
      <c r="B13" s="17" t="str">
        <f t="shared" si="2"/>
        <v>DG 32:0</v>
      </c>
      <c r="C13" s="17" t="str">
        <f t="shared" si="3"/>
        <v>32</v>
      </c>
      <c r="D13" s="17" t="str">
        <f t="shared" si="4"/>
        <v>0</v>
      </c>
      <c r="F13" s="17">
        <f t="shared" si="5"/>
        <v>35</v>
      </c>
      <c r="G13" s="17">
        <f t="shared" si="6"/>
        <v>68</v>
      </c>
      <c r="H13" s="17">
        <f t="shared" si="7"/>
        <v>5</v>
      </c>
      <c r="L13" s="19" t="str">
        <f t="shared" si="8"/>
        <v>C35H68O5</v>
      </c>
      <c r="M13" s="19">
        <f t="shared" si="9"/>
        <v>568.5066478</v>
      </c>
      <c r="N13" s="19">
        <f t="shared" si="10"/>
        <v>569.51392240000007</v>
      </c>
      <c r="O13" s="46">
        <f t="shared" si="11"/>
        <v>551.50280240000006</v>
      </c>
      <c r="P13" s="19">
        <f t="shared" si="12"/>
        <v>586.54046779999999</v>
      </c>
      <c r="Q13" s="19">
        <f t="shared" si="13"/>
        <v>591.49586780000004</v>
      </c>
      <c r="R13" s="19">
        <f t="shared" si="14"/>
        <v>607.46980780000001</v>
      </c>
      <c r="S13" s="19">
        <f t="shared" si="15"/>
        <v>575.52210780000007</v>
      </c>
      <c r="T13" s="19">
        <f t="shared" si="16"/>
        <v>567.49937319999992</v>
      </c>
      <c r="U13" s="19">
        <f t="shared" si="17"/>
        <v>613.50486779999994</v>
      </c>
      <c r="V13" s="19">
        <f t="shared" si="18"/>
        <v>627.52051779999999</v>
      </c>
    </row>
    <row r="14" spans="1:25" x14ac:dyDescent="0.25">
      <c r="A14" s="17" t="s">
        <v>589</v>
      </c>
      <c r="B14" s="17" t="str">
        <f t="shared" si="2"/>
        <v>DG 33:2</v>
      </c>
      <c r="C14" s="17" t="str">
        <f t="shared" si="3"/>
        <v>33</v>
      </c>
      <c r="D14" s="17" t="str">
        <f t="shared" si="4"/>
        <v>2</v>
      </c>
      <c r="F14" s="17">
        <f t="shared" si="5"/>
        <v>36</v>
      </c>
      <c r="G14" s="17">
        <f t="shared" si="6"/>
        <v>66</v>
      </c>
      <c r="H14" s="17">
        <f t="shared" si="7"/>
        <v>5</v>
      </c>
      <c r="L14" s="19" t="str">
        <f t="shared" si="8"/>
        <v>C36H66O5</v>
      </c>
      <c r="M14" s="19">
        <f t="shared" si="9"/>
        <v>578.49099860000001</v>
      </c>
      <c r="N14" s="19">
        <f t="shared" si="10"/>
        <v>579.49827320000009</v>
      </c>
      <c r="O14" s="46">
        <f t="shared" si="11"/>
        <v>561.48715320000008</v>
      </c>
      <c r="P14" s="19">
        <f t="shared" si="12"/>
        <v>596.5248186</v>
      </c>
      <c r="Q14" s="19">
        <f t="shared" si="13"/>
        <v>601.48021860000006</v>
      </c>
      <c r="R14" s="19">
        <f t="shared" si="14"/>
        <v>617.45415860000003</v>
      </c>
      <c r="S14" s="19">
        <f t="shared" si="15"/>
        <v>585.50645860000009</v>
      </c>
      <c r="T14" s="19">
        <f t="shared" si="16"/>
        <v>577.48372399999994</v>
      </c>
      <c r="U14" s="19">
        <f t="shared" si="17"/>
        <v>623.48921859999996</v>
      </c>
      <c r="V14" s="19">
        <f t="shared" si="18"/>
        <v>637.50486860000001</v>
      </c>
    </row>
    <row r="15" spans="1:25" x14ac:dyDescent="0.25">
      <c r="A15" s="17" t="s">
        <v>590</v>
      </c>
      <c r="B15" s="17" t="str">
        <f t="shared" si="2"/>
        <v>DG 33:1</v>
      </c>
      <c r="C15" s="17" t="str">
        <f t="shared" si="3"/>
        <v>33</v>
      </c>
      <c r="D15" s="17" t="str">
        <f t="shared" si="4"/>
        <v>1</v>
      </c>
      <c r="F15" s="17">
        <f t="shared" si="5"/>
        <v>36</v>
      </c>
      <c r="G15" s="17">
        <f t="shared" si="6"/>
        <v>68</v>
      </c>
      <c r="H15" s="17">
        <f t="shared" si="7"/>
        <v>5</v>
      </c>
      <c r="L15" s="19" t="str">
        <f t="shared" si="8"/>
        <v>C36H68O5</v>
      </c>
      <c r="M15" s="19">
        <f t="shared" si="9"/>
        <v>580.5066478</v>
      </c>
      <c r="N15" s="19">
        <f t="shared" si="10"/>
        <v>581.51392240000007</v>
      </c>
      <c r="O15" s="46">
        <f t="shared" si="11"/>
        <v>563.50280240000006</v>
      </c>
      <c r="P15" s="19">
        <f t="shared" si="12"/>
        <v>598.54046779999999</v>
      </c>
      <c r="Q15" s="19">
        <f t="shared" si="13"/>
        <v>603.49586780000004</v>
      </c>
      <c r="R15" s="19">
        <f t="shared" si="14"/>
        <v>619.46980780000001</v>
      </c>
      <c r="S15" s="19">
        <f t="shared" si="15"/>
        <v>587.52210780000007</v>
      </c>
      <c r="T15" s="19">
        <f t="shared" si="16"/>
        <v>579.49937319999992</v>
      </c>
      <c r="U15" s="19">
        <f t="shared" si="17"/>
        <v>625.50486779999994</v>
      </c>
      <c r="V15" s="19">
        <f t="shared" si="18"/>
        <v>639.52051779999999</v>
      </c>
    </row>
    <row r="16" spans="1:25" x14ac:dyDescent="0.25">
      <c r="A16" s="17" t="s">
        <v>591</v>
      </c>
      <c r="B16" s="17" t="str">
        <f t="shared" si="2"/>
        <v>DG 33:0</v>
      </c>
      <c r="C16" s="17" t="str">
        <f t="shared" si="3"/>
        <v>33</v>
      </c>
      <c r="D16" s="17" t="str">
        <f t="shared" si="4"/>
        <v>0</v>
      </c>
      <c r="F16" s="17">
        <f t="shared" si="5"/>
        <v>36</v>
      </c>
      <c r="G16" s="17">
        <f t="shared" si="6"/>
        <v>70</v>
      </c>
      <c r="H16" s="17">
        <f t="shared" si="7"/>
        <v>5</v>
      </c>
      <c r="L16" s="19" t="str">
        <f t="shared" si="8"/>
        <v>C36H70O5</v>
      </c>
      <c r="M16" s="19">
        <f t="shared" si="9"/>
        <v>582.52229699999998</v>
      </c>
      <c r="N16" s="19">
        <f t="shared" si="10"/>
        <v>583.52957160000005</v>
      </c>
      <c r="O16" s="46">
        <f t="shared" si="11"/>
        <v>565.51845160000005</v>
      </c>
      <c r="P16" s="19">
        <f t="shared" si="12"/>
        <v>600.55611699999997</v>
      </c>
      <c r="Q16" s="19">
        <f t="shared" si="13"/>
        <v>605.51151700000003</v>
      </c>
      <c r="R16" s="19">
        <f t="shared" si="14"/>
        <v>621.485457</v>
      </c>
      <c r="S16" s="19">
        <f t="shared" si="15"/>
        <v>589.53775700000006</v>
      </c>
      <c r="T16" s="19">
        <f t="shared" si="16"/>
        <v>581.51502239999991</v>
      </c>
      <c r="U16" s="19">
        <f t="shared" si="17"/>
        <v>627.52051699999993</v>
      </c>
      <c r="V16" s="19">
        <f t="shared" si="18"/>
        <v>641.53616699999998</v>
      </c>
    </row>
    <row r="17" spans="1:25" x14ac:dyDescent="0.25">
      <c r="A17" s="17" t="s">
        <v>592</v>
      </c>
      <c r="B17" s="17" t="str">
        <f t="shared" si="2"/>
        <v>DG 34:2</v>
      </c>
      <c r="C17" s="17" t="str">
        <f t="shared" si="3"/>
        <v>34</v>
      </c>
      <c r="D17" s="17" t="str">
        <f t="shared" si="4"/>
        <v>2</v>
      </c>
      <c r="F17" s="17">
        <f t="shared" si="5"/>
        <v>37</v>
      </c>
      <c r="G17" s="17">
        <f t="shared" si="6"/>
        <v>68</v>
      </c>
      <c r="H17" s="17">
        <f t="shared" si="7"/>
        <v>5</v>
      </c>
      <c r="L17" s="19" t="str">
        <f t="shared" si="8"/>
        <v>C37H68O5</v>
      </c>
      <c r="M17" s="19">
        <f t="shared" si="9"/>
        <v>592.5066478</v>
      </c>
      <c r="N17" s="19">
        <f t="shared" si="10"/>
        <v>593.51392240000007</v>
      </c>
      <c r="O17" s="46">
        <f t="shared" si="11"/>
        <v>575.50280240000006</v>
      </c>
      <c r="P17" s="19">
        <f t="shared" si="12"/>
        <v>610.54046779999999</v>
      </c>
      <c r="Q17" s="19">
        <f t="shared" si="13"/>
        <v>615.49586780000004</v>
      </c>
      <c r="R17" s="19">
        <f t="shared" si="14"/>
        <v>631.46980780000001</v>
      </c>
      <c r="S17" s="19">
        <f t="shared" si="15"/>
        <v>599.52210780000007</v>
      </c>
      <c r="T17" s="19">
        <f t="shared" si="16"/>
        <v>591.49937319999992</v>
      </c>
      <c r="U17" s="19">
        <f t="shared" si="17"/>
        <v>637.50486779999994</v>
      </c>
      <c r="V17" s="19">
        <f t="shared" si="18"/>
        <v>651.52051779999999</v>
      </c>
    </row>
    <row r="18" spans="1:25" x14ac:dyDescent="0.25">
      <c r="A18" s="17" t="s">
        <v>593</v>
      </c>
      <c r="B18" s="17" t="str">
        <f t="shared" si="2"/>
        <v>DG 34:1</v>
      </c>
      <c r="C18" s="17" t="str">
        <f t="shared" si="3"/>
        <v>34</v>
      </c>
      <c r="D18" s="17" t="str">
        <f t="shared" si="4"/>
        <v>1</v>
      </c>
      <c r="F18" s="17">
        <f t="shared" si="5"/>
        <v>37</v>
      </c>
      <c r="G18" s="17">
        <f t="shared" si="6"/>
        <v>70</v>
      </c>
      <c r="H18" s="17">
        <f t="shared" si="7"/>
        <v>5</v>
      </c>
      <c r="L18" s="19" t="str">
        <f t="shared" si="8"/>
        <v>C37H70O5</v>
      </c>
      <c r="M18" s="19">
        <f t="shared" si="9"/>
        <v>594.52229699999998</v>
      </c>
      <c r="N18" s="19">
        <f t="shared" si="10"/>
        <v>595.52957160000005</v>
      </c>
      <c r="O18" s="46">
        <f t="shared" si="11"/>
        <v>577.51845160000005</v>
      </c>
      <c r="P18" s="19">
        <f t="shared" si="12"/>
        <v>612.55611699999997</v>
      </c>
      <c r="Q18" s="19">
        <f t="shared" si="13"/>
        <v>617.51151700000003</v>
      </c>
      <c r="R18" s="19">
        <f t="shared" si="14"/>
        <v>633.485457</v>
      </c>
      <c r="S18" s="19">
        <f t="shared" si="15"/>
        <v>601.53775700000006</v>
      </c>
      <c r="T18" s="19">
        <f t="shared" si="16"/>
        <v>593.51502239999991</v>
      </c>
      <c r="U18" s="19">
        <f t="shared" si="17"/>
        <v>639.52051699999993</v>
      </c>
      <c r="V18" s="19">
        <f t="shared" si="18"/>
        <v>653.53616699999998</v>
      </c>
    </row>
    <row r="19" spans="1:25" x14ac:dyDescent="0.25">
      <c r="A19" s="17" t="s">
        <v>95</v>
      </c>
      <c r="B19" s="17" t="str">
        <f t="shared" si="2"/>
        <v>DG 34:0</v>
      </c>
      <c r="C19" s="17" t="str">
        <f t="shared" si="3"/>
        <v>34</v>
      </c>
      <c r="D19" s="17" t="str">
        <f t="shared" si="4"/>
        <v>0</v>
      </c>
      <c r="F19" s="17">
        <f t="shared" si="5"/>
        <v>37</v>
      </c>
      <c r="G19" s="17">
        <f t="shared" si="6"/>
        <v>72</v>
      </c>
      <c r="H19" s="17">
        <f t="shared" si="7"/>
        <v>5</v>
      </c>
      <c r="L19" s="19" t="str">
        <f t="shared" si="8"/>
        <v>C37H72O5</v>
      </c>
      <c r="M19" s="19">
        <f t="shared" si="9"/>
        <v>596.53794619999996</v>
      </c>
      <c r="N19" s="19">
        <f t="shared" si="10"/>
        <v>597.54522080000004</v>
      </c>
      <c r="O19" s="46">
        <f t="shared" si="11"/>
        <v>579.53410080000003</v>
      </c>
      <c r="P19" s="19">
        <f t="shared" si="12"/>
        <v>614.57176619999996</v>
      </c>
      <c r="Q19" s="19">
        <f t="shared" si="13"/>
        <v>619.52716620000001</v>
      </c>
      <c r="R19" s="19">
        <f t="shared" si="14"/>
        <v>635.50110619999998</v>
      </c>
      <c r="S19" s="19">
        <f t="shared" si="15"/>
        <v>603.55340620000004</v>
      </c>
      <c r="T19" s="19">
        <f t="shared" si="16"/>
        <v>595.53067159999989</v>
      </c>
      <c r="U19" s="19">
        <f t="shared" si="17"/>
        <v>641.53616619999991</v>
      </c>
      <c r="V19" s="19">
        <f t="shared" si="18"/>
        <v>655.55181619999996</v>
      </c>
    </row>
    <row r="20" spans="1:25" x14ac:dyDescent="0.25">
      <c r="A20" s="17" t="s">
        <v>594</v>
      </c>
      <c r="B20" s="17" t="str">
        <f t="shared" si="2"/>
        <v>DG 35:2</v>
      </c>
      <c r="C20" s="17" t="str">
        <f t="shared" si="3"/>
        <v>35</v>
      </c>
      <c r="D20" s="17" t="str">
        <f t="shared" si="4"/>
        <v>2</v>
      </c>
      <c r="F20" s="17">
        <f t="shared" si="5"/>
        <v>38</v>
      </c>
      <c r="G20" s="17">
        <f t="shared" si="6"/>
        <v>70</v>
      </c>
      <c r="H20" s="17">
        <f t="shared" si="7"/>
        <v>5</v>
      </c>
      <c r="L20" s="19" t="str">
        <f t="shared" si="8"/>
        <v>C38H70O5</v>
      </c>
      <c r="M20" s="19">
        <f t="shared" si="9"/>
        <v>606.52229699999998</v>
      </c>
      <c r="N20" s="19">
        <f t="shared" si="10"/>
        <v>607.52957160000005</v>
      </c>
      <c r="O20" s="46">
        <f t="shared" si="11"/>
        <v>589.51845160000005</v>
      </c>
      <c r="P20" s="19">
        <f t="shared" si="12"/>
        <v>624.55611699999997</v>
      </c>
      <c r="Q20" s="19">
        <f t="shared" si="13"/>
        <v>629.51151700000003</v>
      </c>
      <c r="R20" s="19">
        <f t="shared" si="14"/>
        <v>645.485457</v>
      </c>
      <c r="S20" s="19">
        <f t="shared" si="15"/>
        <v>613.53775700000006</v>
      </c>
      <c r="T20" s="19">
        <f t="shared" si="16"/>
        <v>605.51502239999991</v>
      </c>
      <c r="U20" s="19">
        <f t="shared" si="17"/>
        <v>651.52051699999993</v>
      </c>
      <c r="V20" s="19">
        <f t="shared" si="18"/>
        <v>665.53616699999998</v>
      </c>
    </row>
    <row r="21" spans="1:25" x14ac:dyDescent="0.25">
      <c r="A21" s="17" t="s">
        <v>595</v>
      </c>
      <c r="B21" s="17" t="str">
        <f t="shared" si="2"/>
        <v>DG 35:1</v>
      </c>
      <c r="C21" s="17" t="str">
        <f t="shared" si="3"/>
        <v>35</v>
      </c>
      <c r="D21" s="17" t="str">
        <f t="shared" si="4"/>
        <v>1</v>
      </c>
      <c r="F21" s="17">
        <f t="shared" si="5"/>
        <v>38</v>
      </c>
      <c r="G21" s="17">
        <f t="shared" si="6"/>
        <v>72</v>
      </c>
      <c r="H21" s="17">
        <f t="shared" si="7"/>
        <v>5</v>
      </c>
      <c r="L21" s="19" t="str">
        <f t="shared" si="8"/>
        <v>C38H72O5</v>
      </c>
      <c r="M21" s="19">
        <f t="shared" si="9"/>
        <v>608.53794619999996</v>
      </c>
      <c r="N21" s="19">
        <f t="shared" si="10"/>
        <v>609.54522080000004</v>
      </c>
      <c r="O21" s="46">
        <f t="shared" si="11"/>
        <v>591.53410080000003</v>
      </c>
      <c r="P21" s="19">
        <f t="shared" si="12"/>
        <v>626.57176619999996</v>
      </c>
      <c r="Q21" s="19">
        <f t="shared" si="13"/>
        <v>631.52716620000001</v>
      </c>
      <c r="R21" s="19">
        <f t="shared" si="14"/>
        <v>647.50110619999998</v>
      </c>
      <c r="S21" s="19">
        <f t="shared" si="15"/>
        <v>615.55340620000004</v>
      </c>
      <c r="T21" s="19">
        <f t="shared" si="16"/>
        <v>607.53067159999989</v>
      </c>
      <c r="U21" s="19">
        <f t="shared" si="17"/>
        <v>653.53616619999991</v>
      </c>
      <c r="V21" s="19">
        <f t="shared" si="18"/>
        <v>667.55181619999996</v>
      </c>
    </row>
    <row r="22" spans="1:25" x14ac:dyDescent="0.25">
      <c r="A22" s="17" t="s">
        <v>596</v>
      </c>
      <c r="B22" s="17" t="str">
        <f t="shared" si="2"/>
        <v>DG 35:0</v>
      </c>
      <c r="C22" s="17" t="str">
        <f t="shared" si="3"/>
        <v>35</v>
      </c>
      <c r="D22" s="17" t="str">
        <f t="shared" si="4"/>
        <v>0</v>
      </c>
      <c r="F22" s="17">
        <f t="shared" si="5"/>
        <v>38</v>
      </c>
      <c r="G22" s="17">
        <f t="shared" si="6"/>
        <v>74</v>
      </c>
      <c r="H22" s="17">
        <f t="shared" si="7"/>
        <v>5</v>
      </c>
      <c r="L22" s="19" t="str">
        <f t="shared" si="8"/>
        <v>C38H74O5</v>
      </c>
      <c r="M22" s="19">
        <f t="shared" si="9"/>
        <v>610.55359539999995</v>
      </c>
      <c r="N22" s="19">
        <f t="shared" si="10"/>
        <v>611.56087000000002</v>
      </c>
      <c r="O22" s="46">
        <f t="shared" si="11"/>
        <v>593.54975000000002</v>
      </c>
      <c r="P22" s="19">
        <f t="shared" si="12"/>
        <v>628.58741539999994</v>
      </c>
      <c r="Q22" s="19">
        <f t="shared" si="13"/>
        <v>633.54281539999999</v>
      </c>
      <c r="R22" s="19">
        <f t="shared" si="14"/>
        <v>649.51675539999997</v>
      </c>
      <c r="S22" s="19">
        <f t="shared" si="15"/>
        <v>617.56905540000002</v>
      </c>
      <c r="T22" s="19">
        <f t="shared" si="16"/>
        <v>609.54632079999988</v>
      </c>
      <c r="U22" s="19">
        <f t="shared" si="17"/>
        <v>655.5518153999999</v>
      </c>
      <c r="V22" s="19">
        <f t="shared" si="18"/>
        <v>669.56746539999995</v>
      </c>
    </row>
    <row r="23" spans="1:25" x14ac:dyDescent="0.25">
      <c r="A23" s="17" t="s">
        <v>597</v>
      </c>
      <c r="B23" s="17" t="str">
        <f t="shared" si="2"/>
        <v>DG 36:2</v>
      </c>
      <c r="C23" s="17" t="str">
        <f t="shared" si="3"/>
        <v>36</v>
      </c>
      <c r="D23" s="17" t="str">
        <f t="shared" si="4"/>
        <v>2</v>
      </c>
      <c r="F23" s="17">
        <f t="shared" si="5"/>
        <v>39</v>
      </c>
      <c r="G23" s="17">
        <f t="shared" si="6"/>
        <v>72</v>
      </c>
      <c r="H23" s="17">
        <f t="shared" si="7"/>
        <v>5</v>
      </c>
      <c r="L23" s="19" t="str">
        <f t="shared" si="8"/>
        <v>C39H72O5</v>
      </c>
      <c r="M23" s="19">
        <f t="shared" si="9"/>
        <v>620.53794619999996</v>
      </c>
      <c r="N23" s="19">
        <f t="shared" si="10"/>
        <v>621.54522080000004</v>
      </c>
      <c r="O23" s="46">
        <f t="shared" si="11"/>
        <v>603.53410080000003</v>
      </c>
      <c r="P23" s="19">
        <f t="shared" si="12"/>
        <v>638.57176619999996</v>
      </c>
      <c r="Q23" s="19">
        <f t="shared" si="13"/>
        <v>643.52716620000001</v>
      </c>
      <c r="R23" s="19">
        <f t="shared" si="14"/>
        <v>659.50110619999998</v>
      </c>
      <c r="S23" s="19">
        <f t="shared" si="15"/>
        <v>627.55340620000004</v>
      </c>
      <c r="T23" s="19">
        <f t="shared" si="16"/>
        <v>619.53067159999989</v>
      </c>
      <c r="U23" s="19">
        <f t="shared" si="17"/>
        <v>665.53616619999991</v>
      </c>
      <c r="V23" s="19">
        <f t="shared" si="18"/>
        <v>679.55181619999996</v>
      </c>
    </row>
    <row r="24" spans="1:25" x14ac:dyDescent="0.25">
      <c r="A24" s="17" t="s">
        <v>598</v>
      </c>
      <c r="B24" s="17" t="str">
        <f t="shared" si="2"/>
        <v>DG 36:1</v>
      </c>
      <c r="C24" s="17" t="str">
        <f t="shared" si="3"/>
        <v>36</v>
      </c>
      <c r="D24" s="17" t="str">
        <f t="shared" si="4"/>
        <v>1</v>
      </c>
      <c r="F24" s="17">
        <f t="shared" si="5"/>
        <v>39</v>
      </c>
      <c r="G24" s="17">
        <f t="shared" si="6"/>
        <v>74</v>
      </c>
      <c r="H24" s="17">
        <f t="shared" si="7"/>
        <v>5</v>
      </c>
      <c r="L24" s="19" t="str">
        <f t="shared" si="8"/>
        <v>C39H74O5</v>
      </c>
      <c r="M24" s="19">
        <f t="shared" si="9"/>
        <v>622.55359539999995</v>
      </c>
      <c r="N24" s="19">
        <f t="shared" si="10"/>
        <v>623.56087000000002</v>
      </c>
      <c r="O24" s="46">
        <f t="shared" si="11"/>
        <v>605.54975000000002</v>
      </c>
      <c r="P24" s="19">
        <f t="shared" si="12"/>
        <v>640.58741539999994</v>
      </c>
      <c r="Q24" s="19">
        <f t="shared" si="13"/>
        <v>645.54281539999999</v>
      </c>
      <c r="R24" s="19">
        <f t="shared" si="14"/>
        <v>661.51675539999997</v>
      </c>
      <c r="S24" s="19">
        <f t="shared" si="15"/>
        <v>629.56905540000002</v>
      </c>
      <c r="T24" s="19">
        <f t="shared" si="16"/>
        <v>621.54632079999988</v>
      </c>
      <c r="U24" s="19">
        <f t="shared" si="17"/>
        <v>667.5518153999999</v>
      </c>
      <c r="V24" s="19">
        <f t="shared" si="18"/>
        <v>681.56746539999995</v>
      </c>
    </row>
    <row r="25" spans="1:25" x14ac:dyDescent="0.25">
      <c r="A25" s="17" t="s">
        <v>599</v>
      </c>
      <c r="B25" s="17" t="str">
        <f t="shared" si="2"/>
        <v>DG 36:0</v>
      </c>
      <c r="C25" s="17" t="str">
        <f t="shared" si="3"/>
        <v>36</v>
      </c>
      <c r="D25" s="17" t="str">
        <f t="shared" si="4"/>
        <v>0</v>
      </c>
      <c r="F25" s="17">
        <f t="shared" si="5"/>
        <v>39</v>
      </c>
      <c r="G25" s="17">
        <f t="shared" si="6"/>
        <v>76</v>
      </c>
      <c r="H25" s="17">
        <f t="shared" si="7"/>
        <v>5</v>
      </c>
      <c r="L25" s="19" t="str">
        <f t="shared" si="8"/>
        <v>C39H76O5</v>
      </c>
      <c r="M25" s="19">
        <f t="shared" si="9"/>
        <v>624.56924459999993</v>
      </c>
      <c r="N25" s="19">
        <f t="shared" si="10"/>
        <v>625.57651920000001</v>
      </c>
      <c r="O25" s="46">
        <f t="shared" si="11"/>
        <v>607.5653992</v>
      </c>
      <c r="P25" s="19">
        <f t="shared" si="12"/>
        <v>642.60306459999993</v>
      </c>
      <c r="Q25" s="19">
        <f t="shared" si="13"/>
        <v>647.55846459999998</v>
      </c>
      <c r="R25" s="19">
        <f t="shared" si="14"/>
        <v>663.53240459999995</v>
      </c>
      <c r="S25" s="19">
        <f t="shared" si="15"/>
        <v>631.58470460000001</v>
      </c>
      <c r="T25" s="19">
        <f t="shared" si="16"/>
        <v>623.56196999999986</v>
      </c>
      <c r="U25" s="19">
        <f t="shared" si="17"/>
        <v>669.56746459999988</v>
      </c>
      <c r="V25" s="19">
        <f t="shared" si="18"/>
        <v>683.58311459999993</v>
      </c>
    </row>
    <row r="26" spans="1:25" x14ac:dyDescent="0.25">
      <c r="D26"/>
      <c r="E26"/>
      <c r="F26"/>
      <c r="G26"/>
      <c r="H26"/>
      <c r="I26"/>
      <c r="J26"/>
      <c r="K26"/>
      <c r="L26"/>
      <c r="M26"/>
      <c r="N26"/>
      <c r="O26" s="51"/>
      <c r="P26"/>
      <c r="Q26"/>
      <c r="R26"/>
      <c r="S26"/>
      <c r="T26"/>
      <c r="U26"/>
      <c r="V26"/>
      <c r="W26"/>
      <c r="X26"/>
      <c r="Y26"/>
    </row>
    <row r="27" spans="1:25" x14ac:dyDescent="0.25">
      <c r="D27"/>
      <c r="E27"/>
      <c r="F27"/>
      <c r="G27"/>
      <c r="H27"/>
      <c r="I27"/>
      <c r="J27"/>
      <c r="K27"/>
      <c r="L27"/>
      <c r="M27"/>
      <c r="N27"/>
      <c r="O27" s="51"/>
      <c r="P27"/>
      <c r="Q27"/>
      <c r="R27"/>
      <c r="S27"/>
      <c r="T27"/>
      <c r="U27"/>
      <c r="V27"/>
      <c r="W27"/>
      <c r="X27"/>
      <c r="Y27"/>
    </row>
    <row r="30" spans="1:25" x14ac:dyDescent="0.25">
      <c r="D30"/>
      <c r="E30"/>
      <c r="F30"/>
      <c r="G30"/>
      <c r="H30"/>
      <c r="I30"/>
      <c r="J30"/>
      <c r="K30"/>
      <c r="L30"/>
      <c r="M30"/>
      <c r="N30"/>
      <c r="O30" s="51"/>
      <c r="P30"/>
      <c r="Q30"/>
      <c r="R30"/>
      <c r="S30"/>
      <c r="T30"/>
      <c r="U30"/>
      <c r="V30"/>
      <c r="W30"/>
      <c r="X30"/>
      <c r="Y30"/>
    </row>
    <row r="31" spans="1:25" x14ac:dyDescent="0.25">
      <c r="D31"/>
      <c r="E31"/>
      <c r="F31"/>
      <c r="G31"/>
      <c r="H31"/>
      <c r="I31"/>
      <c r="J31"/>
      <c r="K31"/>
      <c r="L31"/>
      <c r="M31"/>
      <c r="N31"/>
      <c r="O31" s="51"/>
      <c r="P31"/>
      <c r="Q31"/>
      <c r="R31"/>
      <c r="S31"/>
      <c r="T31"/>
      <c r="U31"/>
      <c r="V31"/>
      <c r="W31"/>
      <c r="X31"/>
      <c r="Y31"/>
    </row>
    <row r="32" spans="1:25" x14ac:dyDescent="0.25">
      <c r="D32"/>
      <c r="E32"/>
      <c r="F32"/>
      <c r="G32"/>
      <c r="H32"/>
      <c r="I32"/>
      <c r="J32"/>
      <c r="K32"/>
      <c r="L32"/>
      <c r="M32"/>
      <c r="N32"/>
      <c r="O32" s="51"/>
      <c r="P32"/>
      <c r="Q32"/>
      <c r="R32"/>
      <c r="S32"/>
      <c r="T32"/>
      <c r="U32"/>
      <c r="V32"/>
      <c r="W32"/>
      <c r="X32"/>
      <c r="Y32"/>
    </row>
    <row r="33" spans="4:25" x14ac:dyDescent="0.25">
      <c r="D33"/>
      <c r="E33"/>
      <c r="F33"/>
      <c r="G33"/>
      <c r="H33"/>
      <c r="I33"/>
      <c r="J33"/>
      <c r="K33"/>
      <c r="L33"/>
      <c r="M33"/>
      <c r="N33"/>
      <c r="O33" s="51"/>
      <c r="P33"/>
      <c r="Q33"/>
      <c r="R33"/>
      <c r="S33"/>
      <c r="T33"/>
      <c r="U33"/>
      <c r="V33"/>
      <c r="W33"/>
      <c r="X33"/>
      <c r="Y33"/>
    </row>
    <row r="34" spans="4:25" x14ac:dyDescent="0.25">
      <c r="D34"/>
      <c r="E34"/>
      <c r="F34"/>
      <c r="G34"/>
      <c r="H34"/>
      <c r="I34"/>
      <c r="J34"/>
      <c r="K34"/>
      <c r="L34"/>
      <c r="M34"/>
      <c r="N34"/>
      <c r="O34" s="51"/>
      <c r="P34"/>
      <c r="Q34"/>
      <c r="R34"/>
      <c r="S34"/>
      <c r="T34"/>
      <c r="U34"/>
      <c r="V34"/>
      <c r="W34"/>
      <c r="X34"/>
      <c r="Y34"/>
    </row>
    <row r="35" spans="4:25" x14ac:dyDescent="0.25">
      <c r="D35"/>
      <c r="E35"/>
      <c r="F35"/>
      <c r="G35"/>
      <c r="H35"/>
      <c r="I35"/>
      <c r="J35"/>
      <c r="K35"/>
      <c r="L35"/>
      <c r="M35"/>
      <c r="N35"/>
      <c r="O35" s="51"/>
      <c r="P35"/>
      <c r="Q35"/>
      <c r="R35"/>
      <c r="S35"/>
      <c r="T35"/>
      <c r="U35"/>
      <c r="V35"/>
      <c r="W35"/>
      <c r="X35"/>
      <c r="Y35"/>
    </row>
    <row r="36" spans="4:25" x14ac:dyDescent="0.25">
      <c r="D36"/>
      <c r="E36"/>
      <c r="F36"/>
      <c r="G36"/>
      <c r="H36"/>
      <c r="I36"/>
      <c r="J36"/>
      <c r="K36"/>
      <c r="L36"/>
      <c r="M36"/>
      <c r="N36"/>
      <c r="O36" s="51"/>
      <c r="P36"/>
      <c r="Q36"/>
      <c r="R36"/>
      <c r="S36"/>
      <c r="T36"/>
      <c r="U36"/>
      <c r="V36"/>
      <c r="W36"/>
      <c r="X36"/>
      <c r="Y36"/>
    </row>
    <row r="37" spans="4:25" x14ac:dyDescent="0.25">
      <c r="D37"/>
      <c r="E37"/>
      <c r="F37"/>
      <c r="G37"/>
      <c r="H37"/>
      <c r="I37"/>
      <c r="J37"/>
      <c r="K37"/>
      <c r="L37"/>
      <c r="M37"/>
      <c r="N37"/>
      <c r="O37" s="51"/>
      <c r="P37"/>
      <c r="Q37"/>
      <c r="R37"/>
      <c r="S37"/>
      <c r="T37"/>
      <c r="U37"/>
      <c r="V37"/>
      <c r="W37"/>
      <c r="X37"/>
      <c r="Y37"/>
    </row>
    <row r="38" spans="4:25" x14ac:dyDescent="0.25">
      <c r="D38"/>
      <c r="E38"/>
      <c r="F38"/>
      <c r="G38"/>
      <c r="H38"/>
      <c r="I38"/>
      <c r="J38"/>
      <c r="K38"/>
      <c r="L38"/>
      <c r="M38"/>
      <c r="N38"/>
      <c r="O38" s="51"/>
      <c r="P38"/>
      <c r="Q38"/>
      <c r="R38"/>
      <c r="S38"/>
      <c r="T38"/>
      <c r="U38"/>
      <c r="V38"/>
      <c r="W38"/>
      <c r="X38"/>
      <c r="Y38"/>
    </row>
    <row r="39" spans="4:25" x14ac:dyDescent="0.25">
      <c r="D39"/>
      <c r="E39"/>
      <c r="F39"/>
      <c r="G39"/>
      <c r="H39"/>
      <c r="I39"/>
      <c r="J39"/>
      <c r="K39"/>
      <c r="L39"/>
      <c r="M39"/>
      <c r="N39"/>
      <c r="O39" s="51"/>
      <c r="P39"/>
      <c r="Q39"/>
      <c r="R39"/>
      <c r="S39"/>
      <c r="T39"/>
      <c r="U39"/>
      <c r="V39"/>
      <c r="W39"/>
      <c r="X39"/>
      <c r="Y39"/>
    </row>
    <row r="40" spans="4:25" x14ac:dyDescent="0.25">
      <c r="D40"/>
      <c r="E40"/>
      <c r="F40"/>
      <c r="G40"/>
      <c r="H40"/>
      <c r="I40"/>
      <c r="J40"/>
      <c r="K40"/>
      <c r="L40"/>
      <c r="M40"/>
      <c r="N40"/>
      <c r="O40" s="51"/>
      <c r="P40"/>
      <c r="Q40"/>
      <c r="R40"/>
      <c r="S40"/>
      <c r="T40"/>
      <c r="U40"/>
      <c r="V40"/>
      <c r="W40"/>
      <c r="X40"/>
      <c r="Y40"/>
    </row>
    <row r="41" spans="4:25" x14ac:dyDescent="0.25">
      <c r="D41"/>
      <c r="E41"/>
      <c r="F41"/>
      <c r="G41"/>
      <c r="H41"/>
      <c r="I41"/>
      <c r="J41"/>
      <c r="K41"/>
      <c r="L41"/>
      <c r="M41"/>
      <c r="N41"/>
      <c r="O41" s="51"/>
      <c r="P41"/>
      <c r="Q41"/>
      <c r="R41"/>
      <c r="S41"/>
      <c r="T41"/>
      <c r="U41"/>
      <c r="V41"/>
      <c r="W41"/>
      <c r="X41"/>
      <c r="Y41"/>
    </row>
    <row r="42" spans="4:25" x14ac:dyDescent="0.25">
      <c r="D42"/>
      <c r="E42"/>
      <c r="F42"/>
      <c r="G42"/>
      <c r="H42"/>
      <c r="I42"/>
      <c r="J42"/>
      <c r="K42"/>
      <c r="L42"/>
      <c r="M42"/>
      <c r="N42"/>
      <c r="O42" s="51"/>
      <c r="P42"/>
      <c r="Q42"/>
      <c r="R42"/>
      <c r="S42"/>
      <c r="T42"/>
      <c r="U42"/>
      <c r="V42"/>
      <c r="W42"/>
      <c r="X42"/>
      <c r="Y42"/>
    </row>
    <row r="43" spans="4:25" x14ac:dyDescent="0.25">
      <c r="D43"/>
      <c r="E43"/>
      <c r="F43"/>
      <c r="G43"/>
      <c r="H43"/>
      <c r="I43"/>
      <c r="J43"/>
      <c r="K43"/>
      <c r="L43"/>
      <c r="M43"/>
      <c r="N43"/>
      <c r="O43" s="51"/>
      <c r="P43"/>
      <c r="Q43"/>
      <c r="R43"/>
      <c r="S43"/>
      <c r="T43"/>
      <c r="U43"/>
      <c r="V43"/>
      <c r="W43"/>
      <c r="X43"/>
      <c r="Y43"/>
    </row>
    <row r="44" spans="4:25" x14ac:dyDescent="0.25">
      <c r="D44"/>
      <c r="E44"/>
      <c r="F44"/>
      <c r="G44"/>
      <c r="H44"/>
      <c r="I44"/>
      <c r="J44"/>
      <c r="K44"/>
      <c r="L44"/>
      <c r="M44"/>
      <c r="N44"/>
      <c r="O44" s="51"/>
      <c r="P44"/>
      <c r="Q44"/>
      <c r="R44"/>
      <c r="S44"/>
      <c r="T44"/>
      <c r="U44"/>
      <c r="V44"/>
      <c r="W44"/>
      <c r="X44"/>
      <c r="Y44"/>
    </row>
    <row r="45" spans="4:25" x14ac:dyDescent="0.25">
      <c r="D45"/>
      <c r="E45"/>
      <c r="F45"/>
      <c r="G45"/>
      <c r="H45"/>
      <c r="I45"/>
      <c r="J45"/>
      <c r="K45"/>
      <c r="L45"/>
      <c r="M45"/>
      <c r="N45"/>
      <c r="O45" s="51"/>
      <c r="P45"/>
      <c r="Q45"/>
      <c r="R45"/>
      <c r="S45"/>
      <c r="T45"/>
      <c r="U45"/>
      <c r="V45"/>
      <c r="W45"/>
      <c r="X45"/>
      <c r="Y45"/>
    </row>
    <row r="46" spans="4:25" x14ac:dyDescent="0.25">
      <c r="D46"/>
      <c r="E46"/>
      <c r="F46"/>
      <c r="G46"/>
      <c r="H46"/>
      <c r="I46"/>
      <c r="J46"/>
      <c r="K46"/>
      <c r="L46"/>
      <c r="M46"/>
      <c r="N46"/>
      <c r="O46" s="51"/>
      <c r="P46"/>
      <c r="Q46"/>
      <c r="R46"/>
      <c r="S46"/>
      <c r="T46"/>
      <c r="U46"/>
      <c r="V46"/>
      <c r="W46"/>
      <c r="X46"/>
      <c r="Y46"/>
    </row>
    <row r="47" spans="4:25" x14ac:dyDescent="0.25">
      <c r="D47"/>
      <c r="E47"/>
      <c r="F47"/>
      <c r="G47"/>
      <c r="H47"/>
      <c r="I47"/>
      <c r="J47"/>
      <c r="K47"/>
      <c r="L47"/>
      <c r="M47"/>
      <c r="N47"/>
      <c r="O47" s="51"/>
      <c r="P47"/>
      <c r="Q47"/>
      <c r="R47"/>
      <c r="S47"/>
      <c r="T47"/>
      <c r="U47"/>
      <c r="V47"/>
      <c r="W47"/>
      <c r="X47"/>
      <c r="Y47"/>
    </row>
    <row r="48" spans="4:25" x14ac:dyDescent="0.25">
      <c r="D48"/>
      <c r="E48"/>
      <c r="F48"/>
      <c r="G48"/>
      <c r="H48"/>
      <c r="I48"/>
      <c r="J48"/>
      <c r="K48"/>
      <c r="L48"/>
      <c r="M48"/>
      <c r="N48"/>
      <c r="O48" s="51"/>
      <c r="P48"/>
      <c r="Q48"/>
      <c r="R48"/>
      <c r="S48"/>
      <c r="T48"/>
      <c r="U48"/>
      <c r="V48"/>
      <c r="W48"/>
      <c r="X48"/>
      <c r="Y48"/>
    </row>
    <row r="49" spans="4:25" x14ac:dyDescent="0.25">
      <c r="D49"/>
      <c r="E49"/>
      <c r="F49"/>
      <c r="G49"/>
      <c r="H49"/>
      <c r="I49"/>
      <c r="J49"/>
      <c r="K49"/>
      <c r="L49"/>
      <c r="M49"/>
      <c r="N49"/>
      <c r="O49" s="51"/>
      <c r="P49"/>
      <c r="Q49"/>
      <c r="R49"/>
      <c r="S49"/>
      <c r="T49"/>
      <c r="U49"/>
      <c r="V49"/>
      <c r="W49"/>
      <c r="X49"/>
      <c r="Y49"/>
    </row>
    <row r="50" spans="4:25" x14ac:dyDescent="0.25">
      <c r="D50"/>
      <c r="E50"/>
      <c r="F50"/>
      <c r="G50"/>
      <c r="H50"/>
      <c r="I50"/>
      <c r="J50"/>
      <c r="K50"/>
      <c r="L50"/>
      <c r="M50"/>
      <c r="N50"/>
      <c r="O50" s="51"/>
      <c r="P50"/>
      <c r="Q50"/>
      <c r="R50"/>
      <c r="S50"/>
      <c r="T50"/>
      <c r="U50"/>
      <c r="V50"/>
      <c r="W50"/>
      <c r="X50"/>
      <c r="Y50"/>
    </row>
    <row r="51" spans="4:25" x14ac:dyDescent="0.25">
      <c r="D51"/>
      <c r="E51"/>
      <c r="F51"/>
      <c r="G51"/>
      <c r="H51"/>
      <c r="I51"/>
      <c r="J51"/>
      <c r="K51"/>
      <c r="L51"/>
      <c r="M51"/>
      <c r="N51"/>
      <c r="O51" s="51"/>
      <c r="P51"/>
      <c r="Q51"/>
      <c r="R51"/>
      <c r="S51"/>
      <c r="T51"/>
      <c r="U51"/>
      <c r="V51"/>
      <c r="W51"/>
      <c r="X51"/>
      <c r="Y51"/>
    </row>
    <row r="52" spans="4:25" x14ac:dyDescent="0.25">
      <c r="D52"/>
      <c r="E52"/>
      <c r="F52"/>
      <c r="G52"/>
      <c r="H52"/>
      <c r="I52"/>
      <c r="J52"/>
      <c r="K52"/>
      <c r="L52"/>
      <c r="M52"/>
      <c r="N52"/>
      <c r="O52" s="51"/>
      <c r="P52"/>
      <c r="Q52"/>
      <c r="R52"/>
      <c r="S52"/>
      <c r="T52"/>
      <c r="U52"/>
      <c r="V52"/>
      <c r="W52"/>
      <c r="X52"/>
      <c r="Y52"/>
    </row>
    <row r="53" spans="4:25" x14ac:dyDescent="0.25">
      <c r="D53"/>
      <c r="E53"/>
      <c r="F53"/>
      <c r="G53"/>
      <c r="H53"/>
      <c r="I53"/>
      <c r="J53"/>
      <c r="K53"/>
      <c r="L53"/>
      <c r="M53"/>
      <c r="N53"/>
      <c r="O53" s="51"/>
      <c r="P53"/>
      <c r="Q53"/>
      <c r="R53"/>
      <c r="S53"/>
      <c r="T53"/>
      <c r="U53"/>
      <c r="V53"/>
      <c r="W53"/>
      <c r="X53"/>
      <c r="Y53"/>
    </row>
    <row r="54" spans="4:25" x14ac:dyDescent="0.25">
      <c r="D54"/>
      <c r="E54"/>
      <c r="F54"/>
      <c r="G54"/>
      <c r="H54"/>
      <c r="I54"/>
      <c r="J54"/>
      <c r="K54"/>
      <c r="L54"/>
      <c r="M54"/>
      <c r="N54"/>
      <c r="O54" s="51"/>
      <c r="P54"/>
      <c r="Q54"/>
      <c r="R54"/>
      <c r="S54"/>
      <c r="T54"/>
      <c r="U54"/>
      <c r="V54"/>
      <c r="W54"/>
      <c r="X54"/>
      <c r="Y54"/>
    </row>
    <row r="55" spans="4:25" x14ac:dyDescent="0.25">
      <c r="D55"/>
      <c r="E55"/>
      <c r="F55"/>
      <c r="G55"/>
      <c r="H55"/>
      <c r="I55"/>
      <c r="J55"/>
      <c r="K55"/>
      <c r="L55"/>
      <c r="M55"/>
      <c r="N55"/>
      <c r="O55" s="51"/>
      <c r="P55"/>
      <c r="Q55"/>
      <c r="R55"/>
      <c r="S55"/>
      <c r="T55"/>
      <c r="U55"/>
      <c r="V55"/>
      <c r="W55"/>
      <c r="X55"/>
      <c r="Y55"/>
    </row>
    <row r="56" spans="4:25" x14ac:dyDescent="0.25">
      <c r="D56"/>
      <c r="E56"/>
      <c r="F56"/>
      <c r="G56"/>
      <c r="H56"/>
      <c r="I56"/>
      <c r="J56"/>
      <c r="K56"/>
      <c r="L56"/>
      <c r="M56"/>
      <c r="N56"/>
      <c r="O56" s="51"/>
      <c r="P56"/>
      <c r="Q56"/>
      <c r="R56"/>
      <c r="S56"/>
      <c r="T56"/>
      <c r="U56"/>
      <c r="V56"/>
      <c r="W56"/>
      <c r="X56"/>
      <c r="Y56"/>
    </row>
    <row r="57" spans="4:25" x14ac:dyDescent="0.25">
      <c r="D57"/>
      <c r="E57"/>
      <c r="F57"/>
      <c r="G57"/>
      <c r="H57"/>
      <c r="I57"/>
      <c r="J57"/>
      <c r="K57"/>
      <c r="L57"/>
      <c r="M57"/>
      <c r="N57"/>
      <c r="O57" s="51"/>
      <c r="P57"/>
      <c r="Q57"/>
      <c r="R57"/>
      <c r="S57"/>
      <c r="T57"/>
      <c r="U57"/>
      <c r="V57"/>
      <c r="W57"/>
      <c r="X57"/>
      <c r="Y57"/>
    </row>
    <row r="58" spans="4:25" x14ac:dyDescent="0.25">
      <c r="D58"/>
      <c r="E58"/>
      <c r="F58"/>
      <c r="G58"/>
      <c r="H58"/>
      <c r="I58"/>
      <c r="J58"/>
      <c r="K58"/>
      <c r="L58"/>
      <c r="M58"/>
      <c r="N58"/>
      <c r="O58" s="51"/>
      <c r="P58"/>
      <c r="Q58"/>
      <c r="R58"/>
      <c r="S58"/>
      <c r="T58"/>
      <c r="U58"/>
      <c r="V58"/>
      <c r="W58"/>
      <c r="X58"/>
      <c r="Y58"/>
    </row>
    <row r="59" spans="4:25" x14ac:dyDescent="0.25">
      <c r="D59"/>
      <c r="E59"/>
      <c r="F59"/>
      <c r="G59"/>
      <c r="H59"/>
      <c r="I59"/>
      <c r="J59"/>
      <c r="K59"/>
      <c r="L59"/>
      <c r="M59"/>
      <c r="N59"/>
      <c r="O59" s="51"/>
      <c r="P59"/>
      <c r="Q59"/>
      <c r="R59"/>
      <c r="S59"/>
      <c r="T59"/>
      <c r="U59"/>
      <c r="V59"/>
      <c r="W59"/>
      <c r="X59"/>
      <c r="Y59"/>
    </row>
    <row r="60" spans="4:25" x14ac:dyDescent="0.25">
      <c r="D60"/>
      <c r="E60"/>
      <c r="F60"/>
      <c r="G60"/>
      <c r="H60"/>
      <c r="I60"/>
      <c r="J60"/>
      <c r="K60"/>
      <c r="L60"/>
      <c r="M60"/>
      <c r="N60"/>
      <c r="O60" s="51"/>
      <c r="P60"/>
      <c r="Q60"/>
      <c r="R60"/>
      <c r="S60"/>
      <c r="T60"/>
      <c r="U60"/>
      <c r="V60"/>
      <c r="W60"/>
      <c r="X60"/>
      <c r="Y60"/>
    </row>
    <row r="61" spans="4:25" x14ac:dyDescent="0.25">
      <c r="D61"/>
      <c r="E61"/>
      <c r="F61"/>
      <c r="G61"/>
      <c r="H61"/>
      <c r="I61"/>
      <c r="J61"/>
      <c r="K61"/>
      <c r="L61"/>
      <c r="M61"/>
      <c r="N61"/>
      <c r="O61" s="51"/>
      <c r="P61"/>
      <c r="Q61"/>
      <c r="R61"/>
      <c r="S61"/>
      <c r="T61"/>
      <c r="U61"/>
      <c r="V61"/>
      <c r="W61"/>
      <c r="X61"/>
      <c r="Y61"/>
    </row>
    <row r="62" spans="4:25" x14ac:dyDescent="0.25">
      <c r="D62"/>
      <c r="E62"/>
      <c r="F62"/>
      <c r="G62"/>
      <c r="H62"/>
      <c r="I62"/>
      <c r="J62"/>
      <c r="K62"/>
      <c r="L62"/>
      <c r="M62"/>
      <c r="N62"/>
      <c r="O62" s="51"/>
      <c r="P62"/>
      <c r="Q62"/>
      <c r="R62"/>
      <c r="S62"/>
      <c r="T62"/>
      <c r="U62"/>
      <c r="V62"/>
      <c r="W62"/>
      <c r="X62"/>
      <c r="Y62"/>
    </row>
    <row r="63" spans="4:25" x14ac:dyDescent="0.25">
      <c r="D63"/>
      <c r="E63"/>
      <c r="F63"/>
      <c r="G63"/>
      <c r="H63"/>
      <c r="I63"/>
      <c r="J63"/>
      <c r="K63"/>
      <c r="L63"/>
      <c r="M63"/>
      <c r="N63"/>
      <c r="O63" s="51"/>
      <c r="P63"/>
      <c r="Q63"/>
      <c r="R63"/>
      <c r="S63"/>
      <c r="T63"/>
      <c r="U63"/>
      <c r="V63"/>
      <c r="W63"/>
      <c r="X63"/>
      <c r="Y63"/>
    </row>
    <row r="64" spans="4:25" x14ac:dyDescent="0.25">
      <c r="D64"/>
      <c r="E64"/>
      <c r="F64"/>
      <c r="G64"/>
      <c r="H64"/>
      <c r="I64"/>
      <c r="J64"/>
      <c r="K64"/>
      <c r="L64"/>
      <c r="M64"/>
      <c r="N64"/>
      <c r="O64" s="51"/>
      <c r="P64"/>
      <c r="Q64"/>
      <c r="R64"/>
      <c r="S64"/>
      <c r="T64"/>
      <c r="U64"/>
      <c r="V64"/>
      <c r="W64"/>
      <c r="X64"/>
      <c r="Y64"/>
    </row>
    <row r="65" spans="4:25" x14ac:dyDescent="0.25">
      <c r="D65"/>
      <c r="E65"/>
      <c r="F65"/>
      <c r="G65"/>
      <c r="H65"/>
      <c r="I65"/>
      <c r="J65"/>
      <c r="K65"/>
      <c r="L65"/>
      <c r="M65"/>
      <c r="N65"/>
      <c r="O65" s="51"/>
      <c r="P65"/>
      <c r="Q65"/>
      <c r="R65"/>
      <c r="S65"/>
      <c r="T65"/>
      <c r="U65"/>
      <c r="V65"/>
      <c r="W65"/>
      <c r="X65"/>
      <c r="Y65"/>
    </row>
    <row r="66" spans="4:25" x14ac:dyDescent="0.25">
      <c r="D66"/>
      <c r="E66"/>
      <c r="F66"/>
      <c r="G66"/>
      <c r="H66"/>
      <c r="I66"/>
      <c r="J66"/>
      <c r="K66"/>
      <c r="L66"/>
      <c r="M66"/>
      <c r="N66"/>
      <c r="O66" s="51"/>
      <c r="P66"/>
      <c r="Q66"/>
      <c r="R66"/>
      <c r="S66"/>
      <c r="T66"/>
      <c r="U66"/>
      <c r="V66"/>
      <c r="W66"/>
      <c r="X66"/>
      <c r="Y66"/>
    </row>
    <row r="67" spans="4:25" x14ac:dyDescent="0.25">
      <c r="D67"/>
      <c r="E67"/>
      <c r="F67"/>
      <c r="G67"/>
      <c r="H67"/>
      <c r="I67"/>
      <c r="J67"/>
      <c r="K67"/>
      <c r="L67"/>
      <c r="M67"/>
      <c r="N67"/>
      <c r="O67" s="51"/>
      <c r="P67"/>
      <c r="Q67"/>
      <c r="R67"/>
      <c r="S67"/>
      <c r="T67"/>
      <c r="U67"/>
      <c r="V67"/>
      <c r="W67"/>
      <c r="X67"/>
      <c r="Y67"/>
    </row>
    <row r="68" spans="4:25" x14ac:dyDescent="0.25">
      <c r="D68"/>
      <c r="E68"/>
      <c r="F68"/>
      <c r="G68"/>
      <c r="H68"/>
      <c r="I68"/>
      <c r="J68"/>
      <c r="K68"/>
      <c r="L68"/>
      <c r="M68"/>
      <c r="N68"/>
      <c r="O68" s="51"/>
      <c r="P68"/>
      <c r="Q68"/>
      <c r="R68"/>
      <c r="S68"/>
      <c r="T68"/>
      <c r="U68"/>
      <c r="V68"/>
      <c r="W68"/>
      <c r="X68"/>
      <c r="Y68"/>
    </row>
    <row r="69" spans="4:25" x14ac:dyDescent="0.25">
      <c r="D69"/>
      <c r="E69"/>
      <c r="F69"/>
      <c r="G69"/>
      <c r="H69"/>
      <c r="I69"/>
      <c r="J69"/>
      <c r="K69"/>
      <c r="L69"/>
      <c r="M69"/>
      <c r="N69"/>
      <c r="O69" s="51"/>
      <c r="P69"/>
      <c r="Q69"/>
      <c r="R69"/>
      <c r="S69"/>
      <c r="T69"/>
      <c r="U69"/>
      <c r="V69"/>
      <c r="W69"/>
      <c r="X69"/>
      <c r="Y69"/>
    </row>
    <row r="70" spans="4:25" x14ac:dyDescent="0.25">
      <c r="D70"/>
      <c r="E70"/>
      <c r="F70"/>
      <c r="G70"/>
      <c r="H70"/>
      <c r="I70"/>
      <c r="J70"/>
      <c r="K70"/>
      <c r="L70"/>
      <c r="M70"/>
      <c r="N70"/>
      <c r="O70" s="51"/>
      <c r="P70"/>
      <c r="Q70"/>
      <c r="R70"/>
      <c r="S70"/>
      <c r="T70"/>
      <c r="U70"/>
      <c r="V70"/>
      <c r="W70"/>
      <c r="X70"/>
      <c r="Y70"/>
    </row>
    <row r="71" spans="4:25" x14ac:dyDescent="0.25">
      <c r="D71"/>
      <c r="E71"/>
      <c r="F71"/>
      <c r="G71"/>
      <c r="H71"/>
      <c r="I71"/>
      <c r="J71"/>
      <c r="K71"/>
      <c r="L71"/>
      <c r="M71"/>
      <c r="N71"/>
      <c r="O71" s="51"/>
      <c r="P71"/>
      <c r="Q71"/>
      <c r="R71"/>
      <c r="S71"/>
      <c r="T71"/>
      <c r="U71"/>
      <c r="V71"/>
      <c r="W71"/>
      <c r="X71"/>
      <c r="Y71"/>
    </row>
    <row r="72" spans="4:25" x14ac:dyDescent="0.25">
      <c r="D72"/>
      <c r="E72"/>
      <c r="F72"/>
      <c r="G72"/>
      <c r="H72"/>
      <c r="I72"/>
      <c r="J72"/>
      <c r="K72"/>
      <c r="L72"/>
      <c r="M72"/>
      <c r="N72"/>
      <c r="O72" s="51"/>
      <c r="P72"/>
      <c r="Q72"/>
      <c r="R72"/>
      <c r="S72"/>
      <c r="T72"/>
      <c r="U72"/>
      <c r="V72"/>
      <c r="W72"/>
      <c r="X72"/>
      <c r="Y72"/>
    </row>
    <row r="73" spans="4:25" x14ac:dyDescent="0.25">
      <c r="D73"/>
      <c r="E73"/>
      <c r="F73"/>
      <c r="G73"/>
      <c r="H73"/>
      <c r="I73"/>
      <c r="J73"/>
      <c r="K73"/>
      <c r="L73"/>
      <c r="M73"/>
      <c r="N73"/>
      <c r="O73" s="51"/>
      <c r="P73"/>
      <c r="Q73"/>
      <c r="R73"/>
      <c r="S73"/>
      <c r="T73"/>
      <c r="U73"/>
      <c r="V73"/>
      <c r="W73"/>
      <c r="X73"/>
      <c r="Y73"/>
    </row>
    <row r="74" spans="4:25" x14ac:dyDescent="0.25">
      <c r="D74"/>
      <c r="E74"/>
      <c r="F74"/>
      <c r="G74"/>
      <c r="H74"/>
      <c r="I74"/>
      <c r="J74"/>
      <c r="K74"/>
      <c r="L74"/>
      <c r="M74"/>
      <c r="N74"/>
      <c r="O74" s="51"/>
      <c r="P74"/>
      <c r="Q74"/>
      <c r="R74"/>
      <c r="S74"/>
      <c r="T74"/>
      <c r="U74"/>
      <c r="V74"/>
      <c r="W74"/>
      <c r="X74"/>
      <c r="Y74"/>
    </row>
    <row r="75" spans="4:25" x14ac:dyDescent="0.25">
      <c r="D75"/>
      <c r="E75"/>
      <c r="F75"/>
      <c r="G75"/>
      <c r="H75"/>
      <c r="I75"/>
      <c r="J75"/>
      <c r="K75"/>
      <c r="L75"/>
      <c r="M75"/>
      <c r="N75"/>
      <c r="O75" s="51"/>
      <c r="P75"/>
      <c r="Q75"/>
      <c r="R75"/>
      <c r="S75"/>
      <c r="T75"/>
      <c r="U75"/>
      <c r="V75"/>
      <c r="W75"/>
      <c r="X75"/>
      <c r="Y75"/>
    </row>
    <row r="76" spans="4:25" x14ac:dyDescent="0.25">
      <c r="D76"/>
      <c r="E76"/>
      <c r="F76"/>
      <c r="G76"/>
      <c r="H76"/>
      <c r="I76"/>
      <c r="J76"/>
      <c r="K76"/>
      <c r="L76"/>
      <c r="M76"/>
      <c r="N76"/>
      <c r="O76" s="51"/>
      <c r="P76"/>
      <c r="Q76"/>
      <c r="R76"/>
      <c r="S76"/>
      <c r="T76"/>
      <c r="U76"/>
      <c r="V76"/>
      <c r="W76"/>
      <c r="X76"/>
      <c r="Y76"/>
    </row>
    <row r="77" spans="4:25" x14ac:dyDescent="0.25">
      <c r="D77"/>
      <c r="E77"/>
      <c r="F77"/>
      <c r="G77"/>
      <c r="H77"/>
      <c r="I77"/>
      <c r="J77"/>
      <c r="K77"/>
      <c r="L77"/>
      <c r="M77"/>
      <c r="N77"/>
      <c r="O77" s="51"/>
      <c r="P77"/>
      <c r="Q77"/>
      <c r="R77"/>
      <c r="S77"/>
      <c r="T77"/>
      <c r="U77"/>
      <c r="V77"/>
      <c r="W77"/>
      <c r="X77"/>
      <c r="Y77"/>
    </row>
    <row r="78" spans="4:25" x14ac:dyDescent="0.25">
      <c r="D78"/>
      <c r="E78"/>
      <c r="F78"/>
      <c r="G78"/>
      <c r="H78"/>
      <c r="I78"/>
      <c r="J78"/>
      <c r="K78"/>
      <c r="L78"/>
      <c r="M78"/>
      <c r="N78"/>
      <c r="O78" s="51"/>
      <c r="P78"/>
      <c r="Q78"/>
      <c r="R78"/>
      <c r="S78"/>
      <c r="T78"/>
      <c r="U78"/>
      <c r="V78"/>
      <c r="W78"/>
      <c r="X78"/>
      <c r="Y78"/>
    </row>
    <row r="79" spans="4:25" x14ac:dyDescent="0.25">
      <c r="D79"/>
      <c r="E79"/>
      <c r="F79"/>
      <c r="G79"/>
      <c r="H79"/>
      <c r="I79"/>
      <c r="J79"/>
      <c r="K79"/>
      <c r="L79"/>
      <c r="M79"/>
      <c r="N79"/>
      <c r="O79" s="51"/>
      <c r="P79"/>
      <c r="Q79"/>
      <c r="R79"/>
      <c r="S79"/>
      <c r="T79"/>
      <c r="U79"/>
      <c r="V79"/>
      <c r="W79"/>
      <c r="X79"/>
      <c r="Y7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W14"/>
  <sheetViews>
    <sheetView showGridLines="0" zoomScaleNormal="100" workbookViewId="0">
      <pane xSplit="11" ySplit="2" topLeftCell="L3" activePane="bottomRight" state="frozen"/>
      <selection pane="topRight"/>
      <selection pane="bottomLeft"/>
      <selection pane="bottomRight" sqref="A1:A1048576"/>
    </sheetView>
  </sheetViews>
  <sheetFormatPr defaultColWidth="9.140625" defaultRowHeight="15.75" x14ac:dyDescent="0.25"/>
  <cols>
    <col min="1" max="1" width="20.42578125" style="17" customWidth="1"/>
    <col min="2" max="2" width="21.5703125" style="17" hidden="1" customWidth="1"/>
    <col min="3" max="3" width="3.85546875" style="17" hidden="1" customWidth="1"/>
    <col min="4" max="4" width="3.140625" style="17" hidden="1" customWidth="1"/>
    <col min="5" max="5" width="1.85546875" style="17" hidden="1" customWidth="1"/>
    <col min="6" max="6" width="9.140625" style="17" hidden="1" customWidth="1"/>
    <col min="7" max="8" width="10.85546875" style="17" hidden="1" customWidth="1"/>
    <col min="9" max="10" width="9.5703125" style="17" hidden="1" customWidth="1"/>
    <col min="11" max="11" width="9.140625" style="17" hidden="1" customWidth="1"/>
    <col min="12" max="12" width="15.7109375" style="19" bestFit="1" customWidth="1"/>
    <col min="13" max="13" width="15.85546875" style="19" bestFit="1" customWidth="1"/>
    <col min="14" max="14" width="12.140625" style="19" bestFit="1" customWidth="1"/>
    <col min="15" max="15" width="14.5703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6.140625" style="17" bestFit="1" customWidth="1"/>
  </cols>
  <sheetData>
    <row r="1" spans="1:23" s="28" customFormat="1" x14ac:dyDescent="0.25">
      <c r="A1" s="27" t="s">
        <v>74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 t="s">
        <v>9</v>
      </c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</row>
    <row r="2" spans="1:23" hidden="1" x14ac:dyDescent="0.25">
      <c r="A2" s="17" t="s">
        <v>96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LPA 16:0</v>
      </c>
      <c r="C2" s="1" t="str">
        <f>MID(B2,5,FIND(":",B2)-FIND(" ",B2)-1)</f>
        <v>16</v>
      </c>
      <c r="D2" s="1" t="str">
        <f>IF(ISNUMBER(SEARCH("__",B2)),MID(B2,FIND(":",B2)+1,FIND("__",B2)-FIND(":",B2)-1),MID(B2,FIND(":",B2)+1,7))</f>
        <v>0</v>
      </c>
      <c r="G2" s="17">
        <f>C2+3</f>
        <v>19</v>
      </c>
      <c r="H2" s="17">
        <f>2*G2-(2*D2)+1-((LEN(A2)-LEN(SUBSTITUTE(A2,"_O_","")))/LEN("_O_"))*2-((LEN(A2)-LEN(SUBSTITUTE(A2,"_CHO_","")))/LEN("_CHO_"))*2-((LEN(A2)-LEN(SUBSTITUTE(A2,"_COOH_","")))/LEN("_COOH_"))*2</f>
        <v>39</v>
      </c>
      <c r="I2" s="17">
        <f>7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7</v>
      </c>
      <c r="J2" s="17">
        <v>1</v>
      </c>
      <c r="L2" s="19" t="str">
        <f>CONCATENATE("C",G2,"H",H2,"O",I2,"P",J2)</f>
        <v>C19H39O7P1</v>
      </c>
      <c r="M2" s="19">
        <f t="shared" ref="M2" si="0">(G2*12)+(H2*1.0078246)+(I2*15.994915)+(J2*30.973763)</f>
        <v>410.2433274</v>
      </c>
      <c r="N2" s="19">
        <f>M2+1.0078246-0.00055</f>
        <v>411.25060200000001</v>
      </c>
      <c r="O2" s="19">
        <f>N2-18.01057-0.00055</f>
        <v>393.23948200000007</v>
      </c>
      <c r="P2" s="19">
        <f>M2+18.03437-0.00055</f>
        <v>428.27714740000005</v>
      </c>
      <c r="Q2" s="19">
        <f>M2+22.98977-0.00055</f>
        <v>433.23254740000004</v>
      </c>
      <c r="R2" s="19">
        <f>M2+38.96371-0.00055</f>
        <v>449.20648740000001</v>
      </c>
      <c r="S2" s="19">
        <f>M2+7.01601-0.00055</f>
        <v>417.25878740000002</v>
      </c>
      <c r="T2" s="19">
        <f>M2-1.0078246+0.00055</f>
        <v>409.23605279999998</v>
      </c>
      <c r="U2" s="19">
        <f>M2+44.99767+0.00055</f>
        <v>455.24154739999994</v>
      </c>
      <c r="V2" s="19">
        <f>M2+59.01332+0.00055</f>
        <v>469.2571974</v>
      </c>
    </row>
    <row r="3" spans="1:23" x14ac:dyDescent="0.25">
      <c r="A3" s="17" t="s">
        <v>97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 xml:space="preserve">LPA 18:0 </v>
      </c>
      <c r="C3" s="1" t="str">
        <f>MID(B3,5,FIND(":",B3)-FIND(" ",B3)-1)</f>
        <v>18</v>
      </c>
      <c r="D3" s="1" t="str">
        <f>IF(ISNUMBER(SEARCH("__",B3)),MID(B3,FIND(":",B3)+1,FIND("__",B3)-FIND(":",B3)-1),MID(B3,FIND(":",B3)+1,7))</f>
        <v xml:space="preserve">0 </v>
      </c>
      <c r="G3" s="17">
        <f>C3+3</f>
        <v>21</v>
      </c>
      <c r="H3" s="17">
        <f>2*G3-(2*D3)+1-((LEN(A3)-LEN(SUBSTITUTE(A3,"_O_","")))/LEN("_O_"))*2-((LEN(A3)-LEN(SUBSTITUTE(A3,"_CHO_","")))/LEN("_CHO_"))*2-((LEN(A3)-LEN(SUBSTITUTE(A3,"_COOH_","")))/LEN("_COOH_"))*2</f>
        <v>43</v>
      </c>
      <c r="I3" s="17">
        <f>7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7</v>
      </c>
      <c r="J3" s="17">
        <v>1</v>
      </c>
      <c r="L3" s="19" t="str">
        <f>CONCATENATE("C",G3,"H",H3,"O",I3,"P",J3)</f>
        <v>C21H43O7P1</v>
      </c>
      <c r="M3" s="19">
        <f t="shared" ref="M3" si="1">(G3*12)+(H3*1.0078246)+(I3*15.994915)+(J3*30.973763)</f>
        <v>438.27462580000002</v>
      </c>
      <c r="N3" s="19">
        <f>M3+1.0078246-0.00055</f>
        <v>439.28190040000004</v>
      </c>
      <c r="O3" s="19">
        <f>N3-18.01057-0.00055</f>
        <v>421.27078040000004</v>
      </c>
      <c r="P3" s="19">
        <f>M3+18.03437-0.00055</f>
        <v>456.30844580000007</v>
      </c>
      <c r="Q3" s="19">
        <f>M3+22.98977-0.00055</f>
        <v>461.26384580000007</v>
      </c>
      <c r="R3" s="19">
        <f>M3+38.96371-0.00055</f>
        <v>477.23778580000004</v>
      </c>
      <c r="S3" s="19">
        <f>M3+7.01601-0.00055</f>
        <v>445.29008580000004</v>
      </c>
      <c r="T3" s="19">
        <f>M3-1.0078246+0.00055</f>
        <v>437.26735120000001</v>
      </c>
      <c r="U3" s="19">
        <f>M3+44.99767+0.00055</f>
        <v>483.27284580000003</v>
      </c>
      <c r="V3" s="19">
        <f>M3+59.01332+0.00055</f>
        <v>497.28849580000002</v>
      </c>
    </row>
    <row r="5" spans="1:23" x14ac:dyDescent="0.25">
      <c r="A5" s="17" t="s">
        <v>422</v>
      </c>
      <c r="B5" s="17" t="str">
        <f t="shared" ref="B5:B14" si="2">IF(ISNUMBER(SEARCH("(",A5)),IF(ISNUMBER(SEARCH("/",A5)),CONCATENATE(MID(A5,1,2)," ",(SUM(MID(A5,FIND("(",A5)+1,FIND(":",A5)-FIND("(",A5)-1),MID(A5,FIND("/",A5)+1,FIND(":",A5,FIND("/",A5))-FIND("/",A5)-1))),":",SUM(MID(A5,FIND(":",A5)+1,FIND("/",A5)-FIND(":",A5)-1),MID(A5,FIND(":",A5,FIND("/",A5))+1,FIND(")",A5)-FIND(":",A5,FIND("/",A5))-1)),MID(A5,(FIND(")",A5)+1),100)),CONCATENATE(MID(A5,1,2)," ",(SUM(MID(A5,FIND("(",A5)+1,FIND(":",A5)-FIND("(",A5)-1),MID(A5,FIND("_",A5)+1,FIND(":",A5,FIND("_",A5))-FIND("_",A5)-1))),":",SUM(MID(A5,FIND(":",A5)+1,FIND("_",A5)-FIND(":",A5)-1),MID(A5,FIND(":",A5,FIND("_",A5))+1,FIND(")",A5)-FIND(":",A5,FIND("_",A5))-1)),MID(A5,(FIND(")",A5)+1),100))),A5)</f>
        <v>LPA 12:0</v>
      </c>
      <c r="C5" s="1" t="str">
        <f t="shared" ref="C5:C14" si="3">MID(B5,5,FIND(":",B5)-FIND(" ",B5)-1)</f>
        <v>12</v>
      </c>
      <c r="D5" s="1" t="str">
        <f t="shared" ref="D5:D14" si="4">IF(ISNUMBER(SEARCH("__",B5)),MID(B5,FIND(":",B5)+1,FIND("__",B5)-FIND(":",B5)-1),MID(B5,FIND(":",B5)+1,7))</f>
        <v>0</v>
      </c>
      <c r="G5" s="17">
        <f t="shared" ref="G5:G14" si="5">C5+3</f>
        <v>15</v>
      </c>
      <c r="H5" s="17">
        <f t="shared" ref="H5:H14" si="6">2*G5-(2*D5)+1-((LEN(A5)-LEN(SUBSTITUTE(A5,"_O_","")))/LEN("_O_"))*2-((LEN(A5)-LEN(SUBSTITUTE(A5,"_CHO_","")))/LEN("_CHO_"))*2-((LEN(A5)-LEN(SUBSTITUTE(A5,"_COOH_","")))/LEN("_COOH_"))*2</f>
        <v>31</v>
      </c>
      <c r="I5" s="17">
        <f t="shared" ref="I5:I14" si="7">7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7</v>
      </c>
      <c r="J5" s="17">
        <v>1</v>
      </c>
      <c r="L5" s="19" t="str">
        <f t="shared" ref="L5:L14" si="8">CONCATENATE("C",G5,"H",H5,"O",I5,"P",J5)</f>
        <v>C15H31O7P1</v>
      </c>
      <c r="M5" s="19">
        <f t="shared" ref="M5:M14" si="9">(G5*12)+(H5*1.0078246)+(I5*15.994915)+(J5*30.973763)</f>
        <v>354.1807306</v>
      </c>
      <c r="N5" s="19">
        <f t="shared" ref="N5:N14" si="10">M5+1.0078246-0.00055</f>
        <v>355.18800520000002</v>
      </c>
      <c r="O5" s="19">
        <f t="shared" ref="O5:O14" si="11">N5-18.01057-0.00055</f>
        <v>337.17688520000002</v>
      </c>
      <c r="P5" s="19">
        <f t="shared" ref="P5:P14" si="12">M5+18.03437-0.00055</f>
        <v>372.21455060000005</v>
      </c>
      <c r="Q5" s="19">
        <f t="shared" ref="Q5:Q14" si="13">M5+22.98977-0.00055</f>
        <v>377.16995060000005</v>
      </c>
      <c r="R5" s="19">
        <f t="shared" ref="R5:R14" si="14">M5+38.96371-0.00055</f>
        <v>393.14389060000002</v>
      </c>
      <c r="S5" s="19">
        <f t="shared" ref="S5:S14" si="15">M5+7.01601-0.00055</f>
        <v>361.19619060000002</v>
      </c>
      <c r="T5" s="19">
        <f t="shared" ref="T5:T14" si="16">M5-1.0078246+0.00055</f>
        <v>353.17345599999999</v>
      </c>
      <c r="U5" s="19">
        <f t="shared" ref="U5:U14" si="17">M5+44.99767+0.00055</f>
        <v>399.17895060000001</v>
      </c>
      <c r="V5" s="19">
        <f t="shared" ref="V5:V14" si="18">M5+59.01332+0.00055</f>
        <v>413.1946006</v>
      </c>
    </row>
    <row r="6" spans="1:23" x14ac:dyDescent="0.25">
      <c r="A6" s="17" t="s">
        <v>423</v>
      </c>
      <c r="B6" s="17" t="str">
        <f t="shared" si="2"/>
        <v>LPA 13:0</v>
      </c>
      <c r="C6" s="1" t="str">
        <f t="shared" si="3"/>
        <v>13</v>
      </c>
      <c r="D6" s="1" t="str">
        <f t="shared" si="4"/>
        <v>0</v>
      </c>
      <c r="G6" s="17">
        <f t="shared" si="5"/>
        <v>16</v>
      </c>
      <c r="H6" s="17">
        <f t="shared" si="6"/>
        <v>33</v>
      </c>
      <c r="I6" s="17">
        <f t="shared" si="7"/>
        <v>7</v>
      </c>
      <c r="J6" s="17">
        <v>1</v>
      </c>
      <c r="L6" s="19" t="str">
        <f t="shared" si="8"/>
        <v>C16H33O7P1</v>
      </c>
      <c r="M6" s="19">
        <f t="shared" si="9"/>
        <v>368.19637979999999</v>
      </c>
      <c r="N6" s="19">
        <f t="shared" si="10"/>
        <v>369.2036544</v>
      </c>
      <c r="O6" s="19">
        <f t="shared" si="11"/>
        <v>351.1925344</v>
      </c>
      <c r="P6" s="19">
        <f t="shared" si="12"/>
        <v>386.23019980000004</v>
      </c>
      <c r="Q6" s="19">
        <f t="shared" si="13"/>
        <v>391.18559980000003</v>
      </c>
      <c r="R6" s="19">
        <f t="shared" si="14"/>
        <v>407.1595398</v>
      </c>
      <c r="S6" s="19">
        <f t="shared" si="15"/>
        <v>375.21183980000001</v>
      </c>
      <c r="T6" s="19">
        <f t="shared" si="16"/>
        <v>367.18910519999997</v>
      </c>
      <c r="U6" s="19">
        <f t="shared" si="17"/>
        <v>413.19459979999999</v>
      </c>
      <c r="V6" s="19">
        <f t="shared" si="18"/>
        <v>427.21024979999999</v>
      </c>
    </row>
    <row r="7" spans="1:23" x14ac:dyDescent="0.25">
      <c r="A7" s="17" t="s">
        <v>424</v>
      </c>
      <c r="B7" s="17" t="str">
        <f t="shared" si="2"/>
        <v>LPA 14:0</v>
      </c>
      <c r="C7" s="1" t="str">
        <f t="shared" si="3"/>
        <v>14</v>
      </c>
      <c r="D7" s="1" t="str">
        <f t="shared" si="4"/>
        <v>0</v>
      </c>
      <c r="G7" s="17">
        <f t="shared" si="5"/>
        <v>17</v>
      </c>
      <c r="H7" s="17">
        <f t="shared" si="6"/>
        <v>35</v>
      </c>
      <c r="I7" s="17">
        <f t="shared" si="7"/>
        <v>7</v>
      </c>
      <c r="J7" s="17">
        <v>1</v>
      </c>
      <c r="L7" s="19" t="str">
        <f t="shared" si="8"/>
        <v>C17H35O7P1</v>
      </c>
      <c r="M7" s="19">
        <f t="shared" si="9"/>
        <v>382.21202900000003</v>
      </c>
      <c r="N7" s="19">
        <f t="shared" si="10"/>
        <v>383.21930360000005</v>
      </c>
      <c r="O7" s="19">
        <f t="shared" si="11"/>
        <v>365.2081836000001</v>
      </c>
      <c r="P7" s="19">
        <f t="shared" si="12"/>
        <v>400.24584900000008</v>
      </c>
      <c r="Q7" s="19">
        <f t="shared" si="13"/>
        <v>405.20124900000008</v>
      </c>
      <c r="R7" s="19">
        <f t="shared" si="14"/>
        <v>421.17518900000005</v>
      </c>
      <c r="S7" s="19">
        <f t="shared" si="15"/>
        <v>389.22748900000005</v>
      </c>
      <c r="T7" s="19">
        <f t="shared" si="16"/>
        <v>381.20475440000001</v>
      </c>
      <c r="U7" s="19">
        <f t="shared" si="17"/>
        <v>427.21024899999998</v>
      </c>
      <c r="V7" s="19">
        <f t="shared" si="18"/>
        <v>441.22589900000003</v>
      </c>
    </row>
    <row r="8" spans="1:23" x14ac:dyDescent="0.25">
      <c r="A8" s="17" t="s">
        <v>425</v>
      </c>
      <c r="B8" s="17" t="str">
        <f t="shared" si="2"/>
        <v>LPA 15:0</v>
      </c>
      <c r="C8" s="1" t="str">
        <f t="shared" si="3"/>
        <v>15</v>
      </c>
      <c r="D8" s="1" t="str">
        <f t="shared" si="4"/>
        <v>0</v>
      </c>
      <c r="G8" s="17">
        <f t="shared" si="5"/>
        <v>18</v>
      </c>
      <c r="H8" s="17">
        <f t="shared" si="6"/>
        <v>37</v>
      </c>
      <c r="I8" s="17">
        <f t="shared" si="7"/>
        <v>7</v>
      </c>
      <c r="J8" s="17">
        <v>1</v>
      </c>
      <c r="L8" s="19" t="str">
        <f t="shared" si="8"/>
        <v>C18H37O7P1</v>
      </c>
      <c r="M8" s="19">
        <f t="shared" si="9"/>
        <v>396.22767820000001</v>
      </c>
      <c r="N8" s="19">
        <f t="shared" si="10"/>
        <v>397.23495280000003</v>
      </c>
      <c r="O8" s="19">
        <f t="shared" si="11"/>
        <v>379.22383280000008</v>
      </c>
      <c r="P8" s="19">
        <f t="shared" si="12"/>
        <v>414.26149820000006</v>
      </c>
      <c r="Q8" s="19">
        <f t="shared" si="13"/>
        <v>419.21689820000006</v>
      </c>
      <c r="R8" s="19">
        <f t="shared" si="14"/>
        <v>435.19083820000003</v>
      </c>
      <c r="S8" s="19">
        <f t="shared" si="15"/>
        <v>403.24313820000003</v>
      </c>
      <c r="T8" s="19">
        <f t="shared" si="16"/>
        <v>395.2204036</v>
      </c>
      <c r="U8" s="19">
        <f t="shared" si="17"/>
        <v>441.22589819999996</v>
      </c>
      <c r="V8" s="19">
        <f t="shared" si="18"/>
        <v>455.24154820000001</v>
      </c>
    </row>
    <row r="9" spans="1:23" x14ac:dyDescent="0.25">
      <c r="A9" s="17" t="s">
        <v>96</v>
      </c>
      <c r="B9" s="17" t="str">
        <f t="shared" si="2"/>
        <v>LPA 16:0</v>
      </c>
      <c r="C9" s="1" t="str">
        <f t="shared" si="3"/>
        <v>16</v>
      </c>
      <c r="D9" s="1" t="str">
        <f t="shared" si="4"/>
        <v>0</v>
      </c>
      <c r="G9" s="17">
        <f t="shared" si="5"/>
        <v>19</v>
      </c>
      <c r="H9" s="17">
        <f t="shared" si="6"/>
        <v>39</v>
      </c>
      <c r="I9" s="17">
        <f t="shared" si="7"/>
        <v>7</v>
      </c>
      <c r="J9" s="17">
        <v>1</v>
      </c>
      <c r="L9" s="19" t="str">
        <f t="shared" si="8"/>
        <v>C19H39O7P1</v>
      </c>
      <c r="M9" s="19">
        <f t="shared" si="9"/>
        <v>410.2433274</v>
      </c>
      <c r="N9" s="19">
        <f t="shared" si="10"/>
        <v>411.25060200000001</v>
      </c>
      <c r="O9" s="19">
        <f t="shared" si="11"/>
        <v>393.23948200000007</v>
      </c>
      <c r="P9" s="19">
        <f t="shared" si="12"/>
        <v>428.27714740000005</v>
      </c>
      <c r="Q9" s="19">
        <f t="shared" si="13"/>
        <v>433.23254740000004</v>
      </c>
      <c r="R9" s="19">
        <f t="shared" si="14"/>
        <v>449.20648740000001</v>
      </c>
      <c r="S9" s="19">
        <f t="shared" si="15"/>
        <v>417.25878740000002</v>
      </c>
      <c r="T9" s="19">
        <f t="shared" si="16"/>
        <v>409.23605279999998</v>
      </c>
      <c r="U9" s="19">
        <f t="shared" si="17"/>
        <v>455.24154739999994</v>
      </c>
      <c r="V9" s="19">
        <f t="shared" si="18"/>
        <v>469.2571974</v>
      </c>
    </row>
    <row r="10" spans="1:23" x14ac:dyDescent="0.25">
      <c r="A10" s="17" t="s">
        <v>430</v>
      </c>
      <c r="B10" s="17" t="str">
        <f t="shared" si="2"/>
        <v>LPA 17:1</v>
      </c>
      <c r="C10" s="1" t="str">
        <f t="shared" si="3"/>
        <v>17</v>
      </c>
      <c r="D10" s="1" t="str">
        <f t="shared" si="4"/>
        <v>1</v>
      </c>
      <c r="G10" s="17">
        <f t="shared" si="5"/>
        <v>20</v>
      </c>
      <c r="H10" s="17">
        <f t="shared" si="6"/>
        <v>39</v>
      </c>
      <c r="I10" s="17">
        <f t="shared" si="7"/>
        <v>7</v>
      </c>
      <c r="J10" s="17">
        <v>1</v>
      </c>
      <c r="L10" s="19" t="str">
        <f t="shared" si="8"/>
        <v>C20H39O7P1</v>
      </c>
      <c r="M10" s="19">
        <f t="shared" si="9"/>
        <v>422.2433274</v>
      </c>
      <c r="N10" s="19">
        <f t="shared" si="10"/>
        <v>423.25060200000001</v>
      </c>
      <c r="O10" s="19">
        <f t="shared" si="11"/>
        <v>405.23948200000007</v>
      </c>
      <c r="P10" s="19">
        <f t="shared" si="12"/>
        <v>440.27714740000005</v>
      </c>
      <c r="Q10" s="19">
        <f t="shared" si="13"/>
        <v>445.23254740000004</v>
      </c>
      <c r="R10" s="19">
        <f t="shared" si="14"/>
        <v>461.20648740000001</v>
      </c>
      <c r="S10" s="19">
        <f t="shared" si="15"/>
        <v>429.25878740000002</v>
      </c>
      <c r="T10" s="19">
        <f t="shared" si="16"/>
        <v>421.23605279999998</v>
      </c>
      <c r="U10" s="19">
        <f t="shared" si="17"/>
        <v>467.24154739999994</v>
      </c>
      <c r="V10" s="19">
        <f t="shared" si="18"/>
        <v>481.2571974</v>
      </c>
    </row>
    <row r="11" spans="1:23" x14ac:dyDescent="0.25">
      <c r="A11" s="17" t="s">
        <v>426</v>
      </c>
      <c r="B11" s="17" t="str">
        <f t="shared" si="2"/>
        <v>LPA 17:0</v>
      </c>
      <c r="C11" s="1" t="str">
        <f t="shared" si="3"/>
        <v>17</v>
      </c>
      <c r="D11" s="1" t="str">
        <f t="shared" si="4"/>
        <v>0</v>
      </c>
      <c r="G11" s="17">
        <f t="shared" si="5"/>
        <v>20</v>
      </c>
      <c r="H11" s="17">
        <f t="shared" si="6"/>
        <v>41</v>
      </c>
      <c r="I11" s="17">
        <f t="shared" si="7"/>
        <v>7</v>
      </c>
      <c r="J11" s="17">
        <v>1</v>
      </c>
      <c r="L11" s="19" t="str">
        <f t="shared" si="8"/>
        <v>C20H41O7P1</v>
      </c>
      <c r="M11" s="19">
        <f t="shared" si="9"/>
        <v>424.25897660000004</v>
      </c>
      <c r="N11" s="19">
        <f t="shared" si="10"/>
        <v>425.26625120000006</v>
      </c>
      <c r="O11" s="19">
        <f t="shared" si="11"/>
        <v>407.25513120000005</v>
      </c>
      <c r="P11" s="19">
        <f t="shared" si="12"/>
        <v>442.29279660000009</v>
      </c>
      <c r="Q11" s="19">
        <f t="shared" si="13"/>
        <v>447.24819660000009</v>
      </c>
      <c r="R11" s="19">
        <f t="shared" si="14"/>
        <v>463.22213660000006</v>
      </c>
      <c r="S11" s="19">
        <f t="shared" si="15"/>
        <v>431.27443660000006</v>
      </c>
      <c r="T11" s="19">
        <f t="shared" si="16"/>
        <v>423.25170200000002</v>
      </c>
      <c r="U11" s="19">
        <f t="shared" si="17"/>
        <v>469.25719660000004</v>
      </c>
      <c r="V11" s="19">
        <f t="shared" si="18"/>
        <v>483.27284660000004</v>
      </c>
    </row>
    <row r="12" spans="1:23" x14ac:dyDescent="0.25">
      <c r="A12" s="17" t="s">
        <v>427</v>
      </c>
      <c r="B12" s="17" t="str">
        <f t="shared" si="2"/>
        <v>LPA 18:0</v>
      </c>
      <c r="C12" s="1" t="str">
        <f t="shared" si="3"/>
        <v>18</v>
      </c>
      <c r="D12" s="1" t="str">
        <f t="shared" si="4"/>
        <v>0</v>
      </c>
      <c r="G12" s="17">
        <f t="shared" si="5"/>
        <v>21</v>
      </c>
      <c r="H12" s="17">
        <f t="shared" si="6"/>
        <v>43</v>
      </c>
      <c r="I12" s="17">
        <f t="shared" si="7"/>
        <v>7</v>
      </c>
      <c r="J12" s="17">
        <v>1</v>
      </c>
      <c r="L12" s="19" t="str">
        <f t="shared" si="8"/>
        <v>C21H43O7P1</v>
      </c>
      <c r="M12" s="19">
        <f t="shared" si="9"/>
        <v>438.27462580000002</v>
      </c>
      <c r="N12" s="19">
        <f t="shared" si="10"/>
        <v>439.28190040000004</v>
      </c>
      <c r="O12" s="19">
        <f t="shared" si="11"/>
        <v>421.27078040000004</v>
      </c>
      <c r="P12" s="19">
        <f t="shared" si="12"/>
        <v>456.30844580000007</v>
      </c>
      <c r="Q12" s="19">
        <f t="shared" si="13"/>
        <v>461.26384580000007</v>
      </c>
      <c r="R12" s="19">
        <f t="shared" si="14"/>
        <v>477.23778580000004</v>
      </c>
      <c r="S12" s="19">
        <f t="shared" si="15"/>
        <v>445.29008580000004</v>
      </c>
      <c r="T12" s="19">
        <f t="shared" si="16"/>
        <v>437.26735120000001</v>
      </c>
      <c r="U12" s="19">
        <f t="shared" si="17"/>
        <v>483.27284580000003</v>
      </c>
      <c r="V12" s="19">
        <f t="shared" si="18"/>
        <v>497.28849580000002</v>
      </c>
    </row>
    <row r="13" spans="1:23" x14ac:dyDescent="0.25">
      <c r="A13" s="17" t="s">
        <v>428</v>
      </c>
      <c r="B13" s="17" t="str">
        <f t="shared" si="2"/>
        <v>LPA 19:0</v>
      </c>
      <c r="C13" s="1" t="str">
        <f t="shared" si="3"/>
        <v>19</v>
      </c>
      <c r="D13" s="1" t="str">
        <f t="shared" si="4"/>
        <v>0</v>
      </c>
      <c r="G13" s="17">
        <f t="shared" si="5"/>
        <v>22</v>
      </c>
      <c r="H13" s="17">
        <f t="shared" si="6"/>
        <v>45</v>
      </c>
      <c r="I13" s="17">
        <f t="shared" si="7"/>
        <v>7</v>
      </c>
      <c r="J13" s="17">
        <v>1</v>
      </c>
      <c r="L13" s="19" t="str">
        <f t="shared" si="8"/>
        <v>C22H45O7P1</v>
      </c>
      <c r="M13" s="19">
        <f t="shared" si="9"/>
        <v>452.29027500000001</v>
      </c>
      <c r="N13" s="19">
        <f t="shared" si="10"/>
        <v>453.29754960000002</v>
      </c>
      <c r="O13" s="19">
        <f t="shared" si="11"/>
        <v>435.28642960000002</v>
      </c>
      <c r="P13" s="19">
        <f t="shared" si="12"/>
        <v>470.32409500000006</v>
      </c>
      <c r="Q13" s="19">
        <f t="shared" si="13"/>
        <v>475.27949500000005</v>
      </c>
      <c r="R13" s="19">
        <f t="shared" si="14"/>
        <v>491.25343500000002</v>
      </c>
      <c r="S13" s="19">
        <f t="shared" si="15"/>
        <v>459.30573500000003</v>
      </c>
      <c r="T13" s="19">
        <f t="shared" si="16"/>
        <v>451.28300039999999</v>
      </c>
      <c r="U13" s="19">
        <f t="shared" si="17"/>
        <v>497.28849500000001</v>
      </c>
      <c r="V13" s="19">
        <f t="shared" si="18"/>
        <v>511.30414500000001</v>
      </c>
    </row>
    <row r="14" spans="1:23" x14ac:dyDescent="0.25">
      <c r="A14" s="17" t="s">
        <v>429</v>
      </c>
      <c r="B14" s="17" t="str">
        <f t="shared" si="2"/>
        <v>LPA 20:0</v>
      </c>
      <c r="C14" s="1" t="str">
        <f t="shared" si="3"/>
        <v>20</v>
      </c>
      <c r="D14" s="1" t="str">
        <f t="shared" si="4"/>
        <v>0</v>
      </c>
      <c r="G14" s="17">
        <f t="shared" si="5"/>
        <v>23</v>
      </c>
      <c r="H14" s="17">
        <f t="shared" si="6"/>
        <v>47</v>
      </c>
      <c r="I14" s="17">
        <f t="shared" si="7"/>
        <v>7</v>
      </c>
      <c r="J14" s="17">
        <v>1</v>
      </c>
      <c r="L14" s="19" t="str">
        <f t="shared" si="8"/>
        <v>C23H47O7P1</v>
      </c>
      <c r="M14" s="19">
        <f t="shared" si="9"/>
        <v>466.30592419999999</v>
      </c>
      <c r="N14" s="19">
        <f t="shared" si="10"/>
        <v>467.31319880000001</v>
      </c>
      <c r="O14" s="19">
        <f t="shared" si="11"/>
        <v>449.3020788</v>
      </c>
      <c r="P14" s="19">
        <f t="shared" si="12"/>
        <v>484.33974420000004</v>
      </c>
      <c r="Q14" s="19">
        <f t="shared" si="13"/>
        <v>489.29514420000004</v>
      </c>
      <c r="R14" s="19">
        <f t="shared" si="14"/>
        <v>505.26908420000001</v>
      </c>
      <c r="S14" s="19">
        <f t="shared" si="15"/>
        <v>473.32138420000001</v>
      </c>
      <c r="T14" s="19">
        <f t="shared" si="16"/>
        <v>465.29864959999998</v>
      </c>
      <c r="U14" s="19">
        <f t="shared" si="17"/>
        <v>511.3041442</v>
      </c>
      <c r="V14" s="19">
        <f t="shared" si="18"/>
        <v>525.31979419999993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Y3"/>
  <sheetViews>
    <sheetView showGridLines="0" showRowColHeaders="0" zoomScaleNormal="100" workbookViewId="0">
      <pane xSplit="11" ySplit="2" topLeftCell="N3" activePane="bottomRight" state="frozen"/>
      <selection pane="topRight"/>
      <selection pane="bottomLeft"/>
      <selection pane="bottomRight" activeCell="S24" sqref="S24"/>
    </sheetView>
  </sheetViews>
  <sheetFormatPr defaultColWidth="9.140625" defaultRowHeight="15.75" x14ac:dyDescent="0.25"/>
  <cols>
    <col min="1" max="1" width="48.7109375" style="17" customWidth="1"/>
    <col min="2" max="2" width="19.42578125" style="17" hidden="1" customWidth="1"/>
    <col min="3" max="3" width="3.85546875" style="17" hidden="1" customWidth="1"/>
    <col min="4" max="4" width="2.5703125" style="17" hidden="1" customWidth="1"/>
    <col min="5" max="7" width="10.85546875" style="17" hidden="1" customWidth="1"/>
    <col min="8" max="8" width="9.5703125" style="17" hidden="1" customWidth="1"/>
    <col min="9" max="11" width="9.140625" style="17" hidden="1" customWidth="1"/>
    <col min="12" max="12" width="20.7109375" style="19" customWidth="1"/>
    <col min="13" max="22" width="16.7109375" style="19" customWidth="1"/>
    <col min="23" max="23" width="12.140625" style="17" bestFit="1" customWidth="1"/>
    <col min="24" max="24" width="14.42578125" style="17" bestFit="1" customWidth="1"/>
    <col min="25" max="25" width="15.42578125" style="17" bestFit="1" customWidth="1"/>
  </cols>
  <sheetData>
    <row r="1" spans="1:25" s="28" customFormat="1" x14ac:dyDescent="0.25">
      <c r="A1" s="27" t="s">
        <v>74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2</v>
      </c>
      <c r="H1" s="27" t="s">
        <v>9</v>
      </c>
      <c r="I1" s="27"/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  <c r="Y1" s="27"/>
    </row>
    <row r="2" spans="1:25" hidden="1" x14ac:dyDescent="0.25">
      <c r="A2" s="17" t="s">
        <v>102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LPI 16:0</v>
      </c>
      <c r="C2" s="1" t="str">
        <f>MID(B2,5,FIND(":",B2)-FIND(" ",B2)-1)</f>
        <v>16</v>
      </c>
      <c r="D2" s="1" t="str">
        <f>IF(ISNUMBER(SEARCH("__",B2)),MID(B2,FIND(":",B2)+1,FIND("__",B2)-FIND(":",B2)-1),MID(B2,FIND(":",B2)+1,7))</f>
        <v>0</v>
      </c>
      <c r="E2" s="17">
        <f t="shared" ref="E2" si="0">C2+9</f>
        <v>25</v>
      </c>
      <c r="F2" s="17">
        <f>2*E2-(2*D2)-1-((LEN(A2)-LEN(SUBSTITUTE(A2,"_O_","")))/LEN("_O_"))*2-((LEN(A2)-LEN(SUBSTITUTE(A2,"_CHO_","")))/LEN("_CHO_"))*2-((LEN(A2)-LEN(SUBSTITUTE(A2,"_COOH_","")))/LEN("_COOH_"))*2</f>
        <v>49</v>
      </c>
      <c r="G2" s="17">
        <f>12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12</v>
      </c>
      <c r="H2" s="17">
        <v>1</v>
      </c>
      <c r="L2" s="19" t="str">
        <f>CONCATENATE("C",E2,"H",F2,"O",G2,"P",H2)</f>
        <v>C25H49O12P1</v>
      </c>
      <c r="M2" s="19">
        <f>(E2*12)+(F2*1.0078246)+(G2*15.994915)+(H2*30.973763)</f>
        <v>572.29614839999999</v>
      </c>
      <c r="N2" s="19">
        <f>M2+1.0078246-0.00055</f>
        <v>573.30342300000007</v>
      </c>
      <c r="O2" s="19">
        <f>N2-18.01057-0.00055</f>
        <v>555.29230300000006</v>
      </c>
      <c r="P2" s="19">
        <f>M2+18.03437-0.00055</f>
        <v>590.32996839999998</v>
      </c>
      <c r="Q2" s="19">
        <f>M2+22.98977-0.00055</f>
        <v>595.28536840000004</v>
      </c>
      <c r="R2" s="19">
        <f>M2+38.96371-0.00055</f>
        <v>611.25930840000001</v>
      </c>
      <c r="S2" s="19">
        <f>M2+7.01601-0.00055</f>
        <v>579.31160840000007</v>
      </c>
      <c r="T2" s="19">
        <f>M2-1.0078246+0.00055</f>
        <v>571.28887379999992</v>
      </c>
      <c r="U2" s="19">
        <f>M2+44.99767+0.00055</f>
        <v>617.29436839999994</v>
      </c>
      <c r="V2" s="19">
        <f>M2+59.01332+0.00055</f>
        <v>631.31001839999999</v>
      </c>
    </row>
    <row r="3" spans="1:25" x14ac:dyDescent="0.25">
      <c r="A3" s="17" t="s">
        <v>103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LPI 16:1</v>
      </c>
      <c r="C3" s="1" t="str">
        <f>MID(B3,5,FIND(":",B3)-FIND(" ",B3)-1)</f>
        <v>16</v>
      </c>
      <c r="D3" s="1" t="str">
        <f>IF(ISNUMBER(SEARCH("__",B3)),MID(B3,FIND(":",B3)+1,FIND("__",B3)-FIND(":",B3)-1),MID(B3,FIND(":",B3)+1,7))</f>
        <v>1</v>
      </c>
      <c r="E3" s="17">
        <f t="shared" ref="E3" si="1">C3+9</f>
        <v>25</v>
      </c>
      <c r="F3" s="17">
        <f>2*E3-(2*D3)-1-((LEN(A3)-LEN(SUBSTITUTE(A3,"_O_","")))/LEN("_O_"))*2-((LEN(A3)-LEN(SUBSTITUTE(A3,"_CHO_","")))/LEN("_CHO_"))*2-((LEN(A3)-LEN(SUBSTITUTE(A3,"_COOH_","")))/LEN("_COOH_"))*2</f>
        <v>47</v>
      </c>
      <c r="G3" s="17">
        <f>12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12</v>
      </c>
      <c r="H3" s="17">
        <v>1</v>
      </c>
      <c r="L3" s="19" t="str">
        <f>CONCATENATE("C",E3,"H",F3,"O",G3,"P",H3)</f>
        <v>C25H47O12P1</v>
      </c>
      <c r="M3" s="19">
        <f>(E3*12)+(F3*1.0078246)+(G3*15.994915)+(H3*30.973763)</f>
        <v>570.28049919999989</v>
      </c>
      <c r="N3" s="19">
        <f>M3+1.0078246-0.00055</f>
        <v>571.28777379999997</v>
      </c>
      <c r="O3" s="19">
        <f>N3-18.01057-0.00055</f>
        <v>553.27665379999996</v>
      </c>
      <c r="P3" s="19">
        <f>M3+18.03437-0.00055</f>
        <v>588.31431919999989</v>
      </c>
      <c r="Q3" s="19">
        <f>M3+22.98977-0.00055</f>
        <v>593.26971919999994</v>
      </c>
      <c r="R3" s="19">
        <f>M3+38.96371-0.00055</f>
        <v>609.24365919999991</v>
      </c>
      <c r="S3" s="19">
        <f>M3+7.01601-0.00055</f>
        <v>577.29595919999997</v>
      </c>
      <c r="T3" s="19">
        <f>M3-1.0078246+0.00055</f>
        <v>569.27322459999982</v>
      </c>
      <c r="U3" s="19">
        <f>M3+44.99767+0.00055</f>
        <v>615.27871919999984</v>
      </c>
      <c r="V3" s="19">
        <f>M3+59.01332+0.00055</f>
        <v>629.29436919999989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1"/>
  <dimension ref="A1:Z17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.140625" defaultRowHeight="15.75" x14ac:dyDescent="0.25"/>
  <cols>
    <col min="1" max="1" width="25.7109375" style="17" bestFit="1" customWidth="1"/>
    <col min="2" max="2" width="21.5703125" style="17" bestFit="1" customWidth="1"/>
    <col min="3" max="3" width="3.85546875" style="17" bestFit="1" customWidth="1"/>
    <col min="4" max="4" width="2.5703125" style="17" bestFit="1" customWidth="1"/>
    <col min="5" max="7" width="10.85546875" style="17" bestFit="1" customWidth="1"/>
    <col min="8" max="8" width="9.5703125" style="17" bestFit="1" customWidth="1"/>
    <col min="9" max="11" width="9.140625" style="17" hidden="1" customWidth="1"/>
    <col min="12" max="12" width="17" style="19" bestFit="1" customWidth="1"/>
    <col min="13" max="13" width="15.85546875" style="19" bestFit="1" customWidth="1"/>
    <col min="14" max="14" width="12.140625" style="19" bestFit="1" customWidth="1"/>
    <col min="15" max="15" width="14.5703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2.140625" style="17" bestFit="1" customWidth="1"/>
    <col min="24" max="24" width="14.42578125" style="17" bestFit="1" customWidth="1"/>
    <col min="25" max="25" width="15.42578125" style="17" bestFit="1" customWidth="1"/>
  </cols>
  <sheetData>
    <row r="1" spans="1:26" s="28" customFormat="1" x14ac:dyDescent="0.25">
      <c r="A1" s="27" t="s">
        <v>74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2</v>
      </c>
      <c r="H1" s="27" t="s">
        <v>9</v>
      </c>
      <c r="I1" s="27"/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  <c r="Y1" s="27"/>
    </row>
    <row r="2" spans="1:26" hidden="1" x14ac:dyDescent="0.25">
      <c r="A2" s="17" t="s">
        <v>110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PI 32:0</v>
      </c>
      <c r="C2" s="1" t="str">
        <f>MID(B2,4,FIND(":",B2)-FIND(" ",B2)-1)</f>
        <v>32</v>
      </c>
      <c r="D2" s="1" t="str">
        <f>IF(ISNUMBER(SEARCH("__",B2)),MID(B2,FIND(":",B2)+1,FIND("__",B2)-FIND(":",B2)-1),MID(B2,FIND(":",B2)+1,7))</f>
        <v>0</v>
      </c>
      <c r="E2" s="17">
        <f t="shared" ref="E2" si="0">C2+9</f>
        <v>41</v>
      </c>
      <c r="F2" s="17">
        <f>2*E2-(2*D2)-3-((LEN(A2)-LEN(SUBSTITUTE(A2,"_O_","")))/LEN("_O_"))*2-((LEN(A2)-LEN(SUBSTITUTE(A2,"_CHO_","")))/LEN("_CHO_"))*2-((LEN(A2)-LEN(SUBSTITUTE(A2,"_COOH_","")))/LEN("_COOH_"))*2</f>
        <v>79</v>
      </c>
      <c r="G2" s="17">
        <f>13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13</v>
      </c>
      <c r="H2" s="17">
        <v>1</v>
      </c>
      <c r="L2" s="19" t="str">
        <f>CONCATENATE("C",E2,"H",F2,"O",G2,"P",H2)</f>
        <v>C41H79O13P1</v>
      </c>
      <c r="M2" s="19">
        <f>(E2*12)+(F2*1.0078246)+(G2*15.994915)+(H2*30.973763)</f>
        <v>810.52580139999998</v>
      </c>
      <c r="N2" s="19">
        <f>M2+1.0078246-0.00055</f>
        <v>811.53307600000005</v>
      </c>
      <c r="O2" s="19">
        <f>N2-18.01057-0.00055</f>
        <v>793.52195600000005</v>
      </c>
      <c r="P2" s="19">
        <f>M2+18.03437-0.00055</f>
        <v>828.55962139999997</v>
      </c>
      <c r="Q2" s="19">
        <f>M2+22.98977-0.00055</f>
        <v>833.51502140000002</v>
      </c>
      <c r="R2" s="19">
        <f>M2+38.96371-0.00055</f>
        <v>849.48896139999999</v>
      </c>
      <c r="S2" s="19">
        <f>M2+7.01601-0.00055</f>
        <v>817.54126140000005</v>
      </c>
      <c r="T2" s="19">
        <f>M2-1.0078246+0.00055</f>
        <v>809.5185267999999</v>
      </c>
      <c r="U2" s="19">
        <f>M2+44.99767+0.00055</f>
        <v>855.52402139999992</v>
      </c>
      <c r="V2" s="19">
        <f>M2+59.01332+0.00055</f>
        <v>869.53967139999997</v>
      </c>
    </row>
    <row r="3" spans="1:26" x14ac:dyDescent="0.25">
      <c r="A3" s="17" t="s">
        <v>111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PI 32:1</v>
      </c>
      <c r="C3" s="1" t="str">
        <f>MID(B3,4,FIND(":",B3)-FIND(" ",B3)-1)</f>
        <v>32</v>
      </c>
      <c r="D3" s="1" t="str">
        <f>IF(ISNUMBER(SEARCH("__",B3)),MID(B3,FIND(":",B3)+1,FIND("__",B3)-FIND(":",B3)-1),MID(B3,FIND(":",B3)+1,7))</f>
        <v>1</v>
      </c>
      <c r="E3" s="17">
        <f t="shared" ref="E3:E4" si="1">C3+9</f>
        <v>41</v>
      </c>
      <c r="F3" s="17">
        <f>2*E3-(2*D3)-3-((LEN(A3)-LEN(SUBSTITUTE(A3,"_O_","")))/LEN("_O_"))*2-((LEN(A3)-LEN(SUBSTITUTE(A3,"_CHO_","")))/LEN("_CHO_"))*2-((LEN(A3)-LEN(SUBSTITUTE(A3,"_COOH_","")))/LEN("_COOH_"))*2</f>
        <v>77</v>
      </c>
      <c r="G3" s="17">
        <f>13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13</v>
      </c>
      <c r="H3" s="17">
        <v>1</v>
      </c>
      <c r="L3" s="19" t="str">
        <f>CONCATENATE("C",E3,"H",F3,"O",G3,"P",H3)</f>
        <v>C41H77O13P1</v>
      </c>
      <c r="M3" s="19">
        <f>(E3*12)+(F3*1.0078246)+(G3*15.994915)+(H3*30.973763)</f>
        <v>808.51015219999999</v>
      </c>
      <c r="N3" s="19">
        <f>M3+1.0078246-0.00055</f>
        <v>809.51742680000007</v>
      </c>
      <c r="O3" s="19">
        <f>N3-18.01057-0.00055</f>
        <v>791.50630680000006</v>
      </c>
      <c r="P3" s="19">
        <f>M3+18.03437-0.00055</f>
        <v>826.54397219999998</v>
      </c>
      <c r="Q3" s="19">
        <f>M3+22.98977-0.00055</f>
        <v>831.49937220000004</v>
      </c>
      <c r="R3" s="19">
        <f>M3+38.96371-0.00055</f>
        <v>847.47331220000001</v>
      </c>
      <c r="S3" s="19">
        <f>M3+7.01601-0.00055</f>
        <v>815.52561220000007</v>
      </c>
      <c r="T3" s="19">
        <f>M3-1.0078246+0.00055</f>
        <v>807.50287759999992</v>
      </c>
      <c r="U3" s="19">
        <f>M3+44.99767+0.00055</f>
        <v>853.50837219999994</v>
      </c>
      <c r="V3" s="19">
        <f>M3+59.01332+0.00055</f>
        <v>867.52402219999999</v>
      </c>
    </row>
    <row r="4" spans="1:26" x14ac:dyDescent="0.25">
      <c r="A4" s="17" t="s">
        <v>125</v>
      </c>
      <c r="B4" s="17" t="str">
        <f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PI 34:1__CHO__</v>
      </c>
      <c r="C4" s="1" t="str">
        <f>MID(B4,4,FIND(":",B4)-FIND(" ",B4)-1)</f>
        <v>34</v>
      </c>
      <c r="D4" s="1" t="str">
        <f>IF(ISNUMBER(SEARCH("__",B4)),MID(B4,FIND(":",B4)+1,FIND("__",B4)-FIND(":",B4)-1),MID(B4,FIND(":",B4)+1,7))</f>
        <v>1</v>
      </c>
      <c r="E4" s="17">
        <f t="shared" si="1"/>
        <v>43</v>
      </c>
      <c r="F4" s="17">
        <f>2*E4-(2*D4)-3-((LEN(A4)-LEN(SUBSTITUTE(A4,"_O_","")))/LEN("_O_"))*2-((LEN(A4)-LEN(SUBSTITUTE(A4,"_CHO_","")))/LEN("_CHO_"))*2-((LEN(A4)-LEN(SUBSTITUTE(A4,"_COOH_","")))/LEN("_COOH_"))*2</f>
        <v>79</v>
      </c>
      <c r="G4" s="17">
        <f>13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14</v>
      </c>
      <c r="H4" s="17">
        <v>1</v>
      </c>
      <c r="L4" s="19" t="str">
        <f>CONCATENATE("C",E4,"H",F4,"O",G4,"P",H4)</f>
        <v>C43H79O14P1</v>
      </c>
      <c r="M4" s="19">
        <f>(E4*12)+(F4*1.0078246)+(G4*15.994915)+(H4*30.973763)</f>
        <v>850.52071639999997</v>
      </c>
      <c r="N4" s="19">
        <f>M4+1.0078246-0.00055</f>
        <v>851.52799100000004</v>
      </c>
      <c r="O4" s="19">
        <f>N4-18.01057-0.00055</f>
        <v>833.51687100000004</v>
      </c>
      <c r="P4" s="19">
        <f>M4+18.03437-0.00055</f>
        <v>868.55453639999996</v>
      </c>
      <c r="Q4" s="19">
        <f>M4+22.98977-0.00055</f>
        <v>873.50993640000002</v>
      </c>
      <c r="R4" s="19">
        <f>M4+38.96371-0.00055</f>
        <v>889.48387639999999</v>
      </c>
      <c r="S4" s="19">
        <f>M4+7.01601-0.00055</f>
        <v>857.53617640000004</v>
      </c>
      <c r="T4" s="19">
        <f>M4-1.0078246+0.00055</f>
        <v>849.5134417999999</v>
      </c>
      <c r="U4" s="19">
        <f>M4+44.99767+0.00055</f>
        <v>895.51893639999992</v>
      </c>
      <c r="V4" s="19">
        <f>M4+59.01332+0.00055</f>
        <v>909.53458639999997</v>
      </c>
    </row>
    <row r="6" spans="1:26" x14ac:dyDescent="0.25">
      <c r="A6" s="17" t="s">
        <v>111</v>
      </c>
      <c r="B6" s="17" t="str">
        <f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PI 32:1</v>
      </c>
      <c r="C6" s="1" t="str">
        <f>MID(B6,4,FIND(":",B6)-FIND(" ",B6)-1)</f>
        <v>32</v>
      </c>
      <c r="D6" s="1" t="str">
        <f>IF(ISNUMBER(SEARCH("__",B6)),MID(B6,FIND(":",B6)+1,FIND("__",B6)-FIND(":",B6)-1),MID(B6,FIND(":",B6)+1,7))</f>
        <v>1</v>
      </c>
      <c r="E6" s="17">
        <f t="shared" ref="E6:E7" si="2">C6+9</f>
        <v>41</v>
      </c>
      <c r="F6" s="17">
        <f>2*E6-(2*D6)-3-((LEN(A6)-LEN(SUBSTITUTE(A6,"_O_","")))/LEN("_O_"))*2-((LEN(A6)-LEN(SUBSTITUTE(A6,"_CHO_","")))/LEN("_CHO_"))*2-((LEN(A6)-LEN(SUBSTITUTE(A6,"_COOH_","")))/LEN("_COOH_"))*2</f>
        <v>77</v>
      </c>
      <c r="G6" s="17">
        <f>13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13</v>
      </c>
      <c r="H6" s="17">
        <v>1</v>
      </c>
      <c r="L6" s="19" t="str">
        <f>CONCATENATE("C",E6,"H",F6,"O",G6,"P",H6)</f>
        <v>C41H77O13P1</v>
      </c>
      <c r="M6" s="19">
        <f>(E6*12)+(F6*1.0078246)+(G6*15.994915)+(H6*30.973763)</f>
        <v>808.51015219999999</v>
      </c>
      <c r="N6" s="19">
        <f>M6+1.0078246-0.00055</f>
        <v>809.51742680000007</v>
      </c>
      <c r="O6" s="19">
        <f>N6-18.01057-0.00055</f>
        <v>791.50630680000006</v>
      </c>
      <c r="P6" s="19">
        <f>M6+18.03437-0.00055</f>
        <v>826.54397219999998</v>
      </c>
      <c r="Q6" s="19">
        <f>M6+22.98977-0.00055</f>
        <v>831.49937220000004</v>
      </c>
      <c r="R6" s="19">
        <f>M6+38.96371-0.00055</f>
        <v>847.47331220000001</v>
      </c>
      <c r="S6" s="19">
        <f>M6+7.01601-0.00055</f>
        <v>815.52561220000007</v>
      </c>
      <c r="T6" s="19">
        <f>M6-1.0078246+0.00055</f>
        <v>807.50287759999992</v>
      </c>
      <c r="U6" s="19">
        <f>M6+44.99767+0.00055</f>
        <v>853.50837219999994</v>
      </c>
      <c r="V6" s="19">
        <f>M6+59.01332+0.00055</f>
        <v>867.52402219999999</v>
      </c>
    </row>
    <row r="7" spans="1:26" x14ac:dyDescent="0.25">
      <c r="A7" s="17" t="s">
        <v>643</v>
      </c>
      <c r="B7" s="17" t="str">
        <f>IF(ISNUMBER(SEARCH("(",A7)),IF(ISNUMBER(SEARCH("/",A7)),CONCATENATE(MID(A7,1,2)," ",(SUM(MID(A7,FIND("(",A7)+1,FIND(":",A7)-FIND("(",A7)-1),MID(A7,FIND("/",A7)+1,FIND(":",A7,FIND("/",A7))-FIND("/",A7)-1))),":",SUM(MID(A7,FIND(":",A7)+1,FIND("/",A7)-FIND(":",A7)-1),MID(A7,FIND(":",A7,FIND("/",A7))+1,FIND(")",A7)-FIND(":",A7,FIND("/",A7))-1)),MID(A7,(FIND(")",A7)+1),100)),CONCATENATE(MID(A7,1,2)," ",(SUM(MID(A7,FIND("(",A7)+1,FIND(":",A7)-FIND("(",A7)-1),MID(A7,FIND("_",A7)+1,FIND(":",A7,FIND("_",A7))-FIND("_",A7)-1))),":",SUM(MID(A7,FIND(":",A7)+1,FIND("_",A7)-FIND(":",A7)-1),MID(A7,FIND(":",A7,FIND("_",A7))+1,FIND(")",A7)-FIND(":",A7,FIND("_",A7))-1)),MID(A7,(FIND(")",A7)+1),100))),A7)</f>
        <v>PI 36:1</v>
      </c>
      <c r="C7" s="1" t="str">
        <f>MID(B7,4,FIND(":",B7)-FIND(" ",B7)-1)</f>
        <v>36</v>
      </c>
      <c r="D7" s="1" t="str">
        <f>IF(ISNUMBER(SEARCH("__",B7)),MID(B7,FIND(":",B7)+1,FIND("__",B7)-FIND(":",B7)-1),MID(B7,FIND(":",B7)+1,7))</f>
        <v>1</v>
      </c>
      <c r="E7" s="17">
        <f t="shared" si="2"/>
        <v>45</v>
      </c>
      <c r="F7" s="17">
        <f>2*E7-(2*D7)-3-((LEN(A7)-LEN(SUBSTITUTE(A7,"_O_","")))/LEN("_O_"))*2-((LEN(A7)-LEN(SUBSTITUTE(A7,"_CHO_","")))/LEN("_CHO_"))*2-((LEN(A7)-LEN(SUBSTITUTE(A7,"_COOH_","")))/LEN("_COOH_"))*2</f>
        <v>85</v>
      </c>
      <c r="G7" s="17">
        <f>13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13</v>
      </c>
      <c r="H7" s="17">
        <v>1</v>
      </c>
      <c r="L7" s="19" t="str">
        <f>CONCATENATE("C",E7,"H",F7,"O",G7,"P",H7)</f>
        <v>C45H85O13P1</v>
      </c>
      <c r="M7" s="19">
        <f>(E7*12)+(F7*1.0078246)+(G7*15.994915)+(H7*30.973763)</f>
        <v>864.57274899999993</v>
      </c>
      <c r="N7" s="19">
        <f>M7+1.0078246-0.00055</f>
        <v>865.5800236</v>
      </c>
      <c r="O7" s="19">
        <f>N7-18.01057-0.00055</f>
        <v>847.5689036</v>
      </c>
      <c r="P7" s="19">
        <f>M7+18.03437-0.00055</f>
        <v>882.60656899999992</v>
      </c>
      <c r="Q7" s="19">
        <f>M7+22.98977-0.00055</f>
        <v>887.56196899999998</v>
      </c>
      <c r="R7" s="19">
        <f>M7+38.96371-0.00055</f>
        <v>903.53590899999995</v>
      </c>
      <c r="S7" s="19">
        <f>M7+7.01601-0.00055</f>
        <v>871.58820900000001</v>
      </c>
      <c r="T7" s="19">
        <f>M7-1.0078246+0.00055</f>
        <v>863.56547439999986</v>
      </c>
      <c r="U7" s="19">
        <f>M7+44.99767+0.00055</f>
        <v>909.57096899999988</v>
      </c>
      <c r="V7" s="19">
        <f>M7+59.01332+0.00055</f>
        <v>923.58661899999993</v>
      </c>
    </row>
    <row r="9" spans="1:26" x14ac:dyDescent="0.25">
      <c r="A9" s="17" t="s">
        <v>644</v>
      </c>
      <c r="B9" s="17" t="str">
        <f>IF(ISNUMBER(SEARCH("(",A9)),IF(ISNUMBER(SEARCH("/",A9)),CONCATENATE(MID(A9,1,2)," ",(SUM(MID(A9,FIND("(",A9)+1,FIND(":",A9)-FIND("(",A9)-1),MID(A9,FIND("/",A9)+1,FIND(":",A9,FIND("/",A9))-FIND("/",A9)-1))),":",SUM(MID(A9,FIND(":",A9)+1,FIND("/",A9)-FIND(":",A9)-1),MID(A9,FIND(":",A9,FIND("/",A9))+1,FIND(")",A9)-FIND(":",A9,FIND("/",A9))-1)),MID(A9,(FIND(")",A9)+1),100)),CONCATENATE(MID(A9,1,2)," ",(SUM(MID(A9,FIND("(",A9)+1,FIND(":",A9)-FIND("(",A9)-1),MID(A9,FIND("_",A9)+1,FIND(":",A9,FIND("_",A9))-FIND("_",A9)-1))),":",SUM(MID(A9,FIND(":",A9)+1,FIND("_",A9)-FIND(":",A9)-1),MID(A9,FIND(":",A9,FIND("_",A9))+1,FIND(")",A9)-FIND(":",A9,FIND("_",A9))-1)),MID(A9,(FIND(")",A9)+1),100))),A9)</f>
        <v>PI 38:1</v>
      </c>
      <c r="C9" s="1" t="str">
        <f>MID(B9,4,FIND(":",B9)-FIND(" ",B9)-1)</f>
        <v>38</v>
      </c>
      <c r="D9" s="1" t="str">
        <f>IF(ISNUMBER(SEARCH("__",B9)),MID(B9,FIND(":",B9)+1,FIND("__",B9)-FIND(":",B9)-1),MID(B9,FIND(":",B9)+1,7))</f>
        <v>1</v>
      </c>
      <c r="E9" s="17">
        <f t="shared" ref="E9" si="3">C9+9</f>
        <v>47</v>
      </c>
      <c r="F9" s="17">
        <f>2*E9-(2*D9)-3-((LEN(A9)-LEN(SUBSTITUTE(A9,"_O_","")))/LEN("_O_"))*2-((LEN(A9)-LEN(SUBSTITUTE(A9,"_CHO_","")))/LEN("_CHO_"))*2-((LEN(A9)-LEN(SUBSTITUTE(A9,"_COOH_","")))/LEN("_COOH_"))*2</f>
        <v>89</v>
      </c>
      <c r="G9" s="17">
        <f>13+((LEN(A9)-LEN(SUBSTITUTE(A9,"_OH_","")))/LEN("_OH_"))*1+((LEN(A9)-LEN(SUBSTITUTE(A9,"_OOH_","")))/LEN("_OOH_"))*2+((LEN(A9)-LEN(SUBSTITUTE(A9,"_O_","")))/LEN("_O_"))*1+((LEN(A9)-LEN(SUBSTITUTE(A9,"_CHO_","")))/LEN("_CHO_"))*1+((LEN(A9)-LEN(SUBSTITUTE(A9,"_COOH_","")))/LEN("_COOH_"))*2</f>
        <v>13</v>
      </c>
      <c r="H9" s="17">
        <v>1</v>
      </c>
      <c r="L9" s="19" t="str">
        <f>CONCATENATE("C",E9,"H",F9,"O",G9,"P",H9)</f>
        <v>C47H89O13P1</v>
      </c>
      <c r="M9" s="19">
        <f>(E9*12)+(F9*1.0078246)+(G9*15.994915)+(H9*30.973763)</f>
        <v>892.60404740000001</v>
      </c>
      <c r="N9" s="19">
        <f>M9+1.0078246-0.00055</f>
        <v>893.61132200000009</v>
      </c>
      <c r="O9" s="19">
        <f>N9-18.01057-0.00055</f>
        <v>875.60020200000008</v>
      </c>
      <c r="P9" s="19">
        <f>M9+18.03437-0.00055</f>
        <v>910.6378674</v>
      </c>
      <c r="Q9" s="19">
        <f>M9+22.98977-0.00055</f>
        <v>915.59326740000006</v>
      </c>
      <c r="R9" s="19">
        <f>M9+38.96371-0.00055</f>
        <v>931.56720740000003</v>
      </c>
      <c r="S9" s="19">
        <f>M9+7.01601-0.00055</f>
        <v>899.61950740000009</v>
      </c>
      <c r="T9" s="19">
        <f>M9-1.0078246+0.00055</f>
        <v>891.59677279999994</v>
      </c>
      <c r="U9" s="19">
        <f>M9+44.99767+0.00055</f>
        <v>937.60226739999996</v>
      </c>
      <c r="V9" s="19">
        <f>M9+59.01332+0.00055</f>
        <v>951.61791740000001</v>
      </c>
    </row>
    <row r="12" spans="1:26" x14ac:dyDescent="0.25">
      <c r="A12" s="17" t="s">
        <v>676</v>
      </c>
      <c r="B12" s="17" t="str">
        <f t="shared" ref="B12:B17" si="4">IF(ISNUMBER(SEARCH("(",A12)),IF(ISNUMBER(SEARCH("/",A12)),CONCATENATE(MID(A12,1,2)," ",(SUM(MID(A12,FIND("(",A12)+1,FIND(":",A12)-FIND("(",A12)-1),MID(A12,FIND("/",A12)+1,FIND(":",A12,FIND("/",A12))-FIND("/",A12)-1))),":",SUM(MID(A12,FIND(":",A12)+1,FIND("/",A12)-FIND(":",A12)-1),MID(A12,FIND(":",A12,FIND("/",A12))+1,FIND(")",A12)-FIND(":",A12,FIND("/",A12))-1)),MID(A12,(FIND(")",A12)+1),100)),CONCATENATE(MID(A12,1,2)," ",(SUM(MID(A12,FIND("(",A12)+1,FIND(":",A12)-FIND("(",A12)-1),MID(A12,FIND("_",A12)+1,FIND(":",A12,FIND("_",A12))-FIND("_",A12)-1))),":",SUM(MID(A12,FIND(":",A12)+1,FIND("_",A12)-FIND(":",A12)-1),MID(A12,FIND(":",A12,FIND("_",A12))+1,FIND(")",A12)-FIND(":",A12,FIND("_",A12))-1)),MID(A12,(FIND(")",A12)+1),100))),A12)</f>
        <v>PI 30:0</v>
      </c>
      <c r="C12" s="1" t="str">
        <f t="shared" ref="C12:C17" si="5">MID(B12,4,FIND(":",B12)-FIND(" ",B12)-1)</f>
        <v>30</v>
      </c>
      <c r="D12" s="1" t="str">
        <f t="shared" ref="D12:D17" si="6">IF(ISNUMBER(SEARCH("__",B12)),MID(B12,FIND(":",B12)+1,FIND("__",B12)-FIND(":",B12)-1),MID(B12,FIND(":",B12)+1,7))</f>
        <v>0</v>
      </c>
      <c r="E12" s="17">
        <f t="shared" ref="E12" si="7">C12+9</f>
        <v>39</v>
      </c>
      <c r="F12" s="17">
        <f t="shared" ref="F12:F17" si="8">2*E12-(2*D12)-3-((LEN(A12)-LEN(SUBSTITUTE(A12,"_O_","")))/LEN("_O_"))*2-((LEN(A12)-LEN(SUBSTITUTE(A12,"_CHO_","")))/LEN("_CHO_"))*2-((LEN(A12)-LEN(SUBSTITUTE(A12,"_COOH_","")))/LEN("_COOH_"))*2</f>
        <v>75</v>
      </c>
      <c r="G12" s="17">
        <f t="shared" ref="G12:G17" si="9">13+((LEN(A12)-LEN(SUBSTITUTE(A12,"_OH_","")))/LEN("_OH_"))*1+((LEN(A12)-LEN(SUBSTITUTE(A12,"_OOH_","")))/LEN("_OOH_"))*2+((LEN(A12)-LEN(SUBSTITUTE(A12,"_O_","")))/LEN("_O_"))*1+((LEN(A12)-LEN(SUBSTITUTE(A12,"_CHO_","")))/LEN("_CHO_"))*1+((LEN(A12)-LEN(SUBSTITUTE(A12,"_COOH_","")))/LEN("_COOH_"))*2</f>
        <v>13</v>
      </c>
      <c r="H12" s="17">
        <v>1</v>
      </c>
      <c r="L12" s="19" t="str">
        <f t="shared" ref="L12:L17" si="10">CONCATENATE("C",E12,"H",F12,"O",G12,"P",H12)</f>
        <v>C39H75O13P1</v>
      </c>
      <c r="M12" s="19">
        <f t="shared" ref="M12:M17" si="11">(E12*12)+(F12*1.0078246)+(G12*15.994915)+(H12*30.973763)</f>
        <v>782.49450300000001</v>
      </c>
      <c r="N12" s="19">
        <f t="shared" ref="N12:N17" si="12">M12+1.0078246-0.00055</f>
        <v>783.50177760000008</v>
      </c>
      <c r="O12" s="19">
        <f t="shared" ref="O12:O17" si="13">N12-18.01057-0.00055</f>
        <v>765.49065760000008</v>
      </c>
      <c r="P12" s="19">
        <f t="shared" ref="P12:P17" si="14">M12+18.03437-0.00055</f>
        <v>800.528323</v>
      </c>
      <c r="Q12" s="19">
        <f t="shared" ref="Q12:Q17" si="15">M12+22.98977-0.00055</f>
        <v>805.48372300000005</v>
      </c>
      <c r="R12" s="19">
        <f t="shared" ref="R12:R17" si="16">M12+38.96371-0.00055</f>
        <v>821.45766300000003</v>
      </c>
      <c r="S12" s="19">
        <f t="shared" ref="S12:S17" si="17">M12+7.01601-0.00055</f>
        <v>789.50996300000008</v>
      </c>
      <c r="T12" s="19">
        <f t="shared" ref="T12:T17" si="18">M12-1.0078246+0.00055</f>
        <v>781.48722839999994</v>
      </c>
      <c r="U12" s="19">
        <f t="shared" ref="U12:U17" si="19">M12+44.99767+0.00055</f>
        <v>827.49272299999996</v>
      </c>
      <c r="V12" s="19">
        <f t="shared" ref="V12:V17" si="20">M12+59.01332+0.00055</f>
        <v>841.50837300000001</v>
      </c>
      <c r="Z12" s="56"/>
    </row>
    <row r="13" spans="1:26" x14ac:dyDescent="0.25">
      <c r="A13" s="17" t="s">
        <v>677</v>
      </c>
      <c r="B13" s="17" t="str">
        <f t="shared" si="4"/>
        <v>PI 31:0</v>
      </c>
      <c r="C13" s="1" t="str">
        <f t="shared" si="5"/>
        <v>31</v>
      </c>
      <c r="D13" s="1" t="str">
        <f t="shared" si="6"/>
        <v>0</v>
      </c>
      <c r="E13" s="17">
        <f t="shared" ref="E13" si="21">C13+9</f>
        <v>40</v>
      </c>
      <c r="F13" s="17">
        <f t="shared" si="8"/>
        <v>77</v>
      </c>
      <c r="G13" s="17">
        <f t="shared" si="9"/>
        <v>13</v>
      </c>
      <c r="H13" s="17">
        <v>1</v>
      </c>
      <c r="L13" s="19" t="str">
        <f t="shared" si="10"/>
        <v>C40H77O13P1</v>
      </c>
      <c r="M13" s="19">
        <f t="shared" si="11"/>
        <v>796.51015219999999</v>
      </c>
      <c r="N13" s="19">
        <f t="shared" si="12"/>
        <v>797.51742680000007</v>
      </c>
      <c r="O13" s="19">
        <f t="shared" si="13"/>
        <v>779.50630680000006</v>
      </c>
      <c r="P13" s="19">
        <f t="shared" si="14"/>
        <v>814.54397219999998</v>
      </c>
      <c r="Q13" s="19">
        <f t="shared" si="15"/>
        <v>819.49937220000004</v>
      </c>
      <c r="R13" s="19">
        <f t="shared" si="16"/>
        <v>835.47331220000001</v>
      </c>
      <c r="S13" s="19">
        <f t="shared" si="17"/>
        <v>803.52561220000007</v>
      </c>
      <c r="T13" s="19">
        <f t="shared" si="18"/>
        <v>795.50287759999992</v>
      </c>
      <c r="U13" s="19">
        <f t="shared" si="19"/>
        <v>841.50837219999994</v>
      </c>
      <c r="V13" s="19">
        <f t="shared" si="20"/>
        <v>855.52402219999999</v>
      </c>
      <c r="Z13" s="56"/>
    </row>
    <row r="14" spans="1:26" x14ac:dyDescent="0.25">
      <c r="A14" s="17" t="s">
        <v>110</v>
      </c>
      <c r="B14" s="17" t="str">
        <f t="shared" si="4"/>
        <v>PI 32:0</v>
      </c>
      <c r="C14" s="1" t="str">
        <f t="shared" si="5"/>
        <v>32</v>
      </c>
      <c r="D14" s="1" t="str">
        <f t="shared" si="6"/>
        <v>0</v>
      </c>
      <c r="E14" s="17">
        <f t="shared" ref="E14:E17" si="22">C14+9</f>
        <v>41</v>
      </c>
      <c r="F14" s="17">
        <f t="shared" si="8"/>
        <v>79</v>
      </c>
      <c r="G14" s="17">
        <f t="shared" si="9"/>
        <v>13</v>
      </c>
      <c r="H14" s="17">
        <v>1</v>
      </c>
      <c r="L14" s="19" t="str">
        <f t="shared" si="10"/>
        <v>C41H79O13P1</v>
      </c>
      <c r="M14" s="19">
        <f t="shared" si="11"/>
        <v>810.52580139999998</v>
      </c>
      <c r="N14" s="19">
        <f t="shared" si="12"/>
        <v>811.53307600000005</v>
      </c>
      <c r="O14" s="19">
        <f t="shared" si="13"/>
        <v>793.52195600000005</v>
      </c>
      <c r="P14" s="19">
        <f t="shared" si="14"/>
        <v>828.55962139999997</v>
      </c>
      <c r="Q14" s="19">
        <f t="shared" si="15"/>
        <v>833.51502140000002</v>
      </c>
      <c r="R14" s="19">
        <f t="shared" si="16"/>
        <v>849.48896139999999</v>
      </c>
      <c r="S14" s="19">
        <f t="shared" si="17"/>
        <v>817.54126140000005</v>
      </c>
      <c r="T14" s="19">
        <f t="shared" si="18"/>
        <v>809.5185267999999</v>
      </c>
      <c r="U14" s="19">
        <f t="shared" si="19"/>
        <v>855.52402139999992</v>
      </c>
      <c r="V14" s="19">
        <f t="shared" si="20"/>
        <v>869.53967139999997</v>
      </c>
      <c r="Z14" s="56"/>
    </row>
    <row r="15" spans="1:26" x14ac:dyDescent="0.25">
      <c r="A15" s="17" t="s">
        <v>678</v>
      </c>
      <c r="B15" s="17" t="str">
        <f t="shared" si="4"/>
        <v>PI 33:0</v>
      </c>
      <c r="C15" s="1" t="str">
        <f t="shared" si="5"/>
        <v>33</v>
      </c>
      <c r="D15" s="1" t="str">
        <f t="shared" si="6"/>
        <v>0</v>
      </c>
      <c r="E15" s="17">
        <f t="shared" si="22"/>
        <v>42</v>
      </c>
      <c r="F15" s="17">
        <f t="shared" si="8"/>
        <v>81</v>
      </c>
      <c r="G15" s="17">
        <f t="shared" si="9"/>
        <v>13</v>
      </c>
      <c r="H15" s="17">
        <v>1</v>
      </c>
      <c r="L15" s="19" t="str">
        <f t="shared" si="10"/>
        <v>C42H81O13P1</v>
      </c>
      <c r="M15" s="19">
        <f t="shared" si="11"/>
        <v>824.54145059999996</v>
      </c>
      <c r="N15" s="19">
        <f t="shared" si="12"/>
        <v>825.54872520000004</v>
      </c>
      <c r="O15" s="19">
        <f t="shared" si="13"/>
        <v>807.53760520000003</v>
      </c>
      <c r="P15" s="19">
        <f t="shared" si="14"/>
        <v>842.57527059999995</v>
      </c>
      <c r="Q15" s="19">
        <f t="shared" si="15"/>
        <v>847.53067060000001</v>
      </c>
      <c r="R15" s="19">
        <f t="shared" si="16"/>
        <v>863.50461059999998</v>
      </c>
      <c r="S15" s="19">
        <f t="shared" si="17"/>
        <v>831.55691060000004</v>
      </c>
      <c r="T15" s="19">
        <f t="shared" si="18"/>
        <v>823.53417599999989</v>
      </c>
      <c r="U15" s="19">
        <f t="shared" si="19"/>
        <v>869.53967059999991</v>
      </c>
      <c r="V15" s="19">
        <f t="shared" si="20"/>
        <v>883.55532059999996</v>
      </c>
      <c r="Z15" s="56"/>
    </row>
    <row r="16" spans="1:26" x14ac:dyDescent="0.25">
      <c r="A16" s="17" t="s">
        <v>679</v>
      </c>
      <c r="B16" s="17" t="str">
        <f t="shared" si="4"/>
        <v>PI 34:0</v>
      </c>
      <c r="C16" s="1" t="str">
        <f t="shared" si="5"/>
        <v>34</v>
      </c>
      <c r="D16" s="1" t="str">
        <f t="shared" si="6"/>
        <v>0</v>
      </c>
      <c r="E16" s="17">
        <f t="shared" si="22"/>
        <v>43</v>
      </c>
      <c r="F16" s="17">
        <f t="shared" si="8"/>
        <v>83</v>
      </c>
      <c r="G16" s="17">
        <f t="shared" si="9"/>
        <v>13</v>
      </c>
      <c r="H16" s="17">
        <v>1</v>
      </c>
      <c r="L16" s="19" t="str">
        <f t="shared" si="10"/>
        <v>C43H83O13P1</v>
      </c>
      <c r="M16" s="19">
        <f t="shared" si="11"/>
        <v>838.55709979999995</v>
      </c>
      <c r="N16" s="19">
        <f t="shared" si="12"/>
        <v>839.56437440000002</v>
      </c>
      <c r="O16" s="19">
        <f t="shared" si="13"/>
        <v>821.55325440000001</v>
      </c>
      <c r="P16" s="19">
        <f t="shared" si="14"/>
        <v>856.59091979999994</v>
      </c>
      <c r="Q16" s="19">
        <f t="shared" si="15"/>
        <v>861.54631979999999</v>
      </c>
      <c r="R16" s="19">
        <f t="shared" si="16"/>
        <v>877.52025979999996</v>
      </c>
      <c r="S16" s="19">
        <f t="shared" si="17"/>
        <v>845.57255980000002</v>
      </c>
      <c r="T16" s="19">
        <f t="shared" si="18"/>
        <v>837.54982519999987</v>
      </c>
      <c r="U16" s="19">
        <f t="shared" si="19"/>
        <v>883.55531979999989</v>
      </c>
      <c r="V16" s="19">
        <f t="shared" si="20"/>
        <v>897.57096979999994</v>
      </c>
      <c r="Z16" s="56"/>
    </row>
    <row r="17" spans="1:26" x14ac:dyDescent="0.25">
      <c r="A17" s="17" t="s">
        <v>680</v>
      </c>
      <c r="B17" s="17" t="str">
        <f t="shared" si="4"/>
        <v>PI 35:0</v>
      </c>
      <c r="C17" s="1" t="str">
        <f t="shared" si="5"/>
        <v>35</v>
      </c>
      <c r="D17" s="1" t="str">
        <f t="shared" si="6"/>
        <v>0</v>
      </c>
      <c r="E17" s="17">
        <f t="shared" si="22"/>
        <v>44</v>
      </c>
      <c r="F17" s="17">
        <f t="shared" si="8"/>
        <v>85</v>
      </c>
      <c r="G17" s="17">
        <f t="shared" si="9"/>
        <v>13</v>
      </c>
      <c r="H17" s="17">
        <v>1</v>
      </c>
      <c r="L17" s="19" t="str">
        <f t="shared" si="10"/>
        <v>C44H85O13P1</v>
      </c>
      <c r="M17" s="19">
        <f t="shared" si="11"/>
        <v>852.57274899999993</v>
      </c>
      <c r="N17" s="19">
        <f t="shared" si="12"/>
        <v>853.5800236</v>
      </c>
      <c r="O17" s="19">
        <f t="shared" si="13"/>
        <v>835.5689036</v>
      </c>
      <c r="P17" s="19">
        <f t="shared" si="14"/>
        <v>870.60656899999992</v>
      </c>
      <c r="Q17" s="19">
        <f t="shared" si="15"/>
        <v>875.56196899999998</v>
      </c>
      <c r="R17" s="19">
        <f t="shared" si="16"/>
        <v>891.53590899999995</v>
      </c>
      <c r="S17" s="19">
        <f t="shared" si="17"/>
        <v>859.58820900000001</v>
      </c>
      <c r="T17" s="19">
        <f t="shared" si="18"/>
        <v>851.56547439999986</v>
      </c>
      <c r="U17" s="19">
        <f t="shared" si="19"/>
        <v>897.57096899999988</v>
      </c>
      <c r="V17" s="19">
        <f t="shared" si="20"/>
        <v>911.58661899999993</v>
      </c>
      <c r="Z17" s="56"/>
    </row>
  </sheetData>
  <sortState xmlns:xlrd2="http://schemas.microsoft.com/office/spreadsheetml/2017/richdata2" ref="A39:R43">
    <sortCondition ref="A39:A4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9"/>
  <dimension ref="A1:X8"/>
  <sheetViews>
    <sheetView showGridLines="0" showRowColHeaders="0" zoomScaleNormal="100" workbookViewId="0">
      <pane xSplit="11" ySplit="2" topLeftCell="M3" activePane="bottomRight" state="frozen"/>
      <selection pane="topRight"/>
      <selection pane="bottomLeft"/>
      <selection pane="bottomRight" activeCell="A9" sqref="A9"/>
    </sheetView>
  </sheetViews>
  <sheetFormatPr defaultColWidth="9.140625" defaultRowHeight="15.75" x14ac:dyDescent="0.25"/>
  <cols>
    <col min="1" max="1" width="48.7109375" style="17" customWidth="1"/>
    <col min="2" max="2" width="19.42578125" style="17" hidden="1" customWidth="1"/>
    <col min="3" max="3" width="3.85546875" style="17" hidden="1" customWidth="1"/>
    <col min="4" max="4" width="2.5703125" style="17" hidden="1" customWidth="1"/>
    <col min="5" max="6" width="10.85546875" style="17" hidden="1" customWidth="1"/>
    <col min="7" max="9" width="9.5703125" style="17" hidden="1" customWidth="1"/>
    <col min="10" max="11" width="9.140625" style="17" hidden="1" customWidth="1"/>
    <col min="12" max="12" width="20.7109375" style="19" customWidth="1"/>
    <col min="13" max="22" width="16.7109375" style="19" customWidth="1"/>
    <col min="23" max="23" width="14.42578125" style="17" bestFit="1" customWidth="1"/>
    <col min="24" max="24" width="15.42578125" style="17" bestFit="1" customWidth="1"/>
  </cols>
  <sheetData>
    <row r="1" spans="1:24" s="28" customFormat="1" x14ac:dyDescent="0.25">
      <c r="A1" s="27" t="s">
        <v>74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</row>
    <row r="2" spans="1:24" hidden="1" x14ac:dyDescent="0.25">
      <c r="A2" s="17" t="s">
        <v>104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LPS 18:0</v>
      </c>
      <c r="C2" s="1" t="str">
        <f>MID(B2,5,FIND(":",B2)-FIND(" ",B2)-1)</f>
        <v>18</v>
      </c>
      <c r="D2" s="1" t="str">
        <f>IF(ISNUMBER(SEARCH("__",B2)),MID(B2,FIND(":",B2)+1,FIND("__",B2)-FIND(":",B2)-1),MID(B2,FIND(":",B2)+1,7))</f>
        <v>0</v>
      </c>
      <c r="E2" s="17">
        <f>C2+6</f>
        <v>24</v>
      </c>
      <c r="F2" s="17">
        <f>2*E2-(2*D2)-((LEN(A2)-LEN(SUBSTITUTE(A2,"_O_","")))/LEN("_O_"))*2-((LEN(A2)-LEN(SUBSTITUTE(A2,"_CHO_","")))/LEN("_CHO_"))*2-((LEN(A2)-LEN(SUBSTITUTE(A2,"_COOH_","")))/LEN("_COOH_"))*2</f>
        <v>48</v>
      </c>
      <c r="G2" s="17">
        <v>1</v>
      </c>
      <c r="H2" s="17">
        <f>9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9</v>
      </c>
      <c r="I2" s="17">
        <v>1</v>
      </c>
      <c r="L2" s="19" t="str">
        <f t="shared" ref="L2" si="0">CONCATENATE("C",E2,"H",F2,"N",G2,"O",H2,"P",I2)</f>
        <v>C24H48N1O9P1</v>
      </c>
      <c r="M2" s="19">
        <f t="shared" ref="M2" si="1">(E2*12)+(F2*1.0078246)+(G2*14.003074)+(H2*15.994915)+(I2*30.973763)</f>
        <v>525.30665279999994</v>
      </c>
      <c r="N2" s="19">
        <f>M2+1.0078246-0.00055</f>
        <v>526.31392740000001</v>
      </c>
      <c r="O2" s="19">
        <f>N2-18.01057-0.00055</f>
        <v>508.30280740000001</v>
      </c>
      <c r="P2" s="19">
        <f>M2+18.03437-0.00055</f>
        <v>543.34047279999993</v>
      </c>
      <c r="Q2" s="19">
        <f>M2+22.98977-0.00055</f>
        <v>548.29587279999998</v>
      </c>
      <c r="R2" s="19">
        <f>M2+38.96371-0.00055</f>
        <v>564.26981279999995</v>
      </c>
      <c r="S2" s="19">
        <f>M2+7.01601-0.00055</f>
        <v>532.32211280000001</v>
      </c>
      <c r="T2" s="19">
        <f>M2-1.0078246+0.00055</f>
        <v>524.29937819999986</v>
      </c>
      <c r="U2" s="19">
        <f>M2+44.99767+0.00055</f>
        <v>570.30487279999988</v>
      </c>
      <c r="V2" s="19">
        <f>M2+59.01332+0.00055</f>
        <v>584.32052279999994</v>
      </c>
    </row>
    <row r="3" spans="1:24" x14ac:dyDescent="0.25">
      <c r="A3" s="17" t="s">
        <v>105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LPS 18:1</v>
      </c>
      <c r="C3" s="1" t="str">
        <f>MID(B3,5,FIND(":",B3)-FIND(" ",B3)-1)</f>
        <v>18</v>
      </c>
      <c r="D3" s="1" t="str">
        <f>IF(ISNUMBER(SEARCH("__",B3)),MID(B3,FIND(":",B3)+1,FIND("__",B3)-FIND(":",B3)-1),MID(B3,FIND(":",B3)+1,7))</f>
        <v>1</v>
      </c>
      <c r="E3" s="17">
        <f>C3+6</f>
        <v>24</v>
      </c>
      <c r="F3" s="17">
        <f>2*E3-(2*D3)-((LEN(A3)-LEN(SUBSTITUTE(A3,"_O_","")))/LEN("_O_"))*2-((LEN(A3)-LEN(SUBSTITUTE(A3,"_CHO_","")))/LEN("_CHO_"))*2-((LEN(A3)-LEN(SUBSTITUTE(A3,"_COOH_","")))/LEN("_COOH_"))*2</f>
        <v>46</v>
      </c>
      <c r="G3" s="17">
        <v>1</v>
      </c>
      <c r="H3" s="17">
        <f>9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9</v>
      </c>
      <c r="I3" s="17">
        <v>1</v>
      </c>
      <c r="L3" s="19" t="str">
        <f t="shared" ref="L3" si="2">CONCATENATE("C",E3,"H",F3,"N",G3,"O",H3,"P",I3)</f>
        <v>C24H46N1O9P1</v>
      </c>
      <c r="M3" s="19">
        <f t="shared" ref="M3" si="3">(E3*12)+(F3*1.0078246)+(G3*14.003074)+(H3*15.994915)+(I3*30.973763)</f>
        <v>523.29100359999995</v>
      </c>
      <c r="N3" s="19">
        <f>M3+1.0078246-0.00055</f>
        <v>524.29827820000003</v>
      </c>
      <c r="O3" s="19">
        <f>N3-18.01057-0.00055</f>
        <v>506.28715820000002</v>
      </c>
      <c r="P3" s="19">
        <f>M3+18.03437-0.00055</f>
        <v>541.32482359999995</v>
      </c>
      <c r="Q3" s="19">
        <f>M3+22.98977-0.00055</f>
        <v>546.2802236</v>
      </c>
      <c r="R3" s="19">
        <f>M3+38.96371-0.00055</f>
        <v>562.25416359999997</v>
      </c>
      <c r="S3" s="19">
        <f>M3+7.01601-0.00055</f>
        <v>530.30646360000003</v>
      </c>
      <c r="T3" s="19">
        <f>M3-1.0078246+0.00055</f>
        <v>522.28372899999988</v>
      </c>
      <c r="U3" s="19">
        <f>M3+44.99767+0.00055</f>
        <v>568.2892235999999</v>
      </c>
      <c r="V3" s="19">
        <f>M3+59.01332+0.00055</f>
        <v>582.30487359999995</v>
      </c>
    </row>
    <row r="8" spans="1:24" x14ac:dyDescent="0.25">
      <c r="A8" s="17" t="s">
        <v>649</v>
      </c>
      <c r="B8" s="17" t="str">
        <f>IF(ISNUMBER(SEARCH("(",A8)),IF(ISNUMBER(SEARCH("/",A8)),CONCATENATE(MID(A8,1,2)," ",(SUM(MID(A8,FIND("(",A8)+1,FIND(":",A8)-FIND("(",A8)-1),MID(A8,FIND("/",A8)+1,FIND(":",A8,FIND("/",A8))-FIND("/",A8)-1))),":",SUM(MID(A8,FIND(":",A8)+1,FIND("/",A8)-FIND(":",A8)-1),MID(A8,FIND(":",A8,FIND("/",A8))+1,FIND(")",A8)-FIND(":",A8,FIND("/",A8))-1)),MID(A8,(FIND(")",A8)+1),100)),CONCATENATE(MID(A8,1,2)," ",(SUM(MID(A8,FIND("(",A8)+1,FIND(":",A8)-FIND("(",A8)-1),MID(A8,FIND("_",A8)+1,FIND(":",A8,FIND("_",A8))-FIND("_",A8)-1))),":",SUM(MID(A8,FIND(":",A8)+1,FIND("_",A8)-FIND(":",A8)-1),MID(A8,FIND(":",A8,FIND("_",A8))+1,FIND(")",A8)-FIND(":",A8,FIND("_",A8))-1)),MID(A8,(FIND(")",A8)+1),100))),A8)</f>
        <v>LPS 14:0</v>
      </c>
      <c r="C8" s="1" t="str">
        <f>MID(B8,5,FIND(":",B8)-FIND(" ",B8)-1)</f>
        <v>14</v>
      </c>
      <c r="D8" s="1" t="str">
        <f>IF(ISNUMBER(SEARCH("__",B8)),MID(B8,FIND(":",B8)+1,FIND("__",B8)-FIND(":",B8)-1),MID(B8,FIND(":",B8)+1,7))</f>
        <v>0</v>
      </c>
      <c r="E8" s="17">
        <f>C8+6</f>
        <v>20</v>
      </c>
      <c r="F8" s="17">
        <f>2*E8-(2*D8)-((LEN(A8)-LEN(SUBSTITUTE(A8,"_O_","")))/LEN("_O_"))*2-((LEN(A8)-LEN(SUBSTITUTE(A8,"_CHO_","")))/LEN("_CHO_"))*2-((LEN(A8)-LEN(SUBSTITUTE(A8,"_COOH_","")))/LEN("_COOH_"))*2</f>
        <v>40</v>
      </c>
      <c r="G8" s="17">
        <v>1</v>
      </c>
      <c r="H8" s="17">
        <f>9+((LEN(A8)-LEN(SUBSTITUTE(A8,"_OH_","")))/LEN("_OH_"))*1+((LEN(A8)-LEN(SUBSTITUTE(A8,"_OOH_","")))/LEN("_OOH_"))*2+((LEN(A8)-LEN(SUBSTITUTE(A8,"_O_","")))/LEN("_O_"))*1+((LEN(A8)-LEN(SUBSTITUTE(A8,"_CHO_","")))/LEN("_CHO_"))*1+((LEN(A8)-LEN(SUBSTITUTE(A8,"_COOH_","")))/LEN("_COOH_"))*2</f>
        <v>9</v>
      </c>
      <c r="I8" s="17">
        <v>1</v>
      </c>
      <c r="L8" s="19" t="str">
        <f t="shared" ref="L8" si="4">CONCATENATE("C",E8,"H",F8,"N",G8,"O",H8,"P",I8)</f>
        <v>C20H40N1O9P1</v>
      </c>
      <c r="M8" s="19">
        <f t="shared" ref="M8" si="5">(E8*12)+(F8*1.0078246)+(G8*14.003074)+(H8*15.994915)+(I8*30.973763)</f>
        <v>469.24405600000006</v>
      </c>
      <c r="N8" s="19">
        <f>M8+1.0078246-0.00055</f>
        <v>470.25133060000007</v>
      </c>
      <c r="O8" s="19">
        <f>N8-18.01057-0.00055</f>
        <v>452.24021060000007</v>
      </c>
      <c r="P8" s="19">
        <f>M8+18.03437-0.00055</f>
        <v>487.27787600000011</v>
      </c>
      <c r="Q8" s="19">
        <f>M8+22.98977-0.00055</f>
        <v>492.2332760000001</v>
      </c>
      <c r="R8" s="19">
        <f>M8+38.96371-0.00055</f>
        <v>508.20721600000007</v>
      </c>
      <c r="S8" s="19">
        <f>M8+7.01601-0.00055</f>
        <v>476.25951600000008</v>
      </c>
      <c r="T8" s="19">
        <f>M8-1.0078246+0.00055</f>
        <v>468.23678140000004</v>
      </c>
      <c r="U8" s="19">
        <f>M8+44.99767+0.00055</f>
        <v>514.24227600000006</v>
      </c>
      <c r="V8" s="19">
        <f>M8+59.01332+0.00055</f>
        <v>528.257926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8"/>
  <dimension ref="A1:X7"/>
  <sheetViews>
    <sheetView showGridLines="0" showRowColHeaders="0" zoomScaleNormal="100" workbookViewId="0">
      <pane xSplit="1" ySplit="2" topLeftCell="B3" activePane="bottomRight" state="frozen"/>
      <selection pane="topRight"/>
      <selection pane="bottomLeft"/>
      <selection pane="bottomRight" activeCell="N7" sqref="N7"/>
    </sheetView>
  </sheetViews>
  <sheetFormatPr defaultColWidth="9.140625" defaultRowHeight="15.75" x14ac:dyDescent="0.25"/>
  <cols>
    <col min="1" max="1" width="48.7109375" style="17" customWidth="1"/>
    <col min="2" max="2" width="32.7109375" style="17" customWidth="1"/>
    <col min="3" max="4" width="3.85546875" style="17" hidden="1" customWidth="1"/>
    <col min="5" max="6" width="10.85546875" style="17" hidden="1" customWidth="1"/>
    <col min="7" max="7" width="9.5703125" style="17" hidden="1" customWidth="1"/>
    <col min="8" max="8" width="10.85546875" style="17" hidden="1" customWidth="1"/>
    <col min="9" max="9" width="9.5703125" style="17" hidden="1" customWidth="1"/>
    <col min="10" max="11" width="9.140625" style="17" hidden="1" customWidth="1"/>
    <col min="12" max="12" width="20.7109375" style="19" customWidth="1"/>
    <col min="13" max="22" width="16.7109375" style="19" customWidth="1"/>
    <col min="23" max="23" width="14.42578125" style="17" bestFit="1" customWidth="1"/>
    <col min="24" max="24" width="15.42578125" style="17" bestFit="1" customWidth="1"/>
  </cols>
  <sheetData>
    <row r="1" spans="1:24" s="28" customFormat="1" x14ac:dyDescent="0.25">
      <c r="A1" s="27" t="s">
        <v>74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</row>
    <row r="2" spans="1:24" hidden="1" x14ac:dyDescent="0.25">
      <c r="A2" s="17" t="s">
        <v>112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PS 32:1</v>
      </c>
      <c r="C2" s="1" t="str">
        <f>MID(B2,4,FIND(":",B2)-FIND(" ",B2)-1)</f>
        <v>32</v>
      </c>
      <c r="D2" s="1" t="str">
        <f>IF(ISNUMBER(SEARCH("__",B2)),MID(B2,FIND(":",B2)+1,FIND("__",B2)-FIND(":",B2)-1),MID(B2,FIND(":",B2)+1,7))</f>
        <v>1</v>
      </c>
      <c r="E2" s="17">
        <f t="shared" ref="E2" si="0">C2+6</f>
        <v>38</v>
      </c>
      <c r="F2" s="17">
        <f>2*E2-(2*D2)-2-((LEN(A2)-LEN(SUBSTITUTE(A2,"_O_","")))/LEN("_O_"))*2-((LEN(A2)-LEN(SUBSTITUTE(A2,"_CHO_","")))/LEN("_CHO_"))*2-((LEN(A2)-LEN(SUBSTITUTE(A2,"_COOH_","")))/LEN("_COOH_"))*2</f>
        <v>72</v>
      </c>
      <c r="G2" s="17">
        <v>1</v>
      </c>
      <c r="H2" s="17">
        <f>10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10</v>
      </c>
      <c r="I2" s="17">
        <v>1</v>
      </c>
      <c r="L2" s="19" t="str">
        <f t="shared" ref="L2" si="1">CONCATENATE("C",E2,"H",F2,"N",G2,"O",H2,"P",I2)</f>
        <v>C38H72N1O10P1</v>
      </c>
      <c r="M2" s="19">
        <f t="shared" ref="M2" si="2">(E2*12)+(F2*1.0078246)+(G2*14.003074)+(H2*15.994915)+(I2*30.973763)</f>
        <v>733.48935819999997</v>
      </c>
      <c r="N2" s="19">
        <f>M2+1.0078246-0.00055</f>
        <v>734.49663280000004</v>
      </c>
      <c r="O2" s="19">
        <f>N2-18.01057-0.00055</f>
        <v>716.48551280000004</v>
      </c>
      <c r="P2" s="19">
        <f>M2+18.03437-0.00055</f>
        <v>751.52317819999996</v>
      </c>
      <c r="Q2" s="19">
        <f>M2+22.98977-0.00055</f>
        <v>756.47857820000002</v>
      </c>
      <c r="R2" s="19">
        <f>M2+38.96371-0.00055</f>
        <v>772.45251819999999</v>
      </c>
      <c r="S2" s="19">
        <f>M2+7.01601-0.00055</f>
        <v>740.50481820000005</v>
      </c>
      <c r="T2" s="19">
        <f>M2-1.0078246+0.00055</f>
        <v>732.4820835999999</v>
      </c>
      <c r="U2" s="19">
        <f>M2+44.99767+0.00055</f>
        <v>778.48757819999992</v>
      </c>
      <c r="V2" s="19">
        <f>M2+59.01332+0.00055</f>
        <v>792.50322819999997</v>
      </c>
    </row>
    <row r="3" spans="1:24" x14ac:dyDescent="0.25">
      <c r="A3" s="17" t="s">
        <v>126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PS 36:3</v>
      </c>
      <c r="C3" s="1" t="str">
        <f>MID(B3,4,FIND(":",B3)-FIND(" ",B3)-1)</f>
        <v>36</v>
      </c>
      <c r="D3" s="1" t="str">
        <f>IF(ISNUMBER(SEARCH("__",B3)),MID(B3,FIND(":",B3)+1,FIND("__",B3)-FIND(":",B3)-1),MID(B3,FIND(":",B3)+1,7))</f>
        <v>3</v>
      </c>
      <c r="E3" s="17">
        <f t="shared" ref="E3" si="3">C3+6</f>
        <v>42</v>
      </c>
      <c r="F3" s="17">
        <f>2*E3-(2*D3)-2-((LEN(A3)-LEN(SUBSTITUTE(A3,"_O_","")))/LEN("_O_"))*2-((LEN(A3)-LEN(SUBSTITUTE(A3,"_CHO_","")))/LEN("_CHO_"))*2-((LEN(A3)-LEN(SUBSTITUTE(A3,"_COOH_","")))/LEN("_COOH_"))*2</f>
        <v>76</v>
      </c>
      <c r="G3" s="17">
        <v>1</v>
      </c>
      <c r="H3" s="17">
        <f>10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10</v>
      </c>
      <c r="I3" s="17">
        <v>1</v>
      </c>
      <c r="L3" s="19" t="str">
        <f t="shared" ref="L3" si="4">CONCATENATE("C",E3,"H",F3,"N",G3,"O",H3,"P",I3)</f>
        <v>C42H76N1O10P1</v>
      </c>
      <c r="M3" s="19">
        <f t="shared" ref="M3" si="5">(E3*12)+(F3*1.0078246)+(G3*14.003074)+(H3*15.994915)+(I3*30.973763)</f>
        <v>785.52065659999994</v>
      </c>
      <c r="N3" s="19">
        <f>M3+1.0078246-0.00055</f>
        <v>786.52793120000001</v>
      </c>
      <c r="O3" s="19">
        <f>N3-18.01057-0.00055</f>
        <v>768.51681120000001</v>
      </c>
      <c r="P3" s="19">
        <f>M3+18.03437-0.00055</f>
        <v>803.55447659999993</v>
      </c>
      <c r="Q3" s="19">
        <f>M3+22.98977-0.00055</f>
        <v>808.50987659999998</v>
      </c>
      <c r="R3" s="19">
        <f>M3+38.96371-0.00055</f>
        <v>824.48381659999995</v>
      </c>
      <c r="S3" s="19">
        <f>M3+7.01601-0.00055</f>
        <v>792.53611660000001</v>
      </c>
      <c r="T3" s="19">
        <f>M3-1.0078246+0.00055</f>
        <v>784.51338199999987</v>
      </c>
      <c r="U3" s="19">
        <f>M3+44.99767+0.00055</f>
        <v>830.51887659999989</v>
      </c>
      <c r="V3" s="19">
        <f>M3+59.01332+0.00055</f>
        <v>844.53452659999994</v>
      </c>
    </row>
    <row r="4" spans="1:24" x14ac:dyDescent="0.25">
      <c r="A4" s="17" t="s">
        <v>118</v>
      </c>
      <c r="B4" s="17" t="str">
        <f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PS 34:3</v>
      </c>
      <c r="C4" s="1" t="str">
        <f>MID(B4,4,FIND(":",B4)-FIND(" ",B4)-1)</f>
        <v>34</v>
      </c>
      <c r="D4" s="1" t="str">
        <f>IF(ISNUMBER(SEARCH("__",B4)),MID(B4,FIND(":",B4)+1,FIND("__",B4)-FIND(":",B4)-1),MID(B4,FIND(":",B4)+1,7))</f>
        <v>3</v>
      </c>
      <c r="E4" s="17">
        <f t="shared" ref="E4" si="6">C4+6</f>
        <v>40</v>
      </c>
      <c r="F4" s="17">
        <f>2*E4-(2*D4)-2-((LEN(A4)-LEN(SUBSTITUTE(A4,"_O_","")))/LEN("_O_"))*2-((LEN(A4)-LEN(SUBSTITUTE(A4,"_CHO_","")))/LEN("_CHO_"))*2-((LEN(A4)-LEN(SUBSTITUTE(A4,"_COOH_","")))/LEN("_COOH_"))*2</f>
        <v>72</v>
      </c>
      <c r="G4" s="17">
        <v>1</v>
      </c>
      <c r="H4" s="17">
        <f>10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10</v>
      </c>
      <c r="I4" s="17">
        <v>1</v>
      </c>
      <c r="L4" s="19" t="str">
        <f t="shared" ref="L4" si="7">CONCATENATE("C",E4,"H",F4,"N",G4,"O",H4,"P",I4)</f>
        <v>C40H72N1O10P1</v>
      </c>
      <c r="M4" s="19">
        <f t="shared" ref="M4" si="8">(E4*12)+(F4*1.0078246)+(G4*14.003074)+(H4*15.994915)+(I4*30.973763)</f>
        <v>757.48935819999997</v>
      </c>
      <c r="N4" s="19">
        <f>M4+1.0078246-0.00055</f>
        <v>758.49663280000004</v>
      </c>
      <c r="O4" s="19">
        <f>N4-18.01057-0.00055</f>
        <v>740.48551280000004</v>
      </c>
      <c r="P4" s="19">
        <f>M4+18.03437-0.00055</f>
        <v>775.52317819999996</v>
      </c>
      <c r="Q4" s="19">
        <f>M4+22.98977-0.00055</f>
        <v>780.47857820000002</v>
      </c>
      <c r="R4" s="19">
        <f>M4+38.96371-0.00055</f>
        <v>796.45251819999999</v>
      </c>
      <c r="S4" s="19">
        <f>M4+7.01601-0.00055</f>
        <v>764.50481820000005</v>
      </c>
      <c r="T4" s="19">
        <f>M4-1.0078246+0.00055</f>
        <v>756.4820835999999</v>
      </c>
      <c r="U4" s="19">
        <f>M4+44.99767+0.00055</f>
        <v>802.48757819999992</v>
      </c>
      <c r="V4" s="19">
        <f>M4+59.01332+0.00055</f>
        <v>816.50322819999997</v>
      </c>
    </row>
    <row r="6" spans="1:24" x14ac:dyDescent="0.25">
      <c r="A6" s="17" t="s">
        <v>467</v>
      </c>
      <c r="B6" s="17" t="str">
        <f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PS 24:0</v>
      </c>
      <c r="C6" s="1" t="str">
        <f>MID(B6,4,FIND(":",B6)-FIND(" ",B6)-1)</f>
        <v>24</v>
      </c>
      <c r="D6" s="1" t="str">
        <f>IF(ISNUMBER(SEARCH("__",B6)),MID(B6,FIND(":",B6)+1,FIND("__",B6)-FIND(":",B6)-1),MID(B6,FIND(":",B6)+1,7))</f>
        <v>0</v>
      </c>
      <c r="E6" s="17">
        <f t="shared" ref="E6:E7" si="9">C6+6</f>
        <v>30</v>
      </c>
      <c r="F6" s="17">
        <f>2*E6-(2*D6)-2-((LEN(A6)-LEN(SUBSTITUTE(A6,"_O_","")))/LEN("_O_"))*2-((LEN(A6)-LEN(SUBSTITUTE(A6,"_CHO_","")))/LEN("_CHO_"))*2-((LEN(A6)-LEN(SUBSTITUTE(A6,"_COOH_","")))/LEN("_COOH_"))*2</f>
        <v>58</v>
      </c>
      <c r="G6" s="17">
        <v>1</v>
      </c>
      <c r="H6" s="17">
        <f>10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10</v>
      </c>
      <c r="I6" s="17">
        <v>1</v>
      </c>
      <c r="L6" s="19" t="str">
        <f t="shared" ref="L6:L7" si="10">CONCATENATE("C",E6,"H",F6,"N",G6,"O",H6,"P",I6)</f>
        <v>C30H58N1O10P1</v>
      </c>
      <c r="M6" s="19">
        <f t="shared" ref="M6:M7" si="11">(E6*12)+(F6*1.0078246)+(G6*14.003074)+(H6*15.994915)+(I6*30.973763)</f>
        <v>623.37981379999997</v>
      </c>
      <c r="N6" s="19">
        <f>M6+1.0078246-0.00055</f>
        <v>624.38708840000004</v>
      </c>
      <c r="O6" s="19">
        <f>N6-18.01057-0.00055</f>
        <v>606.37596840000003</v>
      </c>
      <c r="P6" s="19">
        <f>M6+18.03437-0.00055</f>
        <v>641.41363379999996</v>
      </c>
      <c r="Q6" s="19">
        <f>M6+22.98977-0.00055</f>
        <v>646.36903380000001</v>
      </c>
      <c r="R6" s="19">
        <f>M6+38.96371-0.00055</f>
        <v>662.34297379999998</v>
      </c>
      <c r="S6" s="19">
        <f>M6+7.01601-0.00055</f>
        <v>630.39527380000004</v>
      </c>
      <c r="T6" s="19">
        <f>M6-1.0078246+0.00055</f>
        <v>622.37253919999989</v>
      </c>
      <c r="U6" s="19">
        <f>M6+44.99767+0.00055</f>
        <v>668.37803379999991</v>
      </c>
      <c r="V6" s="19">
        <f>M6+59.01332+0.00055</f>
        <v>682.39368379999996</v>
      </c>
    </row>
    <row r="7" spans="1:24" x14ac:dyDescent="0.25">
      <c r="A7" s="17" t="s">
        <v>670</v>
      </c>
      <c r="B7" s="17" t="str">
        <f>IF(ISNUMBER(SEARCH("(",A7)),IF(ISNUMBER(SEARCH("/",A7)),CONCATENATE(MID(A7,1,2)," ",(SUM(MID(A7,FIND("(",A7)+1,FIND(":",A7)-FIND("(",A7)-1),MID(A7,FIND("/",A7)+1,FIND(":",A7,FIND("/",A7))-FIND("/",A7)-1))),":",SUM(MID(A7,FIND(":",A7)+1,FIND("/",A7)-FIND(":",A7)-1),MID(A7,FIND(":",A7,FIND("/",A7))+1,FIND(")",A7)-FIND(":",A7,FIND("/",A7))-1)),MID(A7,(FIND(")",A7)+1),100)),CONCATENATE(MID(A7,1,2)," ",(SUM(MID(A7,FIND("(",A7)+1,FIND(":",A7)-FIND("(",A7)-1),MID(A7,FIND("_",A7)+1,FIND(":",A7,FIND("_",A7))-FIND("_",A7)-1))),":",SUM(MID(A7,FIND(":",A7)+1,FIND("_",A7)-FIND(":",A7)-1),MID(A7,FIND(":",A7,FIND("_",A7))+1,FIND(")",A7)-FIND(":",A7,FIND("_",A7))-1)),MID(A7,(FIND(")",A7)+1),100))),A7)</f>
        <v>PS 36:2</v>
      </c>
      <c r="C7" s="1" t="str">
        <f>MID(B7,4,FIND(":",B7)-FIND(" ",B7)-1)</f>
        <v>36</v>
      </c>
      <c r="D7" s="1" t="str">
        <f>IF(ISNUMBER(SEARCH("__",B7)),MID(B7,FIND(":",B7)+1,FIND("__",B7)-FIND(":",B7)-1),MID(B7,FIND(":",B7)+1,7))</f>
        <v>2</v>
      </c>
      <c r="E7" s="17">
        <f t="shared" si="9"/>
        <v>42</v>
      </c>
      <c r="F7" s="17">
        <f>2*E7-(2*D7)-2-((LEN(A7)-LEN(SUBSTITUTE(A7,"_O_","")))/LEN("_O_"))*2-((LEN(A7)-LEN(SUBSTITUTE(A7,"_CHO_","")))/LEN("_CHO_"))*2-((LEN(A7)-LEN(SUBSTITUTE(A7,"_COOH_","")))/LEN("_COOH_"))*2</f>
        <v>78</v>
      </c>
      <c r="G7" s="17">
        <v>1</v>
      </c>
      <c r="H7" s="17">
        <f>10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10</v>
      </c>
      <c r="I7" s="17">
        <v>1</v>
      </c>
      <c r="L7" s="19" t="str">
        <f t="shared" si="10"/>
        <v>C42H78N1O10P1</v>
      </c>
      <c r="M7" s="19">
        <f t="shared" si="11"/>
        <v>787.53630579999992</v>
      </c>
      <c r="N7" s="19">
        <f>M7+1.0078246-0.00055</f>
        <v>788.5435804</v>
      </c>
      <c r="O7" s="19">
        <f>N7-18.01057-0.00055</f>
        <v>770.53246039999999</v>
      </c>
      <c r="P7" s="19">
        <f>M7+18.03437-0.00055</f>
        <v>805.57012579999991</v>
      </c>
      <c r="Q7" s="19">
        <f>M7+22.98977-0.00055</f>
        <v>810.52552579999997</v>
      </c>
      <c r="R7" s="19">
        <f>M7+38.96371-0.00055</f>
        <v>826.49946579999994</v>
      </c>
      <c r="S7" s="19">
        <f>M7+7.01601-0.00055</f>
        <v>794.5517658</v>
      </c>
      <c r="T7" s="19">
        <f>M7-1.0078246+0.00055</f>
        <v>786.52903119999985</v>
      </c>
      <c r="U7" s="19">
        <f>M7+44.99767+0.00055</f>
        <v>832.53452579999987</v>
      </c>
      <c r="V7" s="19">
        <f>M7+59.01332+0.00055</f>
        <v>846.55017579999992</v>
      </c>
    </row>
  </sheetData>
  <sortState xmlns:xlrd2="http://schemas.microsoft.com/office/spreadsheetml/2017/richdata2" ref="A2:R27">
    <sortCondition ref="A2:A27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88C11-4099-4FE6-A26A-279431BB7D06}">
  <sheetPr codeName="Sheet37"/>
  <dimension ref="A1:X4"/>
  <sheetViews>
    <sheetView showGridLines="0" showRowColHeaders="0" workbookViewId="0">
      <pane xSplit="1" ySplit="2" topLeftCell="B3" activePane="bottomRight" state="frozen"/>
      <selection pane="topRight"/>
      <selection pane="bottomLeft"/>
      <selection pane="bottomRight" activeCell="P25" sqref="P25"/>
    </sheetView>
  </sheetViews>
  <sheetFormatPr defaultColWidth="9.140625" defaultRowHeight="15.75" x14ac:dyDescent="0.25"/>
  <cols>
    <col min="1" max="1" width="48.7109375" style="17" customWidth="1"/>
    <col min="2" max="2" width="32.7109375" style="17" customWidth="1"/>
    <col min="3" max="3" width="3.85546875" style="17" hidden="1" customWidth="1"/>
    <col min="4" max="4" width="2.5703125" style="17" hidden="1" customWidth="1"/>
    <col min="5" max="6" width="10.85546875" style="17" hidden="1" customWidth="1"/>
    <col min="7" max="9" width="9.5703125" style="17" hidden="1" customWidth="1"/>
    <col min="10" max="11" width="9.140625" style="17" hidden="1" customWidth="1"/>
    <col min="12" max="12" width="20.7109375" style="19" customWidth="1"/>
    <col min="13" max="22" width="16.7109375" style="19" customWidth="1"/>
    <col min="23" max="23" width="14.42578125" style="17" bestFit="1" customWidth="1"/>
    <col min="24" max="24" width="15.42578125" style="17" bestFit="1" customWidth="1"/>
    <col min="25" max="16384" width="9.140625" style="56"/>
  </cols>
  <sheetData>
    <row r="1" spans="1:24" s="28" customFormat="1" x14ac:dyDescent="0.25">
      <c r="A1" s="27" t="s">
        <v>74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</row>
    <row r="2" spans="1:24" hidden="1" x14ac:dyDescent="0.25">
      <c r="A2" s="17" t="s">
        <v>113</v>
      </c>
      <c r="B2" s="17" t="str">
        <f>IF(ISNUMBER(SEARCH("(",A2)),IF(ISNUMBER(SEARCH("/",A2)),CONCATENATE(MID(A2,1,3),"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2,1,3)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PMe 38:0</v>
      </c>
      <c r="C2" s="1" t="str">
        <f>MID(B2,5,FIND(":",B2)-FIND(" ",B2)-1)</f>
        <v>38</v>
      </c>
      <c r="D2" s="1" t="str">
        <f>IF(ISNUMBER(SEARCH("__",B2)),MID(B2,FIND(":",B2)+1,FIND("__",B2)-FIND(":",B2)-1),MID(B2,FIND(":",B2)+1,7))</f>
        <v>0</v>
      </c>
      <c r="E2" s="17">
        <f>C2+4</f>
        <v>42</v>
      </c>
      <c r="F2" s="17">
        <f>2*E2-(2*D2)-1-((LEN(A2)-LEN(SUBSTITUTE(A2,"_O_","")))/LEN("_O_"))*2-((LEN(A2)-LEN(SUBSTITUTE(A2,"_CHO_","")))/LEN("_CHO_"))*2-((LEN(A2)-LEN(SUBSTITUTE(A2,"_COOH_","")))/LEN("_COOH_"))*2</f>
        <v>83</v>
      </c>
      <c r="G2" s="17">
        <v>0</v>
      </c>
      <c r="H2" s="17">
        <f>8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8</v>
      </c>
      <c r="I2" s="17">
        <v>1</v>
      </c>
      <c r="L2" s="19" t="str">
        <f>CONCATENATE("C",E2,"H",F2,"O",H2,"P",I2)</f>
        <v>C42H83O8P1</v>
      </c>
      <c r="M2" s="19">
        <f>(E2*12)+(F2*1.0078246)+(G2*14.003074)+(H2*15.994915)+(I2*30.973763)</f>
        <v>746.58252479999999</v>
      </c>
      <c r="N2" s="19">
        <f>M2+1.0078246-0.00055</f>
        <v>747.58979940000006</v>
      </c>
      <c r="O2" s="19">
        <f>N2-18.01057-0.00055</f>
        <v>729.57867940000006</v>
      </c>
      <c r="P2" s="19">
        <f>M2+18.03437-0.00055</f>
        <v>764.61634479999998</v>
      </c>
      <c r="Q2" s="19">
        <f>M2+22.98977-0.00055</f>
        <v>769.57174480000003</v>
      </c>
      <c r="R2" s="19">
        <f>M2+38.96371-0.00055</f>
        <v>785.5456848</v>
      </c>
      <c r="S2" s="19">
        <f>M2+7.01601-0.00055</f>
        <v>753.59798480000006</v>
      </c>
      <c r="T2" s="19">
        <f>M2-1.0078246+0.00055</f>
        <v>745.57525019999991</v>
      </c>
      <c r="U2" s="19">
        <f>M2+44.99767+0.00055</f>
        <v>791.58074479999993</v>
      </c>
      <c r="V2" s="19">
        <f>M2+59.01332+0.00055</f>
        <v>805.59639479999998</v>
      </c>
    </row>
    <row r="3" spans="1:24" x14ac:dyDescent="0.25">
      <c r="A3" s="17" t="s">
        <v>15</v>
      </c>
      <c r="B3" s="17" t="str">
        <f>IF(ISNUMBER(SEARCH("(",A3)),IF(ISNUMBER(SEARCH("/",A3)),CONCATENATE(MID(A3,1,3),"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3,1,3)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PMe 34:1</v>
      </c>
      <c r="C3" s="1" t="str">
        <f>MID(B3,5,FIND(":",B3)-FIND(" ",B3)-1)</f>
        <v>34</v>
      </c>
      <c r="D3" s="1" t="str">
        <f>IF(ISNUMBER(SEARCH("__",B3)),MID(B3,FIND(":",B3)+1,FIND("__",B3)-FIND(":",B3)-1),MID(B3,FIND(":",B3)+1,7))</f>
        <v>1</v>
      </c>
      <c r="E3" s="17">
        <f>C3+4</f>
        <v>38</v>
      </c>
      <c r="F3" s="17">
        <f>2*E3-(2*D3)-1-((LEN(A3)-LEN(SUBSTITUTE(A3,"_O_","")))/LEN("_O_"))*2-((LEN(A3)-LEN(SUBSTITUTE(A3,"_CHO_","")))/LEN("_CHO_"))*2-((LEN(A3)-LEN(SUBSTITUTE(A3,"_COOH_","")))/LEN("_COOH_"))*2</f>
        <v>73</v>
      </c>
      <c r="G3" s="17">
        <v>0</v>
      </c>
      <c r="H3" s="17">
        <f>8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8</v>
      </c>
      <c r="I3" s="17">
        <v>1</v>
      </c>
      <c r="L3" s="19" t="str">
        <f>CONCATENATE("C",E3,"H",F3,"O",H3,"P",I3)</f>
        <v>C38H73O8P1</v>
      </c>
      <c r="M3" s="19">
        <f>(E3*12)+(F3*1.0078246)+(G3*14.003074)+(H3*15.994915)+(I3*30.973763)</f>
        <v>688.50427879999995</v>
      </c>
      <c r="N3" s="19">
        <f>M3+1.0078246-0.00055</f>
        <v>689.51155340000003</v>
      </c>
      <c r="O3" s="19">
        <f>N3-18.01057-0.00055</f>
        <v>671.50043340000002</v>
      </c>
      <c r="P3" s="19">
        <f>M3+18.03437-0.00055</f>
        <v>706.53809879999994</v>
      </c>
      <c r="Q3" s="19">
        <f>M3+22.98977-0.00055</f>
        <v>711.4934988</v>
      </c>
      <c r="R3" s="19">
        <f>M3+38.96371-0.00055</f>
        <v>727.46743879999997</v>
      </c>
      <c r="S3" s="19">
        <f>M3+7.01601-0.00055</f>
        <v>695.51973880000003</v>
      </c>
      <c r="T3" s="19">
        <f>M3-1.0078246+0.00055</f>
        <v>687.49700419999988</v>
      </c>
      <c r="U3" s="19">
        <f>M3+44.99767+0.00055</f>
        <v>733.5024987999999</v>
      </c>
      <c r="V3" s="19">
        <f>M3+59.01332+0.00055</f>
        <v>747.51814879999995</v>
      </c>
    </row>
    <row r="4" spans="1:24" x14ac:dyDescent="0.25">
      <c r="A4" s="17" t="s">
        <v>127</v>
      </c>
      <c r="B4" s="17" t="str">
        <f>IF(ISNUMBER(SEARCH("(",A4)),IF(ISNUMBER(SEARCH("/",A4)),CONCATENATE(MID(A4,1,3),"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4,1,3)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PMe 36:3__COOH__</v>
      </c>
      <c r="C4" s="1" t="str">
        <f>MID(B4,5,FIND(":",B4)-FIND(" ",B4)-1)</f>
        <v>36</v>
      </c>
      <c r="D4" s="1" t="str">
        <f>IF(ISNUMBER(SEARCH("__",B4)),MID(B4,FIND(":",B4)+1,FIND("__",B4)-FIND(":",B4)-1),MID(B4,FIND(":",B4)+1,7))</f>
        <v>3</v>
      </c>
      <c r="E4" s="17">
        <f>C4+4</f>
        <v>40</v>
      </c>
      <c r="F4" s="17">
        <f>2*E4-(2*D4)-1-((LEN(A4)-LEN(SUBSTITUTE(A4,"_O_","")))/LEN("_O_"))*2-((LEN(A4)-LEN(SUBSTITUTE(A4,"_CHO_","")))/LEN("_CHO_"))*2-((LEN(A4)-LEN(SUBSTITUTE(A4,"_COOH_","")))/LEN("_COOH_"))*2</f>
        <v>71</v>
      </c>
      <c r="G4" s="17">
        <v>0</v>
      </c>
      <c r="H4" s="17">
        <f>8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10</v>
      </c>
      <c r="I4" s="17">
        <v>1</v>
      </c>
      <c r="L4" s="19" t="str">
        <f>CONCATENATE("C",E4,"H",F4,"O",H4,"P",I4)</f>
        <v>C40H71O10P1</v>
      </c>
      <c r="M4" s="19">
        <f>(E4*12)+(F4*1.0078246)+(G4*14.003074)+(H4*15.994915)+(I4*30.973763)</f>
        <v>742.47845959999995</v>
      </c>
      <c r="N4" s="19">
        <f>M4+1.0078246-0.00055</f>
        <v>743.48573420000002</v>
      </c>
      <c r="O4" s="19">
        <f>N4-18.01057-0.00055</f>
        <v>725.47461420000002</v>
      </c>
      <c r="P4" s="19">
        <f>M4+18.03437-0.00055</f>
        <v>760.51227959999994</v>
      </c>
      <c r="Q4" s="19">
        <f>M4+22.98977-0.00055</f>
        <v>765.4676796</v>
      </c>
      <c r="R4" s="19">
        <f>M4+38.96371-0.00055</f>
        <v>781.44161959999997</v>
      </c>
      <c r="S4" s="19">
        <f>M4+7.01601-0.00055</f>
        <v>749.49391960000003</v>
      </c>
      <c r="T4" s="19">
        <f>M4-1.0078246+0.00055</f>
        <v>741.47118499999988</v>
      </c>
      <c r="U4" s="19">
        <f>M4+44.99767+0.00055</f>
        <v>787.4766795999999</v>
      </c>
      <c r="V4" s="19">
        <f>M4+59.01332+0.00055</f>
        <v>801.49232959999995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5"/>
  <dimension ref="A1:V10"/>
  <sheetViews>
    <sheetView showGridLines="0" zoomScale="70" zoomScaleNormal="70" workbookViewId="0">
      <pane xSplit="1" ySplit="2" topLeftCell="B3" activePane="bottomRight" state="frozen"/>
      <selection pane="topRight"/>
      <selection pane="bottomLeft"/>
      <selection pane="bottomRight" activeCell="V36" sqref="V36"/>
    </sheetView>
  </sheetViews>
  <sheetFormatPr defaultColWidth="9.140625" defaultRowHeight="15.75" x14ac:dyDescent="0.25"/>
  <cols>
    <col min="1" max="1" width="28.5703125" style="35" customWidth="1"/>
    <col min="2" max="2" width="23" style="33" customWidth="1"/>
    <col min="3" max="3" width="4.28515625" style="33" hidden="1" customWidth="1"/>
    <col min="4" max="5" width="4.140625" style="33" hidden="1" customWidth="1"/>
    <col min="6" max="6" width="4.28515625" style="33" hidden="1" customWidth="1"/>
    <col min="7" max="7" width="4.140625" style="33" hidden="1" customWidth="1"/>
    <col min="8" max="11" width="9.28515625" style="33" hidden="1" customWidth="1"/>
    <col min="12" max="12" width="20.7109375" style="36" customWidth="1"/>
    <col min="13" max="22" width="16.7109375" style="36" customWidth="1"/>
    <col min="23" max="16384" width="9.140625" style="34"/>
  </cols>
  <sheetData>
    <row r="1" spans="1:22" s="28" customFormat="1" x14ac:dyDescent="0.25">
      <c r="A1" s="24" t="s">
        <v>74</v>
      </c>
      <c r="B1" s="25" t="s">
        <v>5</v>
      </c>
      <c r="C1" s="25"/>
      <c r="D1" s="25"/>
      <c r="E1" s="25"/>
      <c r="F1" s="25"/>
      <c r="G1" s="25" t="s">
        <v>0</v>
      </c>
      <c r="H1" s="25" t="s">
        <v>1</v>
      </c>
      <c r="I1" s="25" t="s">
        <v>8</v>
      </c>
      <c r="J1" s="25" t="s">
        <v>2</v>
      </c>
      <c r="K1" s="25" t="s">
        <v>9</v>
      </c>
      <c r="L1" s="26" t="s">
        <v>14</v>
      </c>
      <c r="M1" s="26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</row>
    <row r="2" spans="1:22" hidden="1" x14ac:dyDescent="0.25">
      <c r="A2" s="32" t="s">
        <v>119</v>
      </c>
      <c r="B2" s="17" t="str">
        <f>IF(ISNUMBER(SEARCH("(",A2)),IF(ISNUMBER(SEARCH("/",A2)),CONCATENATE(MID(A2,1,2)," ",MID(A2,4,2),SUM(MID(A2,FIND("(",A2)+3,(FIND(":",A2)-(FIND("-",A2)+1))),MID(A2,FIND("/",A2)+1,(FIND(":",A2,FIND("/",A2))-FIND("/",A2)-1))),":",SUM(MID(A2,FIND(":",A2)+1,FIND("/",A2)-(FIND(":",A2)+1)),MID(A2,FIND(":",A2,FIND("/",A2))+1,FIND(")",A2)-FIND(":",A2,FIND("/",A2))-1))," ",MID(A2,(FIND(")",A2)+1),100)),CONCATENATE(MID(A2,1,2)," ",MID(A2,4,2),SUM(MID(A2,FIND("(",A2)+3,(FIND(":",A2)-(FIND("-",A2)+1))),MID(A2,FIND("_",A2)+1,(FIND(":",A2,FIND("_",A2))-FIND("_",A2)-1))),":",SUM(MID(A2,FIND(":",A2)+1,FIND("_",A2)-(FIND(":",A2)+1)),MID(A2,FIND(":",A2,FIND("_",A2))+1,FIND(")",A2)-FIND(":",A2,FIND("_",A2))-1))," ",MID(A2,(FIND(")",A2)+1),100))),A2)</f>
        <v>PE P-19:2</v>
      </c>
      <c r="C2" s="33" t="str">
        <f>MID(B2,6,FIND(":",B2)-FIND("-",B2)-1)</f>
        <v>19</v>
      </c>
      <c r="D2" s="33" t="str">
        <f>IF(ISNUMBER(VALUE(MID(B2,FIND(":",B2)+1,2))),MID(B2,FIND(":",B2)+1,2),MID(B2,FIND(":",B2)+1,1))</f>
        <v>2</v>
      </c>
      <c r="E2" s="33" t="str">
        <f>IF(ISERROR(FIND("O-",A2)),IF(ISERROR(FIND("P-",A2)),"","P-"),"O-")</f>
        <v>P-</v>
      </c>
      <c r="G2" s="33">
        <f>C2+5</f>
        <v>24</v>
      </c>
      <c r="H2" s="33">
        <f>2*G2-(2*D2)+2*COUNTIF(E2,"*O-*")-((LEN(A2)-LEN(SUBSTITUTE(A2,"_O_","")))/LEN("_O_"))*2-((LEN(A2)-LEN(SUBSTITUTE(A2,"_CHO_","")))/LEN("_CHO_"))*2-((LEN(A2)-LEN(SUBSTITUTE(A2,"_COOH_","")))/LEN("_COOH_"))*2</f>
        <v>44</v>
      </c>
      <c r="I2" s="33">
        <v>1</v>
      </c>
      <c r="J2" s="33">
        <f>7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7</v>
      </c>
      <c r="K2" s="33">
        <v>1</v>
      </c>
      <c r="L2" s="23" t="str">
        <f>IF(ISERROR(FIND("O-",A2)),IF(ISERROR(FIND("P-",A2)),"",CONCATENATE("C",G2,"H",H2,"N",I2,"O",J2,"P",K2)),CONCATENATE("C",G2,"H",H2,"N",I2,"O",J2,"P",K2))</f>
        <v>C24H44N1O7P1</v>
      </c>
      <c r="M2" s="23">
        <f>IF(ISERROR(FIND("O-",A2)),IF(ISERROR(FIND("P-",A2)),"",(G2*12)+(H2*1.0078246)+(I2*14.003074)+(J2*15.994915)+(K2*30.973763)),(G2*12)+(H2*1.0078246)+(I2*14.003074)+(J2*15.994915)+(K2*30.973763))</f>
        <v>489.28552440000004</v>
      </c>
      <c r="N2" s="23">
        <f>M2+1.0078246-0.00055</f>
        <v>490.29279900000006</v>
      </c>
      <c r="O2" s="23">
        <f>N2-18.01057-0.00055</f>
        <v>472.28167900000005</v>
      </c>
      <c r="P2" s="23">
        <f>M2+18.03437-0.00055</f>
        <v>507.31934440000009</v>
      </c>
      <c r="Q2" s="23">
        <f>M2+22.98977-0.00055</f>
        <v>512.27474440000003</v>
      </c>
      <c r="R2" s="23">
        <f>M2+38.96371-0.00055</f>
        <v>528.24868440000012</v>
      </c>
      <c r="S2" s="23">
        <f>M2+7.01601-0.00055</f>
        <v>496.30098440000006</v>
      </c>
      <c r="T2" s="23">
        <f>M2-1.0078246+0.00055</f>
        <v>488.27824980000003</v>
      </c>
      <c r="U2" s="23">
        <f>M2+44.99767+0.00055</f>
        <v>534.28374440000005</v>
      </c>
      <c r="V2" s="23">
        <f>M2+59.01332+0.00055</f>
        <v>548.29939439999998</v>
      </c>
    </row>
    <row r="3" spans="1:22" x14ac:dyDescent="0.25">
      <c r="A3" s="32" t="s">
        <v>120</v>
      </c>
      <c r="B3" s="17" t="str">
        <f>IF(ISNUMBER(SEARCH("(",A3)),IF(ISNUMBER(SEARCH("/",A3)),CONCATENATE(MID(A3,1,2)," ",MID(A3,4,2),SUM(MID(A3,FIND("(",A3)+3,(FIND(":",A3)-(FIND("-",A3)+1))),MID(A3,FIND("/",A3)+1,(FIND(":",A3,FIND("/",A3))-FIND("/",A3)-1))),":",SUM(MID(A3,FIND(":",A3)+1,FIND("/",A3)-(FIND(":",A3)+1)),MID(A3,FIND(":",A3,FIND("/",A3))+1,FIND(")",A3)-FIND(":",A3,FIND("/",A3))-1))," ",MID(A3,(FIND(")",A3)+1),100)),CONCATENATE(MID(A3,1,2)," ",MID(A3,4,2),SUM(MID(A3,FIND("(",A3)+3,(FIND(":",A3)-(FIND("-",A3)+1))),MID(A3,FIND("_",A3)+1,(FIND(":",A3,FIND("_",A3))-FIND("_",A3)-1))),":",SUM(MID(A3,FIND(":",A3)+1,FIND("_",A3)-(FIND(":",A3)+1)),MID(A3,FIND(":",A3,FIND("_",A3))+1,FIND(")",A3)-FIND(":",A3,FIND("_",A3))-1))," ",MID(A3,(FIND(")",A3)+1),100))),A3)</f>
        <v xml:space="preserve">PE P-34:1 </v>
      </c>
      <c r="C3" s="33" t="str">
        <f>MID(B3,6,FIND(":",B3)-FIND("-",B3)-1)</f>
        <v>34</v>
      </c>
      <c r="D3" s="33" t="str">
        <f>IF(ISNUMBER(VALUE(MID(B3,FIND(":",B3)+1,2))),MID(B3,FIND(":",B3)+1,2),MID(B3,FIND(":",B3)+1,1))</f>
        <v xml:space="preserve">1 </v>
      </c>
      <c r="E3" s="33" t="str">
        <f>IF(ISERROR(FIND("O-",A3)),IF(ISERROR(FIND("P-",A3)),"","P-"),"O-")</f>
        <v>P-</v>
      </c>
      <c r="G3" s="33">
        <f>C3+5</f>
        <v>39</v>
      </c>
      <c r="H3" s="33">
        <f>2*G3-(2*D3)+2*COUNTIF(E3,"*O-*")-((LEN(A3)-LEN(SUBSTITUTE(A3,"_O_","")))/LEN("_O_"))*2-((LEN(A3)-LEN(SUBSTITUTE(A3,"_CHO_","")))/LEN("_CHO_"))*2-((LEN(A3)-LEN(SUBSTITUTE(A3,"_COOH_","")))/LEN("_COOH_"))*2</f>
        <v>76</v>
      </c>
      <c r="I3" s="33">
        <v>1</v>
      </c>
      <c r="J3" s="33">
        <f>7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7</v>
      </c>
      <c r="K3" s="33">
        <v>1</v>
      </c>
      <c r="L3" s="23" t="str">
        <f>IF(ISERROR(FIND("O-",A3)),IF(ISERROR(FIND("P-",A3)),"",CONCATENATE("C",G3,"H",H3,"N",I3,"O",J3,"P",K3)),CONCATENATE("C",G3,"H",H3,"N",I3,"O",J3,"P",K3))</f>
        <v>C39H76N1O7P1</v>
      </c>
      <c r="M3" s="23">
        <f>IF(ISERROR(FIND("O-",A3)),IF(ISERROR(FIND("P-",A3)),"",(G3*12)+(H3*1.0078246)+(I3*14.003074)+(J3*15.994915)+(K3*30.973763)),(G3*12)+(H3*1.0078246)+(I3*14.003074)+(J3*15.994915)+(K3*30.973763))</f>
        <v>701.53591159999996</v>
      </c>
      <c r="N3" s="23">
        <f>M3+1.0078246-0.00055</f>
        <v>702.54318620000004</v>
      </c>
      <c r="O3" s="23">
        <f>N3-18.01057-0.00055</f>
        <v>684.53206620000003</v>
      </c>
      <c r="P3" s="23">
        <f>M3+18.03437-0.00055</f>
        <v>719.56973159999995</v>
      </c>
      <c r="Q3" s="23">
        <f>M3+22.98977-0.00055</f>
        <v>724.52513160000001</v>
      </c>
      <c r="R3" s="23">
        <f>M3+38.96371-0.00055</f>
        <v>740.49907159999998</v>
      </c>
      <c r="S3" s="23">
        <f>M3+7.01601-0.00055</f>
        <v>708.55137160000004</v>
      </c>
      <c r="T3" s="23">
        <f>M3-1.0078246+0.00055</f>
        <v>700.52863699999989</v>
      </c>
      <c r="U3" s="23">
        <f>M3+44.99767+0.00055</f>
        <v>746.53413159999991</v>
      </c>
      <c r="V3" s="23">
        <f>M3+59.01332+0.00055</f>
        <v>760.54978159999996</v>
      </c>
    </row>
    <row r="4" spans="1:22" x14ac:dyDescent="0.25">
      <c r="A4" s="32" t="s">
        <v>121</v>
      </c>
      <c r="B4" s="17" t="str">
        <f t="shared" ref="B4" si="0">IF(ISNUMBER(SEARCH("(",A4)),IF(ISNUMBER(SEARCH("/",A4)),CONCATENATE(MID(A4,1,2)," ",MID(A4,4,2),SUM(MID(A4,FIND("(",A4)+3,(FIND(":",A4)-(FIND("-",A4)+1))),MID(A4,FIND("/",A4)+1,(FIND(":",A4,FIND("/",A4))-FIND("/",A4)-1))),":",SUM(MID(A4,FIND(":",A4)+1,FIND("/",A4)-(FIND(":",A4)+1)),MID(A4,FIND(":",A4,FIND("/",A4))+1,FIND(")",A4)-FIND(":",A4,FIND("/",A4))-1))," ",MID(A4,(FIND(")",A4)+1),100)),CONCATENATE(MID(A4,1,2)," ",MID(A4,4,2),SUM(MID(A4,FIND("(",A4)+3,(FIND(":",A4)-(FIND("-",A4)+1))),MID(A4,FIND("_",A4)+1,(FIND(":",A4,FIND("_",A4))-FIND("_",A4)-1))),":",SUM(MID(A4,FIND(":",A4)+1,FIND("_",A4)-(FIND(":",A4)+1)),MID(A4,FIND(":",A4,FIND("_",A4))+1,FIND(")",A4)-FIND(":",A4,FIND("_",A4))-1))," ",MID(A4,(FIND(")",A4)+1),100))),A4)</f>
        <v>PE P-32:1</v>
      </c>
      <c r="C4" s="33" t="str">
        <f t="shared" ref="C4" si="1">MID(B4,6,FIND(":",B4)-FIND("-",B4)-1)</f>
        <v>32</v>
      </c>
      <c r="D4" s="33" t="str">
        <f t="shared" ref="D4" si="2">IF(ISNUMBER(VALUE(MID(B4,FIND(":",B4)+1,2))),MID(B4,FIND(":",B4)+1,2),MID(B4,FIND(":",B4)+1,1))</f>
        <v>1</v>
      </c>
      <c r="E4" s="33" t="str">
        <f t="shared" ref="E4" si="3">IF(ISERROR(FIND("O-",A4)),IF(ISERROR(FIND("P-",A4)),"","P-"),"O-")</f>
        <v>P-</v>
      </c>
      <c r="G4" s="33">
        <f t="shared" ref="G4" si="4">C4+5</f>
        <v>37</v>
      </c>
      <c r="H4" s="33">
        <f t="shared" ref="H4" si="5">2*G4-(2*D4)+2*COUNTIF(E4,"*O-*")-((LEN(A4)-LEN(SUBSTITUTE(A4,"_O_","")))/LEN("_O_"))*2-((LEN(A4)-LEN(SUBSTITUTE(A4,"_CHO_","")))/LEN("_CHO_"))*2-((LEN(A4)-LEN(SUBSTITUTE(A4,"_COOH_","")))/LEN("_COOH_"))*2</f>
        <v>72</v>
      </c>
      <c r="I4" s="33">
        <v>1</v>
      </c>
      <c r="J4" s="33">
        <f t="shared" ref="J4" si="6">7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7</v>
      </c>
      <c r="K4" s="33">
        <v>1</v>
      </c>
      <c r="L4" s="23" t="str">
        <f t="shared" ref="L4" si="7">IF(ISERROR(FIND("O-",A4)),IF(ISERROR(FIND("P-",A4)),"",CONCATENATE("C",G4,"H",H4,"N",I4,"O",J4,"P",K4)),CONCATENATE("C",G4,"H",H4,"N",I4,"O",J4,"P",K4))</f>
        <v>C37H72N1O7P1</v>
      </c>
      <c r="M4" s="23">
        <f t="shared" ref="M4" si="8">IF(ISERROR(FIND("O-",A4)),IF(ISERROR(FIND("P-",A4)),"",(G4*12)+(H4*1.0078246)+(I4*14.003074)+(J4*15.994915)+(K4*30.973763)),(G4*12)+(H4*1.0078246)+(I4*14.003074)+(J4*15.994915)+(K4*30.973763))</f>
        <v>673.50461319999999</v>
      </c>
      <c r="N4" s="23">
        <f t="shared" ref="N4" si="9">M4+1.0078246-0.00055</f>
        <v>674.51188780000007</v>
      </c>
      <c r="O4" s="23">
        <f t="shared" ref="O4" si="10">N4-18.01057-0.00055</f>
        <v>656.50076780000006</v>
      </c>
      <c r="P4" s="23">
        <f t="shared" ref="P4" si="11">M4+18.03437-0.00055</f>
        <v>691.53843319999999</v>
      </c>
      <c r="Q4" s="23">
        <f t="shared" ref="Q4" si="12">M4+22.98977-0.00055</f>
        <v>696.49383320000004</v>
      </c>
      <c r="R4" s="23">
        <f t="shared" ref="R4" si="13">M4+38.96371-0.00055</f>
        <v>712.46777320000001</v>
      </c>
      <c r="S4" s="23">
        <f t="shared" ref="S4" si="14">M4+7.01601-0.00055</f>
        <v>680.52007320000007</v>
      </c>
      <c r="T4" s="23">
        <f t="shared" ref="T4" si="15">M4-1.0078246+0.00055</f>
        <v>672.49733859999992</v>
      </c>
      <c r="U4" s="23">
        <f t="shared" ref="U4" si="16">M4+44.99767+0.00055</f>
        <v>718.50283319999994</v>
      </c>
      <c r="V4" s="23">
        <f t="shared" ref="V4" si="17">M4+59.01332+0.00055</f>
        <v>732.51848319999999</v>
      </c>
    </row>
    <row r="5" spans="1:22" x14ac:dyDescent="0.25">
      <c r="A5" s="35" t="s">
        <v>128</v>
      </c>
      <c r="B5" s="17" t="str">
        <f>IF(ISNUMBER(SEARCH("(",A5)),IF(ISNUMBER(SEARCH("/",A5)),CONCATENATE(MID(A5,1,2)," ",MID(A5,4,2),SUM(MID(A5,FIND("(",A5)+3,(FIND(":",A5)-(FIND("-",A5)+1))),MID(A5,FIND("/",A5)+1,(FIND(":",A5,FIND("/",A5))-FIND("/",A5)-1))),":",SUM(MID(A5,FIND(":",A5)+1,FIND("/",A5)-(FIND(":",A5)+1)),MID(A5,FIND(":",A5,FIND("/",A5))+1,FIND(")",A5)-FIND(":",A5,FIND("/",A5))-1))," ",MID(A5,(FIND(")",A5)+1),100)),CONCATENATE(MID(A5,1,2)," ",MID(A5,4,2),SUM(MID(A5,FIND("(",A5)+3,(FIND(":",A5)-(FIND("-",A5)+1))),MID(A5,FIND("_",A5)+1,(FIND(":",A5,FIND("_",A5))-FIND("_",A5)-1))),":",SUM(MID(A5,FIND(":",A5)+1,FIND("_",A5)-(FIND(":",A5)+1)),MID(A5,FIND(":",A5,FIND("_",A5))+1,FIND(")",A5)-FIND(":",A5,FIND("_",A5))-1))," ",MID(A5,(FIND(")",A5)+1),100))),A5)</f>
        <v xml:space="preserve">PE P-34:3 </v>
      </c>
      <c r="C5" s="33" t="str">
        <f>MID(B5,6,FIND(":",B5)-FIND("-",B5)-1)</f>
        <v>34</v>
      </c>
      <c r="D5" s="33" t="str">
        <f>IF(ISNUMBER(VALUE(MID(B5,FIND(":",B5)+1,2))),MID(B5,FIND(":",B5)+1,2),MID(B5,FIND(":",B5)+1,1))</f>
        <v xml:space="preserve">3 </v>
      </c>
      <c r="E5" s="33" t="str">
        <f>IF(ISERROR(FIND("O-",A5)),IF(ISERROR(FIND("P-",A5)),"","P-"),"O-")</f>
        <v>P-</v>
      </c>
      <c r="G5" s="33">
        <f>C5+5</f>
        <v>39</v>
      </c>
      <c r="H5" s="33">
        <f>2*G5-(2*D5)+2*COUNTIF(E5,"*O-*")-((LEN(A5)-LEN(SUBSTITUTE(A5,"_O_","")))/LEN("_O_"))*2-((LEN(A5)-LEN(SUBSTITUTE(A5,"_CHO_","")))/LEN("_CHO_"))*2-((LEN(A5)-LEN(SUBSTITUTE(A5,"_COOH_","")))/LEN("_COOH_"))*2</f>
        <v>72</v>
      </c>
      <c r="I5" s="33">
        <v>1</v>
      </c>
      <c r="J5" s="33">
        <f>7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7</v>
      </c>
      <c r="K5" s="33">
        <v>1</v>
      </c>
      <c r="L5" s="23" t="str">
        <f>IF(ISERROR(FIND("O-",A5)),IF(ISERROR(FIND("P-",A5)),"",CONCATENATE("C",G5,"H",H5,"N",I5,"O",J5,"P",K5)),CONCATENATE("C",G5,"H",H5,"N",I5,"O",J5,"P",K5))</f>
        <v>C39H72N1O7P1</v>
      </c>
      <c r="M5" s="23">
        <f>IF(ISERROR(FIND("O-",A5)),IF(ISERROR(FIND("P-",A5)),"",(G5*12)+(H5*1.0078246)+(I5*14.003074)+(J5*15.994915)+(K5*30.973763)),(G5*12)+(H5*1.0078246)+(I5*14.003074)+(J5*15.994915)+(K5*30.973763))</f>
        <v>697.50461319999999</v>
      </c>
      <c r="N5" s="23">
        <f>M5+1.0078246-0.00055</f>
        <v>698.51188780000007</v>
      </c>
      <c r="O5" s="23">
        <f>N5-18.01057-0.00055</f>
        <v>680.50076780000006</v>
      </c>
      <c r="P5" s="23">
        <f>M5+18.03437-0.00055</f>
        <v>715.53843319999999</v>
      </c>
      <c r="Q5" s="23">
        <f>M5+22.98977-0.00055</f>
        <v>720.49383320000004</v>
      </c>
      <c r="R5" s="23">
        <f>M5+38.96371-0.00055</f>
        <v>736.46777320000001</v>
      </c>
      <c r="S5" s="23">
        <f>M5+7.01601-0.00055</f>
        <v>704.52007320000007</v>
      </c>
      <c r="T5" s="23">
        <f>M5-1.0078246+0.00055</f>
        <v>696.49733859999992</v>
      </c>
      <c r="U5" s="23">
        <f>M5+44.99767+0.00055</f>
        <v>742.50283319999994</v>
      </c>
      <c r="V5" s="23">
        <f>M5+59.01332+0.00055</f>
        <v>756.51848319999999</v>
      </c>
    </row>
    <row r="9" spans="1:22" x14ac:dyDescent="0.25">
      <c r="A9" s="35" t="s">
        <v>646</v>
      </c>
      <c r="B9" s="17" t="str">
        <f>IF(ISNUMBER(SEARCH("(",A9)),IF(ISNUMBER(SEARCH("/",A9)),CONCATENATE(MID(A9,1,2)," ",MID(A9,4,2),SUM(MID(A9,FIND("(",A9)+3,(FIND(":",A9)-(FIND("-",A9)+1))),MID(A9,FIND("/",A9)+1,(FIND(":",A9,FIND("/",A9))-FIND("/",A9)-1))),":",SUM(MID(A9,FIND(":",A9)+1,FIND("/",A9)-(FIND(":",A9)+1)),MID(A9,FIND(":",A9,FIND("/",A9))+1,FIND(")",A9)-FIND(":",A9,FIND("/",A9))-1))," ",MID(A9,(FIND(")",A9)+1),100)),CONCATENATE(MID(A9,1,2)," ",MID(A9,4,2),SUM(MID(A9,FIND("(",A9)+3,(FIND(":",A9)-(FIND("-",A9)+1))),MID(A9,FIND("_",A9)+1,(FIND(":",A9,FIND("_",A9))-FIND("_",A9)-1))),":",SUM(MID(A9,FIND(":",A9)+1,FIND("_",A9)-(FIND(":",A9)+1)),MID(A9,FIND(":",A9,FIND("_",A9))+1,FIND(")",A9)-FIND(":",A9,FIND("_",A9))-1))," ",MID(A9,(FIND(")",A9)+1),100))),A9)</f>
        <v>PE P-36:2</v>
      </c>
      <c r="C9" s="33" t="str">
        <f>MID(B9,6,FIND(":",B9)-FIND("-",B9)-1)</f>
        <v>36</v>
      </c>
      <c r="D9" s="33" t="str">
        <f>IF(ISNUMBER(VALUE(MID(B9,FIND(":",B9)+1,2))),MID(B9,FIND(":",B9)+1,2),MID(B9,FIND(":",B9)+1,1))</f>
        <v>2</v>
      </c>
      <c r="E9" s="33" t="str">
        <f>IF(ISERROR(FIND("O-",A9)),IF(ISERROR(FIND("P-",A9)),"","P-"),"O-")</f>
        <v>P-</v>
      </c>
      <c r="G9" s="33">
        <f>C9+5</f>
        <v>41</v>
      </c>
      <c r="H9" s="33">
        <f>2*G9-(2*D9)+2*COUNTIF(E9,"*O-*")-((LEN(A9)-LEN(SUBSTITUTE(A9,"_O_","")))/LEN("_O_"))*2-((LEN(A9)-LEN(SUBSTITUTE(A9,"_CHO_","")))/LEN("_CHO_"))*2-((LEN(A9)-LEN(SUBSTITUTE(A9,"_COOH_","")))/LEN("_COOH_"))*2</f>
        <v>78</v>
      </c>
      <c r="I9" s="33">
        <v>1</v>
      </c>
      <c r="J9" s="33">
        <f>7+((LEN(A9)-LEN(SUBSTITUTE(A9,"_OH_","")))/LEN("_OH_"))*1+((LEN(A9)-LEN(SUBSTITUTE(A9,"_OOH_","")))/LEN("_OOH_"))*2+((LEN(A9)-LEN(SUBSTITUTE(A9,"_O_","")))/LEN("_O_"))*1+((LEN(A9)-LEN(SUBSTITUTE(A9,"_CHO_","")))/LEN("_CHO_"))*1+((LEN(A9)-LEN(SUBSTITUTE(A9,"_COOH_","")))/LEN("_COOH_"))*2</f>
        <v>7</v>
      </c>
      <c r="K9" s="33">
        <v>1</v>
      </c>
      <c r="L9" s="23" t="str">
        <f>IF(ISERROR(FIND("O-",A9)),IF(ISERROR(FIND("P-",A9)),"",CONCATENATE("C",G9,"H",H9,"N",I9,"O",J9,"P",K9)),CONCATENATE("C",G9,"H",H9,"N",I9,"O",J9,"P",K9))</f>
        <v>C41H78N1O7P1</v>
      </c>
      <c r="M9" s="23">
        <f>IF(ISERROR(FIND("O-",A9)),IF(ISERROR(FIND("P-",A9)),"",(G9*12)+(H9*1.0078246)+(I9*14.003074)+(J9*15.994915)+(K9*30.973763)),(G9*12)+(H9*1.0078246)+(I9*14.003074)+(J9*15.994915)+(K9*30.973763))</f>
        <v>727.55156079999983</v>
      </c>
      <c r="N9" s="23">
        <f>M9+1.0078246-0.00055</f>
        <v>728.55883539999991</v>
      </c>
      <c r="O9" s="23">
        <f>N9-18.01057-0.00055</f>
        <v>710.5477153999999</v>
      </c>
      <c r="P9" s="23">
        <f>M9+18.03437-0.00055</f>
        <v>745.58538079999983</v>
      </c>
      <c r="Q9" s="23">
        <f>M9+22.98977-0.00055</f>
        <v>750.54078079999988</v>
      </c>
      <c r="R9" s="23">
        <f>M9+38.96371-0.00055</f>
        <v>766.51472079999985</v>
      </c>
      <c r="S9" s="23">
        <f>M9+7.01601-0.00055</f>
        <v>734.56702079999991</v>
      </c>
      <c r="T9" s="23">
        <f>M9-1.0078246+0.00055</f>
        <v>726.54428619999976</v>
      </c>
      <c r="U9" s="23">
        <f>M9+44.99767+0.00055</f>
        <v>772.54978079999978</v>
      </c>
      <c r="V9" s="23">
        <f>M9+59.01332+0.00055</f>
        <v>786.56543079999983</v>
      </c>
    </row>
    <row r="10" spans="1:22" x14ac:dyDescent="0.25">
      <c r="A10" s="35" t="s">
        <v>647</v>
      </c>
      <c r="B10" s="17" t="str">
        <f>IF(ISNUMBER(SEARCH("(",A10)),IF(ISNUMBER(SEARCH("/",A10)),CONCATENATE(MID(A10,1,2)," ",MID(A10,4,2),SUM(MID(A10,FIND("(",A10)+3,(FIND(":",A10)-(FIND("-",A10)+1))),MID(A10,FIND("/",A10)+1,(FIND(":",A10,FIND("/",A10))-FIND("/",A10)-1))),":",SUM(MID(A10,FIND(":",A10)+1,FIND("/",A10)-(FIND(":",A10)+1)),MID(A10,FIND(":",A10,FIND("/",A10))+1,FIND(")",A10)-FIND(":",A10,FIND("/",A10))-1))," ",MID(A10,(FIND(")",A10)+1),100)),CONCATENATE(MID(A10,1,2)," ",MID(A10,4,2),SUM(MID(A10,FIND("(",A10)+3,(FIND(":",A10)-(FIND("-",A10)+1))),MID(A10,FIND("_",A10)+1,(FIND(":",A10,FIND("_",A10))-FIND("_",A10)-1))),":",SUM(MID(A10,FIND(":",A10)+1,FIND("_",A10)-(FIND(":",A10)+1)),MID(A10,FIND(":",A10,FIND("_",A10))+1,FIND(")",A10)-FIND(":",A10,FIND("_",A10))-1))," ",MID(A10,(FIND(")",A10)+1),100))),A10)</f>
        <v>PE P-38:2</v>
      </c>
      <c r="C10" s="33" t="str">
        <f>MID(B10,6,FIND(":",B10)-FIND("-",B10)-1)</f>
        <v>38</v>
      </c>
      <c r="D10" s="33" t="str">
        <f>IF(ISNUMBER(VALUE(MID(B10,FIND(":",B10)+1,2))),MID(B10,FIND(":",B10)+1,2),MID(B10,FIND(":",B10)+1,1))</f>
        <v>2</v>
      </c>
      <c r="E10" s="33" t="str">
        <f>IF(ISERROR(FIND("O-",A10)),IF(ISERROR(FIND("P-",A10)),"","P-"),"O-")</f>
        <v>P-</v>
      </c>
      <c r="G10" s="33">
        <f>C10+5</f>
        <v>43</v>
      </c>
      <c r="H10" s="33">
        <f>2*G10-(2*D10)+2*COUNTIF(E10,"*O-*")-((LEN(A10)-LEN(SUBSTITUTE(A10,"_O_","")))/LEN("_O_"))*2-((LEN(A10)-LEN(SUBSTITUTE(A10,"_CHO_","")))/LEN("_CHO_"))*2-((LEN(A10)-LEN(SUBSTITUTE(A10,"_COOH_","")))/LEN("_COOH_"))*2</f>
        <v>82</v>
      </c>
      <c r="I10" s="33">
        <v>1</v>
      </c>
      <c r="J10" s="33">
        <f>7+((LEN(A10)-LEN(SUBSTITUTE(A10,"_OH_","")))/LEN("_OH_"))*1+((LEN(A10)-LEN(SUBSTITUTE(A10,"_OOH_","")))/LEN("_OOH_"))*2+((LEN(A10)-LEN(SUBSTITUTE(A10,"_O_","")))/LEN("_O_"))*1+((LEN(A10)-LEN(SUBSTITUTE(A10,"_CHO_","")))/LEN("_CHO_"))*1+((LEN(A10)-LEN(SUBSTITUTE(A10,"_COOH_","")))/LEN("_COOH_"))*2</f>
        <v>7</v>
      </c>
      <c r="K10" s="33">
        <v>1</v>
      </c>
      <c r="L10" s="23" t="str">
        <f>IF(ISERROR(FIND("O-",A10)),IF(ISERROR(FIND("P-",A10)),"",CONCATENATE("C",G10,"H",H10,"N",I10,"O",J10,"P",K10)),CONCATENATE("C",G10,"H",H10,"N",I10,"O",J10,"P",K10))</f>
        <v>C43H82N1O7P1</v>
      </c>
      <c r="M10" s="23">
        <f>IF(ISERROR(FIND("O-",A10)),IF(ISERROR(FIND("P-",A10)),"",(G10*12)+(H10*1.0078246)+(I10*14.003074)+(J10*15.994915)+(K10*30.973763)),(G10*12)+(H10*1.0078246)+(I10*14.003074)+(J10*15.994915)+(K10*30.973763))</f>
        <v>755.58285920000003</v>
      </c>
      <c r="N10" s="23">
        <f>M10+1.0078246-0.00055</f>
        <v>756.5901338000001</v>
      </c>
      <c r="O10" s="23">
        <f>N10-18.01057-0.00055</f>
        <v>738.5790138000001</v>
      </c>
      <c r="P10" s="23">
        <f>M10+18.03437-0.00055</f>
        <v>773.61667920000002</v>
      </c>
      <c r="Q10" s="23">
        <f>M10+22.98977-0.00055</f>
        <v>778.57207920000008</v>
      </c>
      <c r="R10" s="23">
        <f>M10+38.96371-0.00055</f>
        <v>794.54601920000005</v>
      </c>
      <c r="S10" s="23">
        <f>M10+7.01601-0.00055</f>
        <v>762.59831920000011</v>
      </c>
      <c r="T10" s="23">
        <f>M10-1.0078246+0.00055</f>
        <v>754.57558459999996</v>
      </c>
      <c r="U10" s="23">
        <f>M10+44.99767+0.00055</f>
        <v>800.58107919999998</v>
      </c>
      <c r="V10" s="23">
        <f>M10+59.01332+0.00055</f>
        <v>814.59672920000003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7"/>
  <dimension ref="A1:V25"/>
  <sheetViews>
    <sheetView showGridLines="0" zoomScaleNormal="100" workbookViewId="0">
      <pane xSplit="1" ySplit="2" topLeftCell="B9" activePane="bottomRight" state="frozen"/>
      <selection pane="topRight"/>
      <selection pane="bottomLeft"/>
      <selection pane="bottomRight" activeCell="T17" sqref="T17"/>
    </sheetView>
  </sheetViews>
  <sheetFormatPr defaultColWidth="9.140625" defaultRowHeight="15.75" x14ac:dyDescent="0.25"/>
  <cols>
    <col min="1" max="1" width="23" style="35" customWidth="1"/>
    <col min="2" max="2" width="22" style="33" customWidth="1"/>
    <col min="3" max="3" width="4.28515625" style="33" hidden="1" customWidth="1"/>
    <col min="4" max="5" width="4.140625" style="33" hidden="1" customWidth="1"/>
    <col min="6" max="6" width="4.28515625" style="33" hidden="1" customWidth="1"/>
    <col min="7" max="7" width="4.140625" style="33" hidden="1" customWidth="1"/>
    <col min="8" max="11" width="9.28515625" style="33" hidden="1" customWidth="1"/>
    <col min="12" max="12" width="20.7109375" style="36" hidden="1" customWidth="1"/>
    <col min="13" max="19" width="16.7109375" style="36" hidden="1" customWidth="1"/>
    <col min="20" max="22" width="16.7109375" style="36" customWidth="1"/>
    <col min="23" max="16384" width="9.140625" style="34"/>
  </cols>
  <sheetData>
    <row r="1" spans="1:22" s="28" customFormat="1" x14ac:dyDescent="0.25">
      <c r="A1" s="24" t="s">
        <v>74</v>
      </c>
      <c r="B1" s="25" t="s">
        <v>5</v>
      </c>
      <c r="C1" s="25"/>
      <c r="D1" s="25"/>
      <c r="E1" s="25"/>
      <c r="F1" s="25"/>
      <c r="G1" s="25" t="s">
        <v>0</v>
      </c>
      <c r="H1" s="25" t="s">
        <v>1</v>
      </c>
      <c r="I1" s="25" t="s">
        <v>2</v>
      </c>
      <c r="J1" s="25" t="s">
        <v>9</v>
      </c>
      <c r="K1" s="25"/>
      <c r="L1" s="26" t="s">
        <v>14</v>
      </c>
      <c r="M1" s="26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</row>
    <row r="2" spans="1:22" hidden="1" x14ac:dyDescent="0.25">
      <c r="A2" s="32" t="s">
        <v>122</v>
      </c>
      <c r="B2" s="17" t="str">
        <f>IF(ISNUMBER(SEARCH("(",A2)),IF(ISNUMBER(SEARCH("/",A2)),CONCATENATE(MID(A2,1,2)," ",MID(A2,4,2),SUM(MID(A2,FIND("(",A2)+3,(FIND(":",A2)-(FIND("-",A2)+1))),MID(A2,FIND("/",A2)+1,(FIND(":",A2,FIND("/",A2))-FIND("/",A2)-1))),":",SUM(MID(A2,FIND(":",A2)+1,FIND("/",A2)-(FIND(":",A2)+1)),MID(A2,FIND(":",A2,FIND("/",A2))+1,FIND(")",A2)-FIND(":",A2,FIND("/",A2))-1))," ",MID(A2,(FIND(")",A2)+1),100)),CONCATENATE(MID(A2,1,2)," ",MID(A2,4,2),SUM(MID(A2,FIND("(",A2)+3,(FIND(":",A2)-(FIND("-",A2)+1))),MID(A2,FIND("_",A2)+1,(FIND(":",A2,FIND("_",A2))-FIND("_",A2)-1))),":",SUM(MID(A2,FIND(":",A2)+1,FIND("_",A2)-(FIND(":",A2)+1)),MID(A2,FIND(":",A2,FIND("_",A2))+1,FIND(")",A2)-FIND(":",A2,FIND("_",A2))-1))," ",MID(A2,(FIND(")",A2)+1),100))),A2)</f>
        <v>PG O-32:1</v>
      </c>
      <c r="C2" s="33" t="str">
        <f>MID(B2,6,FIND(":",B2)-FIND("-",B2)-1)</f>
        <v>32</v>
      </c>
      <c r="D2" s="33" t="str">
        <f>IF(ISNUMBER(VALUE(MID(B2,FIND(":",B2)+1,2))),MID(B2,FIND(":",B2)+1,2),MID(B2,FIND(":",B2)+1,1))</f>
        <v>1</v>
      </c>
      <c r="E2" s="33" t="str">
        <f>IF(ISERROR(FIND("O-",A2)),IF(ISERROR(FIND("P-",A2)),"","P-"),"O-")</f>
        <v>O-</v>
      </c>
      <c r="G2" s="33">
        <f>C2+6</f>
        <v>38</v>
      </c>
      <c r="H2" s="33">
        <f>2*G2-(2*D2)-1+2*COUNTIF(B2,"*O-*")-((LEN(A2)-LEN(SUBSTITUTE(A2,"_O_","")))/LEN("_O_"))*2-((LEN(A2)-LEN(SUBSTITUTE(A2,"_CHO_","")))/LEN("_CHO_"))*2-((LEN(A2)-LEN(SUBSTITUTE(A2,"_COOH_","")))/LEN("_COOH_"))*2</f>
        <v>75</v>
      </c>
      <c r="I2" s="33">
        <f>9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9</v>
      </c>
      <c r="J2" s="33">
        <v>1</v>
      </c>
      <c r="L2" s="23" t="str">
        <f>IF(ISERROR(FIND("O-",A2)),IF(ISERROR(FIND("P-",A2)),"",CONCATENATE("C",G2,"H",H2,"O",I2,"P",J2)),CONCATENATE("C",G2,"H",H2,"O",I2,"P",J2))</f>
        <v>C38H75O9P1</v>
      </c>
      <c r="M2" s="23">
        <f>IF(ISERROR(FIND("O-",A2)),IF(ISERROR(FIND("P-",A2)),"",(G2*12)+(H2*1.0078246)+(I2*15.994915)+(J2*30.973763)),(G2*12)+(H2*1.0078246)+(I2*15.994915)+(J2*30.973763))</f>
        <v>706.51484300000004</v>
      </c>
      <c r="N2" s="23">
        <f>M2+1.0078246-0.00055</f>
        <v>707.52211760000012</v>
      </c>
      <c r="O2" s="23">
        <f>N2-18.01057-0.00055</f>
        <v>689.51099760000011</v>
      </c>
      <c r="P2" s="23">
        <f>M2+18.03437-0.00055</f>
        <v>724.54866300000003</v>
      </c>
      <c r="Q2" s="23">
        <f>M2+22.98977-0.00055</f>
        <v>729.50406300000009</v>
      </c>
      <c r="R2" s="23">
        <f>M2+38.96371-0.00055</f>
        <v>745.47800300000006</v>
      </c>
      <c r="S2" s="23">
        <f>M2+7.01601-0.00055</f>
        <v>713.53030300000012</v>
      </c>
      <c r="T2" s="23">
        <f>M2-1.0078246+0.00055</f>
        <v>705.50756839999997</v>
      </c>
      <c r="U2" s="23">
        <f>M2+44.99767+0.00055</f>
        <v>751.51306299999999</v>
      </c>
      <c r="V2" s="23">
        <f>M2+59.01332+0.00055</f>
        <v>765.52871300000004</v>
      </c>
    </row>
    <row r="3" spans="1:22" x14ac:dyDescent="0.25">
      <c r="A3" s="32" t="s">
        <v>129</v>
      </c>
      <c r="B3" s="17" t="str">
        <f>IF(ISNUMBER(SEARCH("(",A3)),IF(ISNUMBER(SEARCH("/",A3)),CONCATENATE(MID(A3,1,2)," ",MID(A3,4,2),SUM(MID(A3,FIND("(",A3)+3,(FIND(":",A3)-(FIND("-",A3)+1))),MID(A3,FIND("/",A3)+1,(FIND(":",A3,FIND("/",A3))-FIND("/",A3)-1))),":",SUM(MID(A3,FIND(":",A3)+1,FIND("/",A3)-(FIND(":",A3)+1)),MID(A3,FIND(":",A3,FIND("/",A3))+1,FIND(")",A3)-FIND(":",A3,FIND("/",A3))-1))," ",MID(A3,(FIND(")",A3)+1),100)),CONCATENATE(MID(A3,1,2)," ",MID(A3,4,2),SUM(MID(A3,FIND("(",A3)+3,(FIND(":",A3)-(FIND("-",A3)+1))),MID(A3,FIND("_",A3)+1,(FIND(":",A3,FIND("_",A3))-FIND("_",A3)-1))),":",SUM(MID(A3,FIND(":",A3)+1,FIND("_",A3)-(FIND(":",A3)+1)),MID(A3,FIND(":",A3,FIND("_",A3))+1,FIND(")",A3)-FIND(":",A3,FIND("_",A3))-1))," ",MID(A3,(FIND(")",A3)+1),100))),A3)</f>
        <v xml:space="preserve">PG O-34:2 </v>
      </c>
      <c r="C3" s="33" t="str">
        <f>MID(B3,6,FIND(":",B3)-FIND("-",B3)-1)</f>
        <v>34</v>
      </c>
      <c r="D3" s="33" t="str">
        <f>IF(ISNUMBER(VALUE(MID(B3,FIND(":",B3)+1,2))),MID(B3,FIND(":",B3)+1,2),MID(B3,FIND(":",B3)+1,1))</f>
        <v xml:space="preserve">2 </v>
      </c>
      <c r="E3" s="33" t="str">
        <f>IF(ISERROR(FIND("O-",A3)),IF(ISERROR(FIND("P-",A3)),"","P-"),"O-")</f>
        <v>O-</v>
      </c>
      <c r="G3" s="33">
        <f>C3+6</f>
        <v>40</v>
      </c>
      <c r="H3" s="33">
        <f>2*G3-(2*D3)-1+2*COUNTIF(B3,"*O-*")-((LEN(A3)-LEN(SUBSTITUTE(A3,"_O_","")))/LEN("_O_"))*2-((LEN(A3)-LEN(SUBSTITUTE(A3,"_CHO_","")))/LEN("_CHO_"))*2-((LEN(A3)-LEN(SUBSTITUTE(A3,"_COOH_","")))/LEN("_COOH_"))*2</f>
        <v>77</v>
      </c>
      <c r="I3" s="33">
        <f>9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9</v>
      </c>
      <c r="J3" s="33">
        <v>1</v>
      </c>
      <c r="L3" s="23" t="str">
        <f>IF(ISERROR(FIND("O-",A3)),IF(ISERROR(FIND("P-",A3)),"",CONCATENATE("C",G3,"H",H3,"O",I3,"P",J3)),CONCATENATE("C",G3,"H",H3,"O",I3,"P",J3))</f>
        <v>C40H77O9P1</v>
      </c>
      <c r="M3" s="23">
        <f>IF(ISERROR(FIND("O-",A3)),IF(ISERROR(FIND("P-",A3)),"",(G3*12)+(H3*1.0078246)+(I3*15.994915)+(J3*30.973763)),(G3*12)+(H3*1.0078246)+(I3*15.994915)+(J3*30.973763))</f>
        <v>732.53049220000003</v>
      </c>
      <c r="N3" s="23">
        <f>M3+1.0078246-0.00055</f>
        <v>733.5377668000001</v>
      </c>
      <c r="O3" s="23">
        <f>N3-18.01057-0.00055</f>
        <v>715.52664680000009</v>
      </c>
      <c r="P3" s="23">
        <f>M3+18.03437-0.00055</f>
        <v>750.56431220000002</v>
      </c>
      <c r="Q3" s="23">
        <f>M3+22.98977-0.00055</f>
        <v>755.51971220000007</v>
      </c>
      <c r="R3" s="23">
        <f>M3+38.96371-0.00055</f>
        <v>771.49365220000004</v>
      </c>
      <c r="S3" s="23">
        <f>M3+7.01601-0.00055</f>
        <v>739.5459522000001</v>
      </c>
      <c r="T3" s="23">
        <f>M3-1.0078246+0.00055</f>
        <v>731.52321759999995</v>
      </c>
      <c r="U3" s="23">
        <f>M3+44.99767+0.00055</f>
        <v>777.52871219999997</v>
      </c>
      <c r="V3" s="23">
        <f>M3+59.01332+0.00055</f>
        <v>791.54436220000002</v>
      </c>
    </row>
    <row r="4" spans="1:22" x14ac:dyDescent="0.25">
      <c r="A4" s="32" t="s">
        <v>123</v>
      </c>
      <c r="B4" s="17" t="str">
        <f t="shared" ref="B4" si="0">IF(ISNUMBER(SEARCH("(",A4)),IF(ISNUMBER(SEARCH("/",A4)),CONCATENATE(MID(A4,1,2)," ",MID(A4,4,2),SUM(MID(A4,FIND("(",A4)+3,(FIND(":",A4)-(FIND("-",A4)+1))),MID(A4,FIND("/",A4)+1,(FIND(":",A4,FIND("/",A4))-FIND("/",A4)-1))),":",SUM(MID(A4,FIND(":",A4)+1,FIND("/",A4)-(FIND(":",A4)+1)),MID(A4,FIND(":",A4,FIND("/",A4))+1,FIND(")",A4)-FIND(":",A4,FIND("/",A4))-1))," ",MID(A4,(FIND(")",A4)+1),100)),CONCATENATE(MID(A4,1,2)," ",MID(A4,4,2),SUM(MID(A4,FIND("(",A4)+3,(FIND(":",A4)-(FIND("-",A4)+1))),MID(A4,FIND("_",A4)+1,(FIND(":",A4,FIND("_",A4))-FIND("_",A4)-1))),":",SUM(MID(A4,FIND(":",A4)+1,FIND("_",A4)-(FIND(":",A4)+1)),MID(A4,FIND(":",A4,FIND("_",A4))+1,FIND(")",A4)-FIND(":",A4,FIND("_",A4))-1))," ",MID(A4,(FIND(")",A4)+1),100))),A4)</f>
        <v>PG P-32:1</v>
      </c>
      <c r="C4" s="33" t="str">
        <f t="shared" ref="C4" si="1">MID(B4,6,FIND(":",B4)-FIND("-",B4)-1)</f>
        <v>32</v>
      </c>
      <c r="D4" s="33" t="str">
        <f t="shared" ref="D4" si="2">IF(ISNUMBER(VALUE(MID(B4,FIND(":",B4)+1,2))),MID(B4,FIND(":",B4)+1,2),MID(B4,FIND(":",B4)+1,1))</f>
        <v>1</v>
      </c>
      <c r="E4" s="33" t="str">
        <f t="shared" ref="E4" si="3">IF(ISERROR(FIND("O-",A4)),IF(ISERROR(FIND("P-",A4)),"","P-"),"O-")</f>
        <v>P-</v>
      </c>
      <c r="G4" s="33">
        <f t="shared" ref="G4" si="4">C4+6</f>
        <v>38</v>
      </c>
      <c r="H4" s="33">
        <f t="shared" ref="H4" si="5">2*G4-(2*D4)-1+2*COUNTIF(B4,"*O-*")-((LEN(A4)-LEN(SUBSTITUTE(A4,"_O_","")))/LEN("_O_"))*2-((LEN(A4)-LEN(SUBSTITUTE(A4,"_CHO_","")))/LEN("_CHO_"))*2-((LEN(A4)-LEN(SUBSTITUTE(A4,"_COOH_","")))/LEN("_COOH_"))*2</f>
        <v>73</v>
      </c>
      <c r="I4" s="33">
        <f t="shared" ref="I4" si="6">9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9</v>
      </c>
      <c r="J4" s="33">
        <v>1</v>
      </c>
      <c r="L4" s="23" t="str">
        <f t="shared" ref="L4" si="7">IF(ISERROR(FIND("O-",A4)),IF(ISERROR(FIND("P-",A4)),"",CONCATENATE("C",G4,"H",H4,"O",I4,"P",J4)),CONCATENATE("C",G4,"H",H4,"O",I4,"P",J4))</f>
        <v>C38H73O9P1</v>
      </c>
      <c r="M4" s="23">
        <f t="shared" ref="M4" si="8">IF(ISERROR(FIND("O-",A4)),IF(ISERROR(FIND("P-",A4)),"",(G4*12)+(H4*1.0078246)+(I4*15.994915)+(J4*30.973763)),(G4*12)+(H4*1.0078246)+(I4*15.994915)+(J4*30.973763))</f>
        <v>704.49919379999994</v>
      </c>
      <c r="N4" s="23">
        <f t="shared" ref="N4" si="9">M4+1.0078246-0.00055</f>
        <v>705.50646840000002</v>
      </c>
      <c r="O4" s="23">
        <f t="shared" ref="O4" si="10">N4-18.01057-0.00055</f>
        <v>687.49534840000001</v>
      </c>
      <c r="P4" s="23">
        <f t="shared" ref="P4" si="11">M4+18.03437-0.00055</f>
        <v>722.53301379999994</v>
      </c>
      <c r="Q4" s="23">
        <f t="shared" ref="Q4" si="12">M4+22.98977-0.00055</f>
        <v>727.48841379999999</v>
      </c>
      <c r="R4" s="23">
        <f t="shared" ref="R4" si="13">M4+38.96371-0.00055</f>
        <v>743.46235379999996</v>
      </c>
      <c r="S4" s="23">
        <f t="shared" ref="S4" si="14">M4+7.01601-0.00055</f>
        <v>711.51465380000002</v>
      </c>
      <c r="T4" s="23">
        <f t="shared" ref="T4" si="15">M4-1.0078246+0.00055</f>
        <v>703.49191919999987</v>
      </c>
      <c r="U4" s="23">
        <f t="shared" ref="U4" si="16">M4+44.99767+0.00055</f>
        <v>749.49741379999989</v>
      </c>
      <c r="V4" s="23">
        <f t="shared" ref="V4" si="17">M4+59.01332+0.00055</f>
        <v>763.51306379999994</v>
      </c>
    </row>
    <row r="5" spans="1:22" x14ac:dyDescent="0.25">
      <c r="A5" s="33" t="s">
        <v>130</v>
      </c>
      <c r="B5" s="17" t="str">
        <f t="shared" ref="B5:B13" si="18">IF(ISNUMBER(SEARCH("(",A5)),IF(ISNUMBER(SEARCH("/",A5)),CONCATENATE(MID(A5,1,2)," ",MID(A5,4,2),SUM(MID(A5,FIND("(",A5)+3,(FIND(":",A5)-(FIND("-",A5)+1))),MID(A5,FIND("/",A5)+1,(FIND(":",A5,FIND("/",A5))-FIND("/",A5)-1))),":",SUM(MID(A5,FIND(":",A5)+1,FIND("/",A5)-(FIND(":",A5)+1)),MID(A5,FIND(":",A5,FIND("/",A5))+1,FIND(")",A5)-FIND(":",A5,FIND("/",A5))-1))," ",MID(A5,(FIND(")",A5)+1),100)),CONCATENATE(MID(A5,1,2)," ",MID(A5,4,2),SUM(MID(A5,FIND("(",A5)+3,(FIND(":",A5)-(FIND("-",A5)+1))),MID(A5,FIND("_",A5)+1,(FIND(":",A5,FIND("_",A5))-FIND("_",A5)-1))),":",SUM(MID(A5,FIND(":",A5)+1,FIND("_",A5)-(FIND(":",A5)+1)),MID(A5,FIND(":",A5,FIND("_",A5))+1,FIND(")",A5)-FIND(":",A5,FIND("_",A5))-1))," ",MID(A5,(FIND(")",A5)+1),100))),A5)</f>
        <v xml:space="preserve">PG O-38:2 </v>
      </c>
      <c r="C5" s="33" t="str">
        <f t="shared" ref="C5:C13" si="19">MID(B5,6,FIND(":",B5)-FIND("-",B5)-1)</f>
        <v>38</v>
      </c>
      <c r="D5" s="33" t="str">
        <f t="shared" ref="D5:D13" si="20">IF(ISNUMBER(VALUE(MID(B5,FIND(":",B5)+1,2))),MID(B5,FIND(":",B5)+1,2),MID(B5,FIND(":",B5)+1,1))</f>
        <v xml:space="preserve">2 </v>
      </c>
      <c r="E5" s="33" t="str">
        <f t="shared" ref="E5:E13" si="21">IF(ISERROR(FIND("O-",A5)),IF(ISERROR(FIND("P-",A5)),"","P-"),"O-")</f>
        <v>O-</v>
      </c>
      <c r="G5" s="33">
        <f t="shared" ref="G5:G13" si="22">C5+6</f>
        <v>44</v>
      </c>
      <c r="H5" s="33">
        <f t="shared" ref="H5:H13" si="23">2*G5-(2*D5)-1+2*COUNTIF(B5,"*O-*")-((LEN(A5)-LEN(SUBSTITUTE(A5,"_O_","")))/LEN("_O_"))*2-((LEN(A5)-LEN(SUBSTITUTE(A5,"_CHO_","")))/LEN("_CHO_"))*2-((LEN(A5)-LEN(SUBSTITUTE(A5,"_COOH_","")))/LEN("_COOH_"))*2</f>
        <v>85</v>
      </c>
      <c r="I5" s="33">
        <f t="shared" ref="I5:I13" si="24">9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9</v>
      </c>
      <c r="J5" s="33">
        <v>1</v>
      </c>
      <c r="L5" s="23" t="str">
        <f t="shared" ref="L5:L13" si="25">IF(ISERROR(FIND("O-",A5)),IF(ISERROR(FIND("P-",A5)),"",CONCATENATE("C",G5,"H",H5,"O",I5,"P",J5)),CONCATENATE("C",G5,"H",H5,"O",I5,"P",J5))</f>
        <v>C44H85O9P1</v>
      </c>
      <c r="M5" s="23">
        <f t="shared" ref="M5:M13" si="26">IF(ISERROR(FIND("O-",A5)),IF(ISERROR(FIND("P-",A5)),"",(G5*12)+(H5*1.0078246)+(I5*15.994915)+(J5*30.973763)),(G5*12)+(H5*1.0078246)+(I5*15.994915)+(J5*30.973763))</f>
        <v>788.59308899999996</v>
      </c>
      <c r="N5" s="23">
        <f t="shared" ref="N5:N13" si="27">M5+1.0078246-0.00055</f>
        <v>789.60036360000004</v>
      </c>
      <c r="O5" s="23">
        <f t="shared" ref="O5:O13" si="28">N5-18.01057-0.00055</f>
        <v>771.58924360000003</v>
      </c>
      <c r="P5" s="23">
        <f t="shared" ref="P5:P13" si="29">M5+18.03437-0.00055</f>
        <v>806.62690899999996</v>
      </c>
      <c r="Q5" s="23">
        <f t="shared" ref="Q5:Q13" si="30">M5+22.98977-0.00055</f>
        <v>811.58230900000001</v>
      </c>
      <c r="R5" s="23">
        <f t="shared" ref="R5:R13" si="31">M5+38.96371-0.00055</f>
        <v>827.55624899999998</v>
      </c>
      <c r="S5" s="23">
        <f t="shared" ref="S5:S13" si="32">M5+7.01601-0.00055</f>
        <v>795.60854900000004</v>
      </c>
      <c r="T5" s="23">
        <f t="shared" ref="T5:T13" si="33">M5-1.0078246+0.00055</f>
        <v>787.58581439999989</v>
      </c>
      <c r="U5" s="23">
        <f t="shared" ref="U5:U13" si="34">M5+44.99767+0.00055</f>
        <v>833.59130899999991</v>
      </c>
      <c r="V5" s="23">
        <f t="shared" ref="V5:V13" si="35">M5+59.01332+0.00055</f>
        <v>847.60695899999996</v>
      </c>
    </row>
    <row r="6" spans="1:22" x14ac:dyDescent="0.25">
      <c r="A6" s="33" t="s">
        <v>293</v>
      </c>
      <c r="B6" s="17" t="str">
        <f t="shared" si="18"/>
        <v>PG P-29:0</v>
      </c>
      <c r="C6" s="33" t="str">
        <f t="shared" si="19"/>
        <v>29</v>
      </c>
      <c r="D6" s="33" t="str">
        <f t="shared" si="20"/>
        <v>0</v>
      </c>
      <c r="E6" s="33" t="str">
        <f t="shared" si="21"/>
        <v>P-</v>
      </c>
      <c r="G6" s="33">
        <f t="shared" si="22"/>
        <v>35</v>
      </c>
      <c r="H6" s="33">
        <f t="shared" si="23"/>
        <v>69</v>
      </c>
      <c r="I6" s="33">
        <f t="shared" si="24"/>
        <v>9</v>
      </c>
      <c r="J6" s="33">
        <v>1</v>
      </c>
      <c r="L6" s="23" t="str">
        <f t="shared" si="25"/>
        <v>C35H69O9P1</v>
      </c>
      <c r="M6" s="23">
        <f t="shared" si="26"/>
        <v>664.46789539999997</v>
      </c>
      <c r="N6" s="23">
        <f t="shared" si="27"/>
        <v>665.47517000000005</v>
      </c>
      <c r="O6" s="23">
        <f t="shared" si="28"/>
        <v>647.46405000000004</v>
      </c>
      <c r="P6" s="23">
        <f t="shared" si="29"/>
        <v>682.50171539999997</v>
      </c>
      <c r="Q6" s="23">
        <f t="shared" si="30"/>
        <v>687.45711540000002</v>
      </c>
      <c r="R6" s="23">
        <f t="shared" si="31"/>
        <v>703.43105539999999</v>
      </c>
      <c r="S6" s="23">
        <f t="shared" si="32"/>
        <v>671.48335540000005</v>
      </c>
      <c r="T6" s="23">
        <f t="shared" si="33"/>
        <v>663.4606207999999</v>
      </c>
      <c r="U6" s="23">
        <f t="shared" si="34"/>
        <v>709.46611539999992</v>
      </c>
      <c r="V6" s="23">
        <f t="shared" si="35"/>
        <v>723.48176539999997</v>
      </c>
    </row>
    <row r="7" spans="1:22" x14ac:dyDescent="0.25">
      <c r="A7" s="33" t="s">
        <v>294</v>
      </c>
      <c r="B7" s="17" t="str">
        <f t="shared" si="18"/>
        <v>PG P-30:0</v>
      </c>
      <c r="C7" s="33" t="str">
        <f t="shared" si="19"/>
        <v>30</v>
      </c>
      <c r="D7" s="33" t="str">
        <f t="shared" si="20"/>
        <v>0</v>
      </c>
      <c r="E7" s="33" t="str">
        <f t="shared" si="21"/>
        <v>P-</v>
      </c>
      <c r="G7" s="33">
        <f t="shared" si="22"/>
        <v>36</v>
      </c>
      <c r="H7" s="33">
        <f t="shared" si="23"/>
        <v>71</v>
      </c>
      <c r="I7" s="33">
        <f t="shared" si="24"/>
        <v>9</v>
      </c>
      <c r="J7" s="33">
        <v>1</v>
      </c>
      <c r="L7" s="23" t="str">
        <f t="shared" si="25"/>
        <v>C36H71O9P1</v>
      </c>
      <c r="M7" s="23">
        <f t="shared" si="26"/>
        <v>678.48354459999996</v>
      </c>
      <c r="N7" s="23">
        <f t="shared" si="27"/>
        <v>679.49081920000003</v>
      </c>
      <c r="O7" s="23">
        <f t="shared" si="28"/>
        <v>661.47969920000003</v>
      </c>
      <c r="P7" s="23">
        <f t="shared" si="29"/>
        <v>696.51736459999995</v>
      </c>
      <c r="Q7" s="23">
        <f t="shared" si="30"/>
        <v>701.4727646</v>
      </c>
      <c r="R7" s="23">
        <f t="shared" si="31"/>
        <v>717.44670459999998</v>
      </c>
      <c r="S7" s="23">
        <f t="shared" si="32"/>
        <v>685.49900460000003</v>
      </c>
      <c r="T7" s="23">
        <f t="shared" si="33"/>
        <v>677.47626999999989</v>
      </c>
      <c r="U7" s="23">
        <f t="shared" si="34"/>
        <v>723.48176459999991</v>
      </c>
      <c r="V7" s="23">
        <f t="shared" si="35"/>
        <v>737.49741459999996</v>
      </c>
    </row>
    <row r="8" spans="1:22" x14ac:dyDescent="0.25">
      <c r="A8" s="33" t="s">
        <v>295</v>
      </c>
      <c r="B8" s="17" t="str">
        <f t="shared" si="18"/>
        <v>PG P-31:0</v>
      </c>
      <c r="C8" s="33" t="str">
        <f t="shared" si="19"/>
        <v>31</v>
      </c>
      <c r="D8" s="33" t="str">
        <f t="shared" si="20"/>
        <v>0</v>
      </c>
      <c r="E8" s="33" t="str">
        <f t="shared" si="21"/>
        <v>P-</v>
      </c>
      <c r="G8" s="33">
        <f t="shared" si="22"/>
        <v>37</v>
      </c>
      <c r="H8" s="33">
        <f t="shared" si="23"/>
        <v>73</v>
      </c>
      <c r="I8" s="33">
        <f t="shared" si="24"/>
        <v>9</v>
      </c>
      <c r="J8" s="33">
        <v>1</v>
      </c>
      <c r="L8" s="23" t="str">
        <f t="shared" si="25"/>
        <v>C37H73O9P1</v>
      </c>
      <c r="M8" s="23">
        <f t="shared" si="26"/>
        <v>692.49919379999994</v>
      </c>
      <c r="N8" s="23">
        <f t="shared" si="27"/>
        <v>693.50646840000002</v>
      </c>
      <c r="O8" s="23">
        <f t="shared" si="28"/>
        <v>675.49534840000001</v>
      </c>
      <c r="P8" s="23">
        <f t="shared" si="29"/>
        <v>710.53301379999994</v>
      </c>
      <c r="Q8" s="23">
        <f t="shared" si="30"/>
        <v>715.48841379999999</v>
      </c>
      <c r="R8" s="23">
        <f t="shared" si="31"/>
        <v>731.46235379999996</v>
      </c>
      <c r="S8" s="23">
        <f t="shared" si="32"/>
        <v>699.51465380000002</v>
      </c>
      <c r="T8" s="23">
        <f t="shared" si="33"/>
        <v>691.49191919999987</v>
      </c>
      <c r="U8" s="23">
        <f t="shared" si="34"/>
        <v>737.49741379999989</v>
      </c>
      <c r="V8" s="23">
        <f t="shared" si="35"/>
        <v>751.51306379999994</v>
      </c>
    </row>
    <row r="9" spans="1:22" x14ac:dyDescent="0.25">
      <c r="A9" s="33" t="s">
        <v>296</v>
      </c>
      <c r="B9" s="17" t="str">
        <f t="shared" si="18"/>
        <v>PG P-32:0</v>
      </c>
      <c r="C9" s="33" t="str">
        <f t="shared" si="19"/>
        <v>32</v>
      </c>
      <c r="D9" s="33" t="str">
        <f t="shared" si="20"/>
        <v>0</v>
      </c>
      <c r="E9" s="33" t="str">
        <f t="shared" si="21"/>
        <v>P-</v>
      </c>
      <c r="G9" s="33">
        <f t="shared" si="22"/>
        <v>38</v>
      </c>
      <c r="H9" s="33">
        <f t="shared" si="23"/>
        <v>75</v>
      </c>
      <c r="I9" s="33">
        <f t="shared" si="24"/>
        <v>9</v>
      </c>
      <c r="J9" s="33">
        <v>1</v>
      </c>
      <c r="L9" s="23" t="str">
        <f t="shared" si="25"/>
        <v>C38H75O9P1</v>
      </c>
      <c r="M9" s="23">
        <f t="shared" si="26"/>
        <v>706.51484300000004</v>
      </c>
      <c r="N9" s="23">
        <f t="shared" si="27"/>
        <v>707.52211760000012</v>
      </c>
      <c r="O9" s="23">
        <f t="shared" si="28"/>
        <v>689.51099760000011</v>
      </c>
      <c r="P9" s="23">
        <f t="shared" si="29"/>
        <v>724.54866300000003</v>
      </c>
      <c r="Q9" s="23">
        <f t="shared" si="30"/>
        <v>729.50406300000009</v>
      </c>
      <c r="R9" s="23">
        <f t="shared" si="31"/>
        <v>745.47800300000006</v>
      </c>
      <c r="S9" s="23">
        <f t="shared" si="32"/>
        <v>713.53030300000012</v>
      </c>
      <c r="T9" s="23">
        <f t="shared" si="33"/>
        <v>705.50756839999997</v>
      </c>
      <c r="U9" s="23">
        <f t="shared" si="34"/>
        <v>751.51306299999999</v>
      </c>
      <c r="V9" s="23">
        <f t="shared" si="35"/>
        <v>765.52871300000004</v>
      </c>
    </row>
    <row r="10" spans="1:22" x14ac:dyDescent="0.25">
      <c r="A10" s="33" t="s">
        <v>297</v>
      </c>
      <c r="B10" s="17" t="str">
        <f t="shared" si="18"/>
        <v>PG P-33:0</v>
      </c>
      <c r="C10" s="33" t="str">
        <f t="shared" si="19"/>
        <v>33</v>
      </c>
      <c r="D10" s="33" t="str">
        <f t="shared" si="20"/>
        <v>0</v>
      </c>
      <c r="E10" s="33" t="str">
        <f t="shared" si="21"/>
        <v>P-</v>
      </c>
      <c r="G10" s="33">
        <f t="shared" si="22"/>
        <v>39</v>
      </c>
      <c r="H10" s="33">
        <f t="shared" si="23"/>
        <v>77</v>
      </c>
      <c r="I10" s="33">
        <f t="shared" si="24"/>
        <v>9</v>
      </c>
      <c r="J10" s="33">
        <v>1</v>
      </c>
      <c r="L10" s="23" t="str">
        <f t="shared" si="25"/>
        <v>C39H77O9P1</v>
      </c>
      <c r="M10" s="23">
        <f t="shared" si="26"/>
        <v>720.53049220000003</v>
      </c>
      <c r="N10" s="23">
        <f t="shared" si="27"/>
        <v>721.5377668000001</v>
      </c>
      <c r="O10" s="23">
        <f t="shared" si="28"/>
        <v>703.52664680000009</v>
      </c>
      <c r="P10" s="23">
        <f t="shared" si="29"/>
        <v>738.56431220000002</v>
      </c>
      <c r="Q10" s="23">
        <f t="shared" si="30"/>
        <v>743.51971220000007</v>
      </c>
      <c r="R10" s="23">
        <f t="shared" si="31"/>
        <v>759.49365220000004</v>
      </c>
      <c r="S10" s="23">
        <f t="shared" si="32"/>
        <v>727.5459522000001</v>
      </c>
      <c r="T10" s="23">
        <f t="shared" si="33"/>
        <v>719.52321759999995</v>
      </c>
      <c r="U10" s="23">
        <f t="shared" si="34"/>
        <v>765.52871219999997</v>
      </c>
      <c r="V10" s="23">
        <f t="shared" si="35"/>
        <v>779.54436220000002</v>
      </c>
    </row>
    <row r="11" spans="1:22" x14ac:dyDescent="0.25">
      <c r="A11" s="33" t="s">
        <v>298</v>
      </c>
      <c r="B11" s="17" t="str">
        <f t="shared" si="18"/>
        <v>PG P-34:0</v>
      </c>
      <c r="C11" s="33" t="str">
        <f t="shared" si="19"/>
        <v>34</v>
      </c>
      <c r="D11" s="33" t="str">
        <f t="shared" si="20"/>
        <v>0</v>
      </c>
      <c r="E11" s="33" t="str">
        <f t="shared" si="21"/>
        <v>P-</v>
      </c>
      <c r="G11" s="33">
        <f t="shared" si="22"/>
        <v>40</v>
      </c>
      <c r="H11" s="33">
        <f t="shared" si="23"/>
        <v>79</v>
      </c>
      <c r="I11" s="33">
        <f t="shared" si="24"/>
        <v>9</v>
      </c>
      <c r="J11" s="33">
        <v>1</v>
      </c>
      <c r="L11" s="23" t="str">
        <f t="shared" si="25"/>
        <v>C40H79O9P1</v>
      </c>
      <c r="M11" s="23">
        <f t="shared" si="26"/>
        <v>734.54614140000001</v>
      </c>
      <c r="N11" s="23">
        <f t="shared" si="27"/>
        <v>735.55341600000008</v>
      </c>
      <c r="O11" s="23">
        <f t="shared" si="28"/>
        <v>717.54229600000008</v>
      </c>
      <c r="P11" s="23">
        <f t="shared" si="29"/>
        <v>752.5799614</v>
      </c>
      <c r="Q11" s="23">
        <f t="shared" si="30"/>
        <v>757.53536140000006</v>
      </c>
      <c r="R11" s="23">
        <f t="shared" si="31"/>
        <v>773.50930140000003</v>
      </c>
      <c r="S11" s="23">
        <f t="shared" si="32"/>
        <v>741.56160140000009</v>
      </c>
      <c r="T11" s="23">
        <f t="shared" si="33"/>
        <v>733.53886679999994</v>
      </c>
      <c r="U11" s="23">
        <f t="shared" si="34"/>
        <v>779.54436139999996</v>
      </c>
      <c r="V11" s="23">
        <f t="shared" si="35"/>
        <v>793.56001140000001</v>
      </c>
    </row>
    <row r="12" spans="1:22" x14ac:dyDescent="0.25">
      <c r="A12" s="33" t="s">
        <v>299</v>
      </c>
      <c r="B12" s="17" t="str">
        <f t="shared" si="18"/>
        <v>PG P-35:0</v>
      </c>
      <c r="C12" s="33" t="str">
        <f t="shared" si="19"/>
        <v>35</v>
      </c>
      <c r="D12" s="33" t="str">
        <f t="shared" si="20"/>
        <v>0</v>
      </c>
      <c r="E12" s="33" t="str">
        <f t="shared" si="21"/>
        <v>P-</v>
      </c>
      <c r="G12" s="33">
        <f t="shared" si="22"/>
        <v>41</v>
      </c>
      <c r="H12" s="33">
        <f t="shared" si="23"/>
        <v>81</v>
      </c>
      <c r="I12" s="33">
        <f t="shared" si="24"/>
        <v>9</v>
      </c>
      <c r="J12" s="33">
        <v>1</v>
      </c>
      <c r="L12" s="23" t="str">
        <f t="shared" si="25"/>
        <v>C41H81O9P1</v>
      </c>
      <c r="M12" s="23">
        <f t="shared" si="26"/>
        <v>748.56179059999999</v>
      </c>
      <c r="N12" s="23">
        <f t="shared" si="27"/>
        <v>749.56906520000007</v>
      </c>
      <c r="O12" s="23">
        <f t="shared" si="28"/>
        <v>731.55794520000006</v>
      </c>
      <c r="P12" s="23">
        <f t="shared" si="29"/>
        <v>766.59561059999999</v>
      </c>
      <c r="Q12" s="23">
        <f t="shared" si="30"/>
        <v>771.55101060000004</v>
      </c>
      <c r="R12" s="23">
        <f t="shared" si="31"/>
        <v>787.52495060000001</v>
      </c>
      <c r="S12" s="23">
        <f t="shared" si="32"/>
        <v>755.57725060000007</v>
      </c>
      <c r="T12" s="23">
        <f t="shared" si="33"/>
        <v>747.55451599999992</v>
      </c>
      <c r="U12" s="23">
        <f t="shared" si="34"/>
        <v>793.56001059999994</v>
      </c>
      <c r="V12" s="23">
        <f t="shared" si="35"/>
        <v>807.57566059999999</v>
      </c>
    </row>
    <row r="13" spans="1:22" x14ac:dyDescent="0.25">
      <c r="A13" s="33" t="s">
        <v>289</v>
      </c>
      <c r="B13" s="17" t="str">
        <f t="shared" si="18"/>
        <v>PG P-36:0</v>
      </c>
      <c r="C13" s="33" t="str">
        <f t="shared" si="19"/>
        <v>36</v>
      </c>
      <c r="D13" s="33" t="str">
        <f t="shared" si="20"/>
        <v>0</v>
      </c>
      <c r="E13" s="33" t="str">
        <f t="shared" si="21"/>
        <v>P-</v>
      </c>
      <c r="G13" s="33">
        <f t="shared" si="22"/>
        <v>42</v>
      </c>
      <c r="H13" s="33">
        <f t="shared" si="23"/>
        <v>83</v>
      </c>
      <c r="I13" s="33">
        <f t="shared" si="24"/>
        <v>9</v>
      </c>
      <c r="J13" s="33">
        <v>1</v>
      </c>
      <c r="L13" s="23" t="str">
        <f t="shared" si="25"/>
        <v>C42H83O9P1</v>
      </c>
      <c r="M13" s="23">
        <f t="shared" si="26"/>
        <v>762.57743979999998</v>
      </c>
      <c r="N13" s="23">
        <f t="shared" si="27"/>
        <v>763.58471440000005</v>
      </c>
      <c r="O13" s="23">
        <f t="shared" si="28"/>
        <v>745.57359440000005</v>
      </c>
      <c r="P13" s="23">
        <f t="shared" si="29"/>
        <v>780.61125979999997</v>
      </c>
      <c r="Q13" s="23">
        <f t="shared" si="30"/>
        <v>785.56665980000002</v>
      </c>
      <c r="R13" s="23">
        <f t="shared" si="31"/>
        <v>801.5405998</v>
      </c>
      <c r="S13" s="23">
        <f t="shared" si="32"/>
        <v>769.59289980000005</v>
      </c>
      <c r="T13" s="23">
        <f t="shared" si="33"/>
        <v>761.57016519999991</v>
      </c>
      <c r="U13" s="23">
        <f t="shared" si="34"/>
        <v>807.57565979999993</v>
      </c>
      <c r="V13" s="23">
        <f t="shared" si="35"/>
        <v>821.59130979999998</v>
      </c>
    </row>
    <row r="14" spans="1:22" x14ac:dyDescent="0.25">
      <c r="A14" s="33"/>
      <c r="B14" s="17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</row>
    <row r="15" spans="1:22" x14ac:dyDescent="0.25">
      <c r="A15" s="35" t="s">
        <v>302</v>
      </c>
      <c r="B15" s="17" t="str">
        <f t="shared" ref="B15:B25" si="36">IF(ISNUMBER(SEARCH("(",A15)),IF(ISNUMBER(SEARCH("/",A15)),CONCATENATE(MID(A15,1,2)," ",MID(A15,4,2),SUM(MID(A15,FIND("(",A15)+3,(FIND(":",A15)-(FIND("-",A15)+1))),MID(A15,FIND("/",A15)+1,(FIND(":",A15,FIND("/",A15))-FIND("/",A15)-1))),":",SUM(MID(A15,FIND(":",A15)+1,FIND("/",A15)-(FIND(":",A15)+1)),MID(A15,FIND(":",A15,FIND("/",A15))+1,FIND(")",A15)-FIND(":",A15,FIND("/",A15))-1))," ",MID(A15,(FIND(")",A15)+1),100)),CONCATENATE(MID(A15,1,2)," ",MID(A15,4,2),SUM(MID(A15,FIND("(",A15)+3,(FIND(":",A15)-(FIND("-",A15)+1))),MID(A15,FIND("_",A15)+1,(FIND(":",A15,FIND("_",A15))-FIND("_",A15)-1))),":",SUM(MID(A15,FIND(":",A15)+1,FIND("_",A15)-(FIND(":",A15)+1)),MID(A15,FIND(":",A15,FIND("_",A15))+1,FIND(")",A15)-FIND(":",A15,FIND("_",A15))-1))," ",MID(A15,(FIND(")",A15)+1),100))),A15)</f>
        <v>PG P-31:3</v>
      </c>
      <c r="C15" s="33" t="str">
        <f t="shared" ref="C15:C25" si="37">MID(B15,6,FIND(":",B15)-FIND("-",B15)-1)</f>
        <v>31</v>
      </c>
      <c r="D15" s="33" t="str">
        <f t="shared" ref="D15:D25" si="38">IF(ISNUMBER(VALUE(MID(B15,FIND(":",B15)+1,2))),MID(B15,FIND(":",B15)+1,2),MID(B15,FIND(":",B15)+1,1))</f>
        <v>3</v>
      </c>
      <c r="E15" s="33" t="str">
        <f t="shared" ref="E15:E25" si="39">IF(ISERROR(FIND("O-",A15)),IF(ISERROR(FIND("P-",A15)),"","P-"),"O-")</f>
        <v>P-</v>
      </c>
      <c r="G15" s="33">
        <f t="shared" ref="G15:G25" si="40">C15+6</f>
        <v>37</v>
      </c>
      <c r="H15" s="33">
        <f t="shared" ref="H15:H25" si="41">2*G15-(2*D15)-1+2*COUNTIF(B15,"*O-*")-((LEN(A15)-LEN(SUBSTITUTE(A15,"_O_","")))/LEN("_O_"))*2-((LEN(A15)-LEN(SUBSTITUTE(A15,"_CHO_","")))/LEN("_CHO_"))*2-((LEN(A15)-LEN(SUBSTITUTE(A15,"_COOH_","")))/LEN("_COOH_"))*2</f>
        <v>67</v>
      </c>
      <c r="I15" s="33">
        <f t="shared" ref="I15:I25" si="42">9+((LEN(A15)-LEN(SUBSTITUTE(A15,"_OH_","")))/LEN("_OH_"))*1+((LEN(A15)-LEN(SUBSTITUTE(A15,"_OOH_","")))/LEN("_OOH_"))*2+((LEN(A15)-LEN(SUBSTITUTE(A15,"_O_","")))/LEN("_O_"))*1+((LEN(A15)-LEN(SUBSTITUTE(A15,"_CHO_","")))/LEN("_CHO_"))*1+((LEN(A15)-LEN(SUBSTITUTE(A15,"_COOH_","")))/LEN("_COOH_"))*2</f>
        <v>9</v>
      </c>
      <c r="J15" s="33">
        <v>1</v>
      </c>
      <c r="L15" s="23" t="str">
        <f t="shared" ref="L15:L25" si="43">IF(ISERROR(FIND("O-",A15)),IF(ISERROR(FIND("P-",A15)),"",CONCATENATE("C",G15,"H",H15,"O",I15,"P",J15)),CONCATENATE("C",G15,"H",H15,"O",I15,"P",J15))</f>
        <v>C37H67O9P1</v>
      </c>
      <c r="M15" s="23">
        <f t="shared" ref="M15:M25" si="44">IF(ISERROR(FIND("O-",A15)),IF(ISERROR(FIND("P-",A15)),"",(G15*12)+(H15*1.0078246)+(I15*15.994915)+(J15*30.973763)),(G15*12)+(H15*1.0078246)+(I15*15.994915)+(J15*30.973763))</f>
        <v>686.45224619999999</v>
      </c>
      <c r="N15" s="23">
        <f t="shared" ref="N15:N25" si="45">M15+1.0078246-0.00055</f>
        <v>687.45952080000006</v>
      </c>
      <c r="O15" s="23">
        <f t="shared" ref="O15:O25" si="46">N15-18.01057-0.00055</f>
        <v>669.44840080000006</v>
      </c>
      <c r="P15" s="23">
        <f t="shared" ref="P15:P25" si="47">M15+18.03437-0.00055</f>
        <v>704.48606619999998</v>
      </c>
      <c r="Q15" s="23">
        <f t="shared" ref="Q15:Q25" si="48">M15+22.98977-0.00055</f>
        <v>709.44146620000004</v>
      </c>
      <c r="R15" s="23">
        <f t="shared" ref="R15:R25" si="49">M15+38.96371-0.00055</f>
        <v>725.41540620000001</v>
      </c>
      <c r="S15" s="23">
        <f t="shared" ref="S15:S25" si="50">M15+7.01601-0.00055</f>
        <v>693.46770620000007</v>
      </c>
      <c r="T15" s="23">
        <f t="shared" ref="T15:T25" si="51">M15-1.0078246+0.00055</f>
        <v>685.44497159999992</v>
      </c>
      <c r="U15" s="23">
        <f t="shared" ref="U15:U25" si="52">M15+44.99767+0.00055</f>
        <v>731.45046619999994</v>
      </c>
      <c r="V15" s="23">
        <f t="shared" ref="V15:V25" si="53">M15+59.01332+0.00055</f>
        <v>745.46611619999999</v>
      </c>
    </row>
    <row r="16" spans="1:22" x14ac:dyDescent="0.25">
      <c r="A16" s="35" t="s">
        <v>301</v>
      </c>
      <c r="B16" s="17" t="str">
        <f t="shared" si="36"/>
        <v>PG P-31:2</v>
      </c>
      <c r="C16" s="33" t="str">
        <f t="shared" si="37"/>
        <v>31</v>
      </c>
      <c r="D16" s="33" t="str">
        <f t="shared" si="38"/>
        <v>2</v>
      </c>
      <c r="E16" s="33" t="str">
        <f t="shared" si="39"/>
        <v>P-</v>
      </c>
      <c r="G16" s="33">
        <f t="shared" si="40"/>
        <v>37</v>
      </c>
      <c r="H16" s="33">
        <f t="shared" si="41"/>
        <v>69</v>
      </c>
      <c r="I16" s="33">
        <f t="shared" si="42"/>
        <v>9</v>
      </c>
      <c r="J16" s="33">
        <v>1</v>
      </c>
      <c r="L16" s="23" t="str">
        <f t="shared" si="43"/>
        <v>C37H69O9P1</v>
      </c>
      <c r="M16" s="23">
        <f t="shared" si="44"/>
        <v>688.46789539999997</v>
      </c>
      <c r="N16" s="23">
        <f t="shared" si="45"/>
        <v>689.47517000000005</v>
      </c>
      <c r="O16" s="23">
        <f t="shared" si="46"/>
        <v>671.46405000000004</v>
      </c>
      <c r="P16" s="23">
        <f t="shared" si="47"/>
        <v>706.50171539999997</v>
      </c>
      <c r="Q16" s="23">
        <f t="shared" si="48"/>
        <v>711.45711540000002</v>
      </c>
      <c r="R16" s="23">
        <f t="shared" si="49"/>
        <v>727.43105539999999</v>
      </c>
      <c r="S16" s="23">
        <f t="shared" si="50"/>
        <v>695.48335540000005</v>
      </c>
      <c r="T16" s="23">
        <f t="shared" si="51"/>
        <v>687.4606207999999</v>
      </c>
      <c r="U16" s="23">
        <f t="shared" si="52"/>
        <v>733.46611539999992</v>
      </c>
      <c r="V16" s="23">
        <f t="shared" si="53"/>
        <v>747.48176539999997</v>
      </c>
    </row>
    <row r="17" spans="1:22" x14ac:dyDescent="0.25">
      <c r="A17" s="35" t="s">
        <v>300</v>
      </c>
      <c r="B17" s="17" t="str">
        <f t="shared" si="36"/>
        <v>PG P-31:1</v>
      </c>
      <c r="C17" s="33" t="str">
        <f t="shared" si="37"/>
        <v>31</v>
      </c>
      <c r="D17" s="33" t="str">
        <f t="shared" si="38"/>
        <v>1</v>
      </c>
      <c r="E17" s="33" t="str">
        <f t="shared" si="39"/>
        <v>P-</v>
      </c>
      <c r="G17" s="33">
        <f t="shared" si="40"/>
        <v>37</v>
      </c>
      <c r="H17" s="33">
        <f t="shared" si="41"/>
        <v>71</v>
      </c>
      <c r="I17" s="33">
        <f t="shared" si="42"/>
        <v>9</v>
      </c>
      <c r="J17" s="33">
        <v>1</v>
      </c>
      <c r="L17" s="23" t="str">
        <f t="shared" si="43"/>
        <v>C37H71O9P1</v>
      </c>
      <c r="M17" s="23">
        <f t="shared" si="44"/>
        <v>690.48354459999996</v>
      </c>
      <c r="N17" s="23">
        <f t="shared" si="45"/>
        <v>691.49081920000003</v>
      </c>
      <c r="O17" s="23">
        <f t="shared" si="46"/>
        <v>673.47969920000003</v>
      </c>
      <c r="P17" s="23">
        <f t="shared" si="47"/>
        <v>708.51736459999995</v>
      </c>
      <c r="Q17" s="23">
        <f t="shared" si="48"/>
        <v>713.4727646</v>
      </c>
      <c r="R17" s="23">
        <f t="shared" si="49"/>
        <v>729.44670459999998</v>
      </c>
      <c r="S17" s="23">
        <f t="shared" si="50"/>
        <v>697.49900460000003</v>
      </c>
      <c r="T17" s="23">
        <f t="shared" si="51"/>
        <v>689.47626999999989</v>
      </c>
      <c r="U17" s="23">
        <f t="shared" si="52"/>
        <v>735.48176459999991</v>
      </c>
      <c r="V17" s="23">
        <f t="shared" si="53"/>
        <v>749.49741459999996</v>
      </c>
    </row>
    <row r="18" spans="1:22" x14ac:dyDescent="0.25">
      <c r="A18" s="35" t="s">
        <v>290</v>
      </c>
      <c r="B18" s="17" t="str">
        <f t="shared" si="36"/>
        <v>PG P-32:2</v>
      </c>
      <c r="C18" s="33" t="str">
        <f t="shared" si="37"/>
        <v>32</v>
      </c>
      <c r="D18" s="33" t="str">
        <f t="shared" si="38"/>
        <v>2</v>
      </c>
      <c r="E18" s="33" t="str">
        <f t="shared" si="39"/>
        <v>P-</v>
      </c>
      <c r="G18" s="33">
        <f t="shared" si="40"/>
        <v>38</v>
      </c>
      <c r="H18" s="33">
        <f t="shared" si="41"/>
        <v>71</v>
      </c>
      <c r="I18" s="33">
        <f t="shared" si="42"/>
        <v>9</v>
      </c>
      <c r="J18" s="33">
        <v>1</v>
      </c>
      <c r="L18" s="23" t="str">
        <f t="shared" si="43"/>
        <v>C38H71O9P1</v>
      </c>
      <c r="M18" s="23">
        <f t="shared" si="44"/>
        <v>702.48354459999996</v>
      </c>
      <c r="N18" s="23">
        <f t="shared" si="45"/>
        <v>703.49081920000003</v>
      </c>
      <c r="O18" s="23">
        <f t="shared" si="46"/>
        <v>685.47969920000003</v>
      </c>
      <c r="P18" s="23">
        <f t="shared" si="47"/>
        <v>720.51736459999995</v>
      </c>
      <c r="Q18" s="23">
        <f t="shared" si="48"/>
        <v>725.4727646</v>
      </c>
      <c r="R18" s="23">
        <f t="shared" si="49"/>
        <v>741.44670459999998</v>
      </c>
      <c r="S18" s="23">
        <f t="shared" si="50"/>
        <v>709.49900460000003</v>
      </c>
      <c r="T18" s="23">
        <f t="shared" si="51"/>
        <v>701.47626999999989</v>
      </c>
      <c r="U18" s="23">
        <f t="shared" si="52"/>
        <v>747.48176459999991</v>
      </c>
      <c r="V18" s="23">
        <f t="shared" si="53"/>
        <v>761.49741459999996</v>
      </c>
    </row>
    <row r="19" spans="1:22" x14ac:dyDescent="0.25">
      <c r="A19" s="35" t="s">
        <v>123</v>
      </c>
      <c r="B19" s="17" t="str">
        <f t="shared" si="36"/>
        <v>PG P-32:1</v>
      </c>
      <c r="C19" s="33" t="str">
        <f t="shared" si="37"/>
        <v>32</v>
      </c>
      <c r="D19" s="33" t="str">
        <f t="shared" si="38"/>
        <v>1</v>
      </c>
      <c r="E19" s="33" t="str">
        <f t="shared" si="39"/>
        <v>P-</v>
      </c>
      <c r="G19" s="33">
        <f t="shared" si="40"/>
        <v>38</v>
      </c>
      <c r="H19" s="33">
        <f t="shared" si="41"/>
        <v>73</v>
      </c>
      <c r="I19" s="33">
        <f t="shared" si="42"/>
        <v>9</v>
      </c>
      <c r="J19" s="33">
        <v>1</v>
      </c>
      <c r="L19" s="23" t="str">
        <f t="shared" si="43"/>
        <v>C38H73O9P1</v>
      </c>
      <c r="M19" s="23">
        <f t="shared" si="44"/>
        <v>704.49919379999994</v>
      </c>
      <c r="N19" s="23">
        <f t="shared" si="45"/>
        <v>705.50646840000002</v>
      </c>
      <c r="O19" s="23">
        <f t="shared" si="46"/>
        <v>687.49534840000001</v>
      </c>
      <c r="P19" s="23">
        <f t="shared" si="47"/>
        <v>722.53301379999994</v>
      </c>
      <c r="Q19" s="23">
        <f t="shared" si="48"/>
        <v>727.48841379999999</v>
      </c>
      <c r="R19" s="23">
        <f t="shared" si="49"/>
        <v>743.46235379999996</v>
      </c>
      <c r="S19" s="23">
        <f t="shared" si="50"/>
        <v>711.51465380000002</v>
      </c>
      <c r="T19" s="23">
        <f t="shared" si="51"/>
        <v>703.49191919999987</v>
      </c>
      <c r="U19" s="23">
        <f t="shared" si="52"/>
        <v>749.49741379999989</v>
      </c>
      <c r="V19" s="23">
        <f t="shared" si="53"/>
        <v>763.51306379999994</v>
      </c>
    </row>
    <row r="20" spans="1:22" x14ac:dyDescent="0.25">
      <c r="A20" s="35" t="s">
        <v>305</v>
      </c>
      <c r="B20" s="17" t="str">
        <f t="shared" si="36"/>
        <v>PG P-33:1</v>
      </c>
      <c r="C20" s="33" t="str">
        <f t="shared" si="37"/>
        <v>33</v>
      </c>
      <c r="D20" s="33" t="str">
        <f t="shared" si="38"/>
        <v>1</v>
      </c>
      <c r="E20" s="33" t="str">
        <f t="shared" si="39"/>
        <v>P-</v>
      </c>
      <c r="G20" s="33">
        <f t="shared" si="40"/>
        <v>39</v>
      </c>
      <c r="H20" s="33">
        <f t="shared" si="41"/>
        <v>75</v>
      </c>
      <c r="I20" s="33">
        <f t="shared" si="42"/>
        <v>9</v>
      </c>
      <c r="J20" s="33">
        <v>1</v>
      </c>
      <c r="L20" s="23" t="str">
        <f t="shared" si="43"/>
        <v>C39H75O9P1</v>
      </c>
      <c r="M20" s="23">
        <f t="shared" si="44"/>
        <v>718.51484300000004</v>
      </c>
      <c r="N20" s="23">
        <f t="shared" si="45"/>
        <v>719.52211760000012</v>
      </c>
      <c r="O20" s="23">
        <f t="shared" si="46"/>
        <v>701.51099760000011</v>
      </c>
      <c r="P20" s="23">
        <f t="shared" si="47"/>
        <v>736.54866300000003</v>
      </c>
      <c r="Q20" s="23">
        <f t="shared" si="48"/>
        <v>741.50406300000009</v>
      </c>
      <c r="R20" s="23">
        <f t="shared" si="49"/>
        <v>757.47800300000006</v>
      </c>
      <c r="S20" s="23">
        <f t="shared" si="50"/>
        <v>725.53030300000012</v>
      </c>
      <c r="T20" s="23">
        <f t="shared" si="51"/>
        <v>717.50756839999997</v>
      </c>
      <c r="U20" s="23">
        <f t="shared" si="52"/>
        <v>763.51306299999999</v>
      </c>
      <c r="V20" s="23">
        <f t="shared" si="53"/>
        <v>777.52871300000004</v>
      </c>
    </row>
    <row r="21" spans="1:22" x14ac:dyDescent="0.25">
      <c r="A21" s="35" t="s">
        <v>291</v>
      </c>
      <c r="B21" s="17" t="str">
        <f t="shared" si="36"/>
        <v>PG P-34:1</v>
      </c>
      <c r="C21" s="33" t="str">
        <f t="shared" si="37"/>
        <v>34</v>
      </c>
      <c r="D21" s="33" t="str">
        <f t="shared" si="38"/>
        <v>1</v>
      </c>
      <c r="E21" s="33" t="str">
        <f t="shared" si="39"/>
        <v>P-</v>
      </c>
      <c r="G21" s="33">
        <f t="shared" si="40"/>
        <v>40</v>
      </c>
      <c r="H21" s="33">
        <f t="shared" si="41"/>
        <v>77</v>
      </c>
      <c r="I21" s="33">
        <f t="shared" si="42"/>
        <v>9</v>
      </c>
      <c r="J21" s="33">
        <v>1</v>
      </c>
      <c r="L21" s="23" t="str">
        <f t="shared" si="43"/>
        <v>C40H77O9P1</v>
      </c>
      <c r="M21" s="23">
        <f t="shared" si="44"/>
        <v>732.53049220000003</v>
      </c>
      <c r="N21" s="23">
        <f t="shared" si="45"/>
        <v>733.5377668000001</v>
      </c>
      <c r="O21" s="23">
        <f t="shared" si="46"/>
        <v>715.52664680000009</v>
      </c>
      <c r="P21" s="23">
        <f t="shared" si="47"/>
        <v>750.56431220000002</v>
      </c>
      <c r="Q21" s="23">
        <f t="shared" si="48"/>
        <v>755.51971220000007</v>
      </c>
      <c r="R21" s="23">
        <f t="shared" si="49"/>
        <v>771.49365220000004</v>
      </c>
      <c r="S21" s="23">
        <f t="shared" si="50"/>
        <v>739.5459522000001</v>
      </c>
      <c r="T21" s="23">
        <f t="shared" si="51"/>
        <v>731.52321759999995</v>
      </c>
      <c r="U21" s="23">
        <f t="shared" si="52"/>
        <v>777.52871219999997</v>
      </c>
      <c r="V21" s="23">
        <f t="shared" si="53"/>
        <v>791.54436220000002</v>
      </c>
    </row>
    <row r="22" spans="1:22" x14ac:dyDescent="0.25">
      <c r="A22" s="35" t="s">
        <v>304</v>
      </c>
      <c r="B22" s="17" t="str">
        <f t="shared" si="36"/>
        <v>PG P-35:3</v>
      </c>
      <c r="C22" s="33" t="str">
        <f t="shared" si="37"/>
        <v>35</v>
      </c>
      <c r="D22" s="33" t="str">
        <f t="shared" si="38"/>
        <v>3</v>
      </c>
      <c r="E22" s="33" t="str">
        <f t="shared" si="39"/>
        <v>P-</v>
      </c>
      <c r="G22" s="33">
        <f t="shared" si="40"/>
        <v>41</v>
      </c>
      <c r="H22" s="33">
        <f t="shared" si="41"/>
        <v>75</v>
      </c>
      <c r="I22" s="33">
        <f t="shared" si="42"/>
        <v>9</v>
      </c>
      <c r="J22" s="33">
        <v>1</v>
      </c>
      <c r="L22" s="23" t="str">
        <f t="shared" si="43"/>
        <v>C41H75O9P1</v>
      </c>
      <c r="M22" s="23">
        <f t="shared" si="44"/>
        <v>742.51484300000004</v>
      </c>
      <c r="N22" s="23">
        <f t="shared" si="45"/>
        <v>743.52211760000012</v>
      </c>
      <c r="O22" s="23">
        <f t="shared" si="46"/>
        <v>725.51099760000011</v>
      </c>
      <c r="P22" s="23">
        <f t="shared" si="47"/>
        <v>760.54866300000003</v>
      </c>
      <c r="Q22" s="23">
        <f t="shared" si="48"/>
        <v>765.50406300000009</v>
      </c>
      <c r="R22" s="23">
        <f t="shared" si="49"/>
        <v>781.47800300000006</v>
      </c>
      <c r="S22" s="23">
        <f t="shared" si="50"/>
        <v>749.53030300000012</v>
      </c>
      <c r="T22" s="23">
        <f t="shared" si="51"/>
        <v>741.50756839999997</v>
      </c>
      <c r="U22" s="23">
        <f t="shared" si="52"/>
        <v>787.51306299999999</v>
      </c>
      <c r="V22" s="23">
        <f t="shared" si="53"/>
        <v>801.52871300000004</v>
      </c>
    </row>
    <row r="23" spans="1:22" x14ac:dyDescent="0.25">
      <c r="A23" s="35" t="s">
        <v>303</v>
      </c>
      <c r="B23" s="17" t="str">
        <f t="shared" si="36"/>
        <v>PG P-35:2</v>
      </c>
      <c r="C23" s="33" t="str">
        <f t="shared" si="37"/>
        <v>35</v>
      </c>
      <c r="D23" s="33" t="str">
        <f t="shared" si="38"/>
        <v>2</v>
      </c>
      <c r="E23" s="33" t="str">
        <f t="shared" si="39"/>
        <v>P-</v>
      </c>
      <c r="G23" s="33">
        <f t="shared" si="40"/>
        <v>41</v>
      </c>
      <c r="H23" s="33">
        <f t="shared" si="41"/>
        <v>77</v>
      </c>
      <c r="I23" s="33">
        <f t="shared" si="42"/>
        <v>9</v>
      </c>
      <c r="J23" s="33">
        <v>1</v>
      </c>
      <c r="L23" s="23" t="str">
        <f t="shared" si="43"/>
        <v>C41H77O9P1</v>
      </c>
      <c r="M23" s="23">
        <f t="shared" si="44"/>
        <v>744.53049220000003</v>
      </c>
      <c r="N23" s="23">
        <f t="shared" si="45"/>
        <v>745.5377668000001</v>
      </c>
      <c r="O23" s="23">
        <f t="shared" si="46"/>
        <v>727.52664680000009</v>
      </c>
      <c r="P23" s="23">
        <f t="shared" si="47"/>
        <v>762.56431220000002</v>
      </c>
      <c r="Q23" s="23">
        <f t="shared" si="48"/>
        <v>767.51971220000007</v>
      </c>
      <c r="R23" s="23">
        <f t="shared" si="49"/>
        <v>783.49365220000004</v>
      </c>
      <c r="S23" s="23">
        <f t="shared" si="50"/>
        <v>751.5459522000001</v>
      </c>
      <c r="T23" s="23">
        <f t="shared" si="51"/>
        <v>743.52321759999995</v>
      </c>
      <c r="U23" s="23">
        <f t="shared" si="52"/>
        <v>789.52871219999997</v>
      </c>
      <c r="V23" s="23">
        <f t="shared" si="53"/>
        <v>803.54436220000002</v>
      </c>
    </row>
    <row r="24" spans="1:22" x14ac:dyDescent="0.25">
      <c r="A24" s="35" t="s">
        <v>288</v>
      </c>
      <c r="B24" s="17" t="str">
        <f t="shared" si="36"/>
        <v>PG P-35:1</v>
      </c>
      <c r="C24" s="33" t="str">
        <f t="shared" si="37"/>
        <v>35</v>
      </c>
      <c r="D24" s="33" t="str">
        <f t="shared" si="38"/>
        <v>1</v>
      </c>
      <c r="E24" s="33" t="str">
        <f t="shared" si="39"/>
        <v>P-</v>
      </c>
      <c r="G24" s="33">
        <f t="shared" si="40"/>
        <v>41</v>
      </c>
      <c r="H24" s="33">
        <f t="shared" si="41"/>
        <v>79</v>
      </c>
      <c r="I24" s="33">
        <f t="shared" si="42"/>
        <v>9</v>
      </c>
      <c r="J24" s="33">
        <v>1</v>
      </c>
      <c r="L24" s="23" t="str">
        <f t="shared" si="43"/>
        <v>C41H79O9P1</v>
      </c>
      <c r="M24" s="23">
        <f t="shared" si="44"/>
        <v>746.54614140000001</v>
      </c>
      <c r="N24" s="23">
        <f t="shared" si="45"/>
        <v>747.55341600000008</v>
      </c>
      <c r="O24" s="23">
        <f t="shared" si="46"/>
        <v>729.54229600000008</v>
      </c>
      <c r="P24" s="23">
        <f t="shared" si="47"/>
        <v>764.5799614</v>
      </c>
      <c r="Q24" s="23">
        <f t="shared" si="48"/>
        <v>769.53536140000006</v>
      </c>
      <c r="R24" s="23">
        <f t="shared" si="49"/>
        <v>785.50930140000003</v>
      </c>
      <c r="S24" s="23">
        <f t="shared" si="50"/>
        <v>753.56160140000009</v>
      </c>
      <c r="T24" s="23">
        <f t="shared" si="51"/>
        <v>745.53886679999994</v>
      </c>
      <c r="U24" s="23">
        <f t="shared" si="52"/>
        <v>791.54436139999996</v>
      </c>
      <c r="V24" s="23">
        <f t="shared" si="53"/>
        <v>805.56001140000001</v>
      </c>
    </row>
    <row r="25" spans="1:22" x14ac:dyDescent="0.25">
      <c r="A25" s="35" t="s">
        <v>292</v>
      </c>
      <c r="B25" s="17" t="str">
        <f t="shared" si="36"/>
        <v>PG P-36:2</v>
      </c>
      <c r="C25" s="33" t="str">
        <f t="shared" si="37"/>
        <v>36</v>
      </c>
      <c r="D25" s="33" t="str">
        <f t="shared" si="38"/>
        <v>2</v>
      </c>
      <c r="E25" s="33" t="str">
        <f t="shared" si="39"/>
        <v>P-</v>
      </c>
      <c r="G25" s="33">
        <f t="shared" si="40"/>
        <v>42</v>
      </c>
      <c r="H25" s="33">
        <f t="shared" si="41"/>
        <v>79</v>
      </c>
      <c r="I25" s="33">
        <f t="shared" si="42"/>
        <v>9</v>
      </c>
      <c r="J25" s="33">
        <v>1</v>
      </c>
      <c r="L25" s="23" t="str">
        <f t="shared" si="43"/>
        <v>C42H79O9P1</v>
      </c>
      <c r="M25" s="23">
        <f t="shared" si="44"/>
        <v>758.54614140000001</v>
      </c>
      <c r="N25" s="23">
        <f t="shared" si="45"/>
        <v>759.55341600000008</v>
      </c>
      <c r="O25" s="23">
        <f t="shared" si="46"/>
        <v>741.54229600000008</v>
      </c>
      <c r="P25" s="23">
        <f t="shared" si="47"/>
        <v>776.5799614</v>
      </c>
      <c r="Q25" s="23">
        <f t="shared" si="48"/>
        <v>781.53536140000006</v>
      </c>
      <c r="R25" s="23">
        <f t="shared" si="49"/>
        <v>797.50930140000003</v>
      </c>
      <c r="S25" s="23">
        <f t="shared" si="50"/>
        <v>765.56160140000009</v>
      </c>
      <c r="T25" s="23">
        <f t="shared" si="51"/>
        <v>757.53886679999994</v>
      </c>
      <c r="U25" s="23">
        <f t="shared" si="52"/>
        <v>803.54436139999996</v>
      </c>
      <c r="V25" s="23">
        <f t="shared" si="53"/>
        <v>817.56001140000001</v>
      </c>
    </row>
  </sheetData>
  <pageMargins left="0.7" right="0.7" top="0.75" bottom="0.75" header="0.3" footer="0.3"/>
  <pageSetup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C495F-A395-4233-AF31-CF73AFB75976}">
  <dimension ref="A1:Z633"/>
  <sheetViews>
    <sheetView workbookViewId="0">
      <selection sqref="A1:B1"/>
    </sheetView>
  </sheetViews>
  <sheetFormatPr defaultRowHeight="15.75" x14ac:dyDescent="0.25"/>
  <cols>
    <col min="1" max="1" width="20.7109375" style="40" customWidth="1"/>
    <col min="2" max="2" width="48.7109375" style="40" customWidth="1"/>
    <col min="3" max="13" width="20.7109375" style="39" customWidth="1"/>
    <col min="14" max="26" width="9.140625" style="39"/>
    <col min="27" max="16384" width="9.140625" style="9"/>
  </cols>
  <sheetData>
    <row r="1" spans="1:13" x14ac:dyDescent="0.25">
      <c r="A1" s="38" t="s">
        <v>85</v>
      </c>
      <c r="B1" s="38" t="s">
        <v>84</v>
      </c>
      <c r="C1" s="29" t="s">
        <v>14</v>
      </c>
      <c r="D1" s="29" t="s">
        <v>3</v>
      </c>
      <c r="E1" s="29" t="s">
        <v>7</v>
      </c>
      <c r="F1" s="29" t="s">
        <v>13</v>
      </c>
      <c r="G1" s="29" t="s">
        <v>4</v>
      </c>
      <c r="H1" s="29" t="s">
        <v>6</v>
      </c>
      <c r="I1" s="29" t="s">
        <v>29</v>
      </c>
      <c r="J1" s="29" t="s">
        <v>30</v>
      </c>
      <c r="K1" s="44" t="s">
        <v>12</v>
      </c>
      <c r="L1" s="29" t="s">
        <v>10</v>
      </c>
      <c r="M1" s="29" t="s">
        <v>11</v>
      </c>
    </row>
    <row r="2" spans="1:13" x14ac:dyDescent="0.25">
      <c r="A2" s="40" t="s">
        <v>42</v>
      </c>
      <c r="B2" s="40" t="e">
        <f>'Free Fatty Acids'!#REF!</f>
        <v>#REF!</v>
      </c>
      <c r="C2" s="39" t="e">
        <f>'Free Fatty Acids'!#REF!</f>
        <v>#REF!</v>
      </c>
      <c r="D2" s="39" t="e">
        <f>'Free Fatty Acids'!#REF!</f>
        <v>#REF!</v>
      </c>
      <c r="E2" s="39" t="e">
        <f>'Free Fatty Acids'!#REF!</f>
        <v>#REF!</v>
      </c>
      <c r="F2" s="39" t="e">
        <f>'Free Fatty Acids'!#REF!</f>
        <v>#REF!</v>
      </c>
      <c r="G2" s="39" t="e">
        <f>'Free Fatty Acids'!#REF!</f>
        <v>#REF!</v>
      </c>
      <c r="H2" s="39" t="e">
        <f>'Free Fatty Acids'!#REF!</f>
        <v>#REF!</v>
      </c>
      <c r="I2" s="39" t="e">
        <f>'Free Fatty Acids'!#REF!</f>
        <v>#REF!</v>
      </c>
      <c r="J2" s="39" t="e">
        <f>'Free Fatty Acids'!#REF!</f>
        <v>#REF!</v>
      </c>
      <c r="K2" s="39" t="e">
        <f>'Free Fatty Acids'!#REF!</f>
        <v>#REF!</v>
      </c>
      <c r="L2" s="39" t="e">
        <f>'Free Fatty Acids'!#REF!</f>
        <v>#REF!</v>
      </c>
      <c r="M2" s="39" t="e">
        <f>'Free Fatty Acids'!#REF!</f>
        <v>#REF!</v>
      </c>
    </row>
    <row r="3" spans="1:13" x14ac:dyDescent="0.25">
      <c r="A3" s="40" t="s">
        <v>42</v>
      </c>
      <c r="B3" s="40" t="e">
        <f>'Free Fatty Acids'!#REF!</f>
        <v>#REF!</v>
      </c>
      <c r="C3" s="39" t="e">
        <f>'Free Fatty Acids'!#REF!</f>
        <v>#REF!</v>
      </c>
      <c r="D3" s="39" t="e">
        <f>'Free Fatty Acids'!#REF!</f>
        <v>#REF!</v>
      </c>
      <c r="E3" s="39" t="e">
        <f>'Free Fatty Acids'!#REF!</f>
        <v>#REF!</v>
      </c>
      <c r="F3" s="39" t="e">
        <f>'Free Fatty Acids'!#REF!</f>
        <v>#REF!</v>
      </c>
      <c r="G3" s="39" t="e">
        <f>'Free Fatty Acids'!#REF!</f>
        <v>#REF!</v>
      </c>
      <c r="H3" s="39" t="e">
        <f>'Free Fatty Acids'!#REF!</f>
        <v>#REF!</v>
      </c>
      <c r="I3" s="39" t="e">
        <f>'Free Fatty Acids'!#REF!</f>
        <v>#REF!</v>
      </c>
      <c r="J3" s="39" t="e">
        <f>'Free Fatty Acids'!#REF!</f>
        <v>#REF!</v>
      </c>
      <c r="K3" s="39" t="e">
        <f>'Free Fatty Acids'!#REF!</f>
        <v>#REF!</v>
      </c>
      <c r="L3" s="39" t="e">
        <f>'Free Fatty Acids'!#REF!</f>
        <v>#REF!</v>
      </c>
      <c r="M3" s="39" t="e">
        <f>'Free Fatty Acids'!#REF!</f>
        <v>#REF!</v>
      </c>
    </row>
    <row r="4" spans="1:13" x14ac:dyDescent="0.25">
      <c r="A4" s="40" t="s">
        <v>42</v>
      </c>
      <c r="B4" s="40" t="e">
        <f>'Free Fatty Acids'!#REF!</f>
        <v>#REF!</v>
      </c>
      <c r="C4" s="39" t="e">
        <f>'Free Fatty Acids'!#REF!</f>
        <v>#REF!</v>
      </c>
      <c r="D4" s="39" t="e">
        <f>'Free Fatty Acids'!#REF!</f>
        <v>#REF!</v>
      </c>
      <c r="E4" s="39" t="e">
        <f>'Free Fatty Acids'!#REF!</f>
        <v>#REF!</v>
      </c>
      <c r="F4" s="39" t="e">
        <f>'Free Fatty Acids'!#REF!</f>
        <v>#REF!</v>
      </c>
      <c r="G4" s="39" t="e">
        <f>'Free Fatty Acids'!#REF!</f>
        <v>#REF!</v>
      </c>
      <c r="H4" s="39" t="e">
        <f>'Free Fatty Acids'!#REF!</f>
        <v>#REF!</v>
      </c>
      <c r="I4" s="39" t="e">
        <f>'Free Fatty Acids'!#REF!</f>
        <v>#REF!</v>
      </c>
      <c r="J4" s="39" t="e">
        <f>'Free Fatty Acids'!#REF!</f>
        <v>#REF!</v>
      </c>
      <c r="K4" s="39" t="e">
        <f>'Free Fatty Acids'!#REF!</f>
        <v>#REF!</v>
      </c>
      <c r="L4" s="39" t="e">
        <f>'Free Fatty Acids'!#REF!</f>
        <v>#REF!</v>
      </c>
      <c r="M4" s="39" t="e">
        <f>'Free Fatty Acids'!#REF!</f>
        <v>#REF!</v>
      </c>
    </row>
    <row r="5" spans="1:13" x14ac:dyDescent="0.25">
      <c r="A5" s="40" t="s">
        <v>42</v>
      </c>
      <c r="B5" s="40" t="e">
        <f>'Free Fatty Acids'!#REF!</f>
        <v>#REF!</v>
      </c>
      <c r="C5" s="39" t="e">
        <f>'Free Fatty Acids'!#REF!</f>
        <v>#REF!</v>
      </c>
      <c r="D5" s="39" t="e">
        <f>'Free Fatty Acids'!#REF!</f>
        <v>#REF!</v>
      </c>
      <c r="E5" s="39" t="e">
        <f>'Free Fatty Acids'!#REF!</f>
        <v>#REF!</v>
      </c>
      <c r="F5" s="39" t="e">
        <f>'Free Fatty Acids'!#REF!</f>
        <v>#REF!</v>
      </c>
      <c r="G5" s="39" t="e">
        <f>'Free Fatty Acids'!#REF!</f>
        <v>#REF!</v>
      </c>
      <c r="H5" s="39" t="e">
        <f>'Free Fatty Acids'!#REF!</f>
        <v>#REF!</v>
      </c>
      <c r="I5" s="39" t="e">
        <f>'Free Fatty Acids'!#REF!</f>
        <v>#REF!</v>
      </c>
      <c r="J5" s="39" t="e">
        <f>'Free Fatty Acids'!#REF!</f>
        <v>#REF!</v>
      </c>
      <c r="K5" s="39" t="e">
        <f>'Free Fatty Acids'!#REF!</f>
        <v>#REF!</v>
      </c>
      <c r="L5" s="39" t="e">
        <f>'Free Fatty Acids'!#REF!</f>
        <v>#REF!</v>
      </c>
      <c r="M5" s="39" t="e">
        <f>'Free Fatty Acids'!#REF!</f>
        <v>#REF!</v>
      </c>
    </row>
    <row r="6" spans="1:13" x14ac:dyDescent="0.25">
      <c r="A6" s="40" t="s">
        <v>42</v>
      </c>
      <c r="B6" s="40" t="e">
        <f>'Free Fatty Acids'!#REF!</f>
        <v>#REF!</v>
      </c>
      <c r="C6" s="39" t="e">
        <f>'Free Fatty Acids'!#REF!</f>
        <v>#REF!</v>
      </c>
      <c r="D6" s="39" t="e">
        <f>'Free Fatty Acids'!#REF!</f>
        <v>#REF!</v>
      </c>
      <c r="E6" s="39" t="e">
        <f>'Free Fatty Acids'!#REF!</f>
        <v>#REF!</v>
      </c>
      <c r="F6" s="39" t="e">
        <f>'Free Fatty Acids'!#REF!</f>
        <v>#REF!</v>
      </c>
      <c r="G6" s="39" t="e">
        <f>'Free Fatty Acids'!#REF!</f>
        <v>#REF!</v>
      </c>
      <c r="H6" s="39" t="e">
        <f>'Free Fatty Acids'!#REF!</f>
        <v>#REF!</v>
      </c>
      <c r="I6" s="39" t="e">
        <f>'Free Fatty Acids'!#REF!</f>
        <v>#REF!</v>
      </c>
      <c r="J6" s="39" t="e">
        <f>'Free Fatty Acids'!#REF!</f>
        <v>#REF!</v>
      </c>
      <c r="K6" s="39" t="e">
        <f>'Free Fatty Acids'!#REF!</f>
        <v>#REF!</v>
      </c>
      <c r="L6" s="39" t="e">
        <f>'Free Fatty Acids'!#REF!</f>
        <v>#REF!</v>
      </c>
      <c r="M6" s="39" t="e">
        <f>'Free Fatty Acids'!#REF!</f>
        <v>#REF!</v>
      </c>
    </row>
    <row r="7" spans="1:13" x14ac:dyDescent="0.25">
      <c r="A7" s="40" t="s">
        <v>42</v>
      </c>
      <c r="B7" s="40" t="str">
        <f>'Free Fatty Acids'!$A$3</f>
        <v>FA 9:0</v>
      </c>
      <c r="C7" s="39" t="str">
        <f>'Free Fatty Acids'!$L$3</f>
        <v>C9H18O2</v>
      </c>
      <c r="D7" s="39">
        <f>'Free Fatty Acids'!$M$3</f>
        <v>158.13067280000001</v>
      </c>
      <c r="E7" s="39">
        <f>'Free Fatty Acids'!$N$3</f>
        <v>159.1379474</v>
      </c>
      <c r="F7" s="39">
        <f>'Free Fatty Acids'!$O$3</f>
        <v>141.1268274</v>
      </c>
      <c r="G7" s="39">
        <f>'Free Fatty Acids'!$P$3</f>
        <v>176.1644928</v>
      </c>
      <c r="H7" s="39">
        <f>'Free Fatty Acids'!$Q$3</f>
        <v>181.1198928</v>
      </c>
      <c r="I7" s="39">
        <f>'Free Fatty Acids'!$R$3</f>
        <v>197.0938328</v>
      </c>
      <c r="J7" s="39">
        <f>'Free Fatty Acids'!$S$3</f>
        <v>165.1461328</v>
      </c>
      <c r="K7" s="39">
        <f>'Free Fatty Acids'!$T$3</f>
        <v>157.12339820000003</v>
      </c>
      <c r="L7" s="39">
        <f>'Free Fatty Acids'!$U$3</f>
        <v>203.12889280000002</v>
      </c>
      <c r="M7" s="39">
        <f>'Free Fatty Acids'!$V$3</f>
        <v>217.14454280000001</v>
      </c>
    </row>
    <row r="8" spans="1:13" x14ac:dyDescent="0.25">
      <c r="A8" s="40" t="s">
        <v>42</v>
      </c>
      <c r="B8" s="40" t="str">
        <f>'Free Fatty Acids'!$A$4</f>
        <v>FA 10:1</v>
      </c>
      <c r="C8" s="39" t="str">
        <f>'Free Fatty Acids'!$L$4</f>
        <v>C10H18O2</v>
      </c>
      <c r="D8" s="39">
        <f>'Free Fatty Acids'!$M$4</f>
        <v>170.13067280000001</v>
      </c>
      <c r="E8" s="39">
        <f>'Free Fatty Acids'!$N$4</f>
        <v>171.1379474</v>
      </c>
      <c r="F8" s="39">
        <f>'Free Fatty Acids'!$O$4</f>
        <v>153.1268274</v>
      </c>
      <c r="G8" s="39">
        <f>'Free Fatty Acids'!$P$4</f>
        <v>188.1644928</v>
      </c>
      <c r="H8" s="39">
        <f>'Free Fatty Acids'!$Q$4</f>
        <v>193.1198928</v>
      </c>
      <c r="I8" s="39">
        <f>'Free Fatty Acids'!$R$4</f>
        <v>209.0938328</v>
      </c>
      <c r="J8" s="39">
        <f>'Free Fatty Acids'!$S$4</f>
        <v>177.1461328</v>
      </c>
      <c r="K8" s="39">
        <f>'Free Fatty Acids'!$T$4</f>
        <v>169.12339820000003</v>
      </c>
      <c r="L8" s="39">
        <f>'Free Fatty Acids'!$U$4</f>
        <v>215.12889280000002</v>
      </c>
      <c r="M8" s="39">
        <f>'Free Fatty Acids'!$V$4</f>
        <v>229.14454280000001</v>
      </c>
    </row>
    <row r="9" spans="1:13" x14ac:dyDescent="0.25">
      <c r="A9" s="40" t="s">
        <v>42</v>
      </c>
      <c r="B9" s="40" t="str">
        <f>'Free Fatty Acids'!$A$5</f>
        <v>FA 10:0</v>
      </c>
      <c r="C9" s="39" t="str">
        <f>'Free Fatty Acids'!$L$5</f>
        <v>C10H20O2</v>
      </c>
      <c r="D9" s="39">
        <f>'Free Fatty Acids'!$M$5</f>
        <v>172.14632200000003</v>
      </c>
      <c r="E9" s="39">
        <f>'Free Fatty Acids'!$N$5</f>
        <v>173.15359660000001</v>
      </c>
      <c r="F9" s="39">
        <f>'Free Fatty Acids'!$O$5</f>
        <v>155.14247660000001</v>
      </c>
      <c r="G9" s="39">
        <f>'Free Fatty Acids'!$P$5</f>
        <v>190.18014200000002</v>
      </c>
      <c r="H9" s="39">
        <f>'Free Fatty Acids'!$Q$5</f>
        <v>195.13554200000002</v>
      </c>
      <c r="I9" s="39">
        <f>'Free Fatty Acids'!$R$5</f>
        <v>211.10948200000001</v>
      </c>
      <c r="J9" s="39">
        <f>'Free Fatty Acids'!$S$5</f>
        <v>179.16178200000002</v>
      </c>
      <c r="K9" s="39">
        <f>'Free Fatty Acids'!$T$5</f>
        <v>171.13904740000004</v>
      </c>
      <c r="L9" s="39">
        <f>'Free Fatty Acids'!$U$5</f>
        <v>217.14454200000003</v>
      </c>
      <c r="M9" s="39">
        <f>'Free Fatty Acids'!$V$5</f>
        <v>231.16019200000002</v>
      </c>
    </row>
    <row r="10" spans="1:13" x14ac:dyDescent="0.25">
      <c r="A10" s="40" t="s">
        <v>42</v>
      </c>
      <c r="B10" s="40" t="str">
        <f>'Free Fatty Acids'!$A$6</f>
        <v>FA 11:1</v>
      </c>
      <c r="C10" s="39" t="str">
        <f>'Free Fatty Acids'!$L$6</f>
        <v>C11H20O2</v>
      </c>
      <c r="D10" s="39">
        <f>'Free Fatty Acids'!$M$6</f>
        <v>184.14632200000003</v>
      </c>
      <c r="E10" s="39">
        <f>'Free Fatty Acids'!$N$6</f>
        <v>185.15359660000001</v>
      </c>
      <c r="F10" s="39">
        <f>'Free Fatty Acids'!$O$6</f>
        <v>167.14247660000001</v>
      </c>
      <c r="G10" s="39">
        <f>'Free Fatty Acids'!$P$6</f>
        <v>202.18014200000002</v>
      </c>
      <c r="H10" s="39">
        <f>'Free Fatty Acids'!$Q$6</f>
        <v>207.13554200000002</v>
      </c>
      <c r="I10" s="39">
        <f>'Free Fatty Acids'!$R$6</f>
        <v>223.10948200000001</v>
      </c>
      <c r="J10" s="39">
        <f>'Free Fatty Acids'!$S$6</f>
        <v>191.16178200000002</v>
      </c>
      <c r="K10" s="39">
        <f>'Free Fatty Acids'!$T$6</f>
        <v>183.13904740000004</v>
      </c>
      <c r="L10" s="39">
        <f>'Free Fatty Acids'!$U$6</f>
        <v>229.14454200000003</v>
      </c>
      <c r="M10" s="39">
        <f>'Free Fatty Acids'!$V$6</f>
        <v>243.16019200000002</v>
      </c>
    </row>
    <row r="11" spans="1:13" x14ac:dyDescent="0.25">
      <c r="A11" s="40" t="s">
        <v>42</v>
      </c>
      <c r="B11" s="40" t="str">
        <f>'Free Fatty Acids'!$A$7</f>
        <v>FA 11:0</v>
      </c>
      <c r="C11" s="39" t="str">
        <f>'Free Fatty Acids'!$L$7</f>
        <v>C11H22O2</v>
      </c>
      <c r="D11" s="39">
        <f>'Free Fatty Acids'!$M$7</f>
        <v>186.16197120000001</v>
      </c>
      <c r="E11" s="39">
        <f>'Free Fatty Acids'!$N$7</f>
        <v>187.1692458</v>
      </c>
      <c r="F11" s="39">
        <f>'Free Fatty Acids'!$O$7</f>
        <v>169.15812579999999</v>
      </c>
      <c r="G11" s="39">
        <f>'Free Fatty Acids'!$P$7</f>
        <v>204.1957912</v>
      </c>
      <c r="H11" s="39">
        <f>'Free Fatty Acids'!$Q$7</f>
        <v>209.1511912</v>
      </c>
      <c r="I11" s="39">
        <f>'Free Fatty Acids'!$R$7</f>
        <v>225.1251312</v>
      </c>
      <c r="J11" s="39">
        <f>'Free Fatty Acids'!$S$7</f>
        <v>193.1774312</v>
      </c>
      <c r="K11" s="39">
        <f>'Free Fatty Acids'!$T$7</f>
        <v>185.15469660000002</v>
      </c>
      <c r="L11" s="39">
        <f>'Free Fatty Acids'!$U$7</f>
        <v>231.16019120000001</v>
      </c>
      <c r="M11" s="39">
        <f>'Free Fatty Acids'!$V$7</f>
        <v>245.17584120000001</v>
      </c>
    </row>
    <row r="12" spans="1:13" x14ac:dyDescent="0.25">
      <c r="A12" s="40" t="s">
        <v>42</v>
      </c>
      <c r="B12" s="40" t="str">
        <f>'Free Fatty Acids'!$A$8</f>
        <v>FA 12:1</v>
      </c>
      <c r="C12" s="39" t="str">
        <f>'Free Fatty Acids'!$L$8</f>
        <v>C12H22O2</v>
      </c>
      <c r="D12" s="39">
        <f>'Free Fatty Acids'!$M$8</f>
        <v>198.16197120000001</v>
      </c>
      <c r="E12" s="39">
        <f>'Free Fatty Acids'!$N$8</f>
        <v>199.1692458</v>
      </c>
      <c r="F12" s="39">
        <f>'Free Fatty Acids'!$O$8</f>
        <v>181.15812579999999</v>
      </c>
      <c r="G12" s="39">
        <f>'Free Fatty Acids'!$P$8</f>
        <v>216.1957912</v>
      </c>
      <c r="H12" s="39">
        <f>'Free Fatty Acids'!$Q$8</f>
        <v>221.1511912</v>
      </c>
      <c r="I12" s="39">
        <f>'Free Fatty Acids'!$R$8</f>
        <v>237.1251312</v>
      </c>
      <c r="J12" s="39">
        <f>'Free Fatty Acids'!$S$8</f>
        <v>205.1774312</v>
      </c>
      <c r="K12" s="39">
        <f>'Free Fatty Acids'!$T$8</f>
        <v>197.15469660000002</v>
      </c>
      <c r="L12" s="39">
        <f>'Free Fatty Acids'!$U$8</f>
        <v>243.16019120000001</v>
      </c>
      <c r="M12" s="39">
        <f>'Free Fatty Acids'!$V$8</f>
        <v>257.17584119999998</v>
      </c>
    </row>
    <row r="13" spans="1:13" x14ac:dyDescent="0.25">
      <c r="A13" s="40" t="s">
        <v>42</v>
      </c>
      <c r="B13" s="40" t="str">
        <f>'Free Fatty Acids'!$A$9</f>
        <v>FA 12:0</v>
      </c>
      <c r="C13" s="39" t="str">
        <f>'Free Fatty Acids'!$L$9</f>
        <v>C12H24O2</v>
      </c>
      <c r="D13" s="39">
        <f>'Free Fatty Acids'!$M$9</f>
        <v>200.1776204</v>
      </c>
      <c r="E13" s="39">
        <f>'Free Fatty Acids'!$N$9</f>
        <v>201.18489499999998</v>
      </c>
      <c r="F13" s="39">
        <f>'Free Fatty Acids'!$O$9</f>
        <v>183.17377499999998</v>
      </c>
      <c r="G13" s="39">
        <f>'Free Fatty Acids'!$P$9</f>
        <v>218.21144039999999</v>
      </c>
      <c r="H13" s="39">
        <f>'Free Fatty Acids'!$Q$9</f>
        <v>223.16684039999998</v>
      </c>
      <c r="I13" s="39">
        <f>'Free Fatty Acids'!$R$9</f>
        <v>239.14078039999998</v>
      </c>
      <c r="J13" s="39">
        <f>'Free Fatty Acids'!$S$9</f>
        <v>207.19308039999999</v>
      </c>
      <c r="K13" s="39">
        <f>'Free Fatty Acids'!$T$9</f>
        <v>199.17034580000001</v>
      </c>
      <c r="L13" s="39">
        <f>'Free Fatty Acids'!$U$9</f>
        <v>245.1758404</v>
      </c>
      <c r="M13" s="39">
        <f>'Free Fatty Acids'!$V$9</f>
        <v>259.19149039999996</v>
      </c>
    </row>
    <row r="14" spans="1:13" x14ac:dyDescent="0.25">
      <c r="A14" s="40" t="s">
        <v>42</v>
      </c>
      <c r="B14" s="40" t="str">
        <f>'Free Fatty Acids'!$A$10</f>
        <v>FA 13:1</v>
      </c>
      <c r="C14" s="39" t="str">
        <f>'Free Fatty Acids'!$L$10</f>
        <v>C13H24O2</v>
      </c>
      <c r="D14" s="39">
        <f>'Free Fatty Acids'!$M$10</f>
        <v>212.1776204</v>
      </c>
      <c r="E14" s="39">
        <f>'Free Fatty Acids'!$N$10</f>
        <v>213.18489499999998</v>
      </c>
      <c r="F14" s="39">
        <f>'Free Fatty Acids'!$O$10</f>
        <v>195.17377499999998</v>
      </c>
      <c r="G14" s="39">
        <f>'Free Fatty Acids'!$P$10</f>
        <v>230.21144039999999</v>
      </c>
      <c r="H14" s="39">
        <f>'Free Fatty Acids'!$Q$10</f>
        <v>235.16684039999998</v>
      </c>
      <c r="I14" s="39">
        <f>'Free Fatty Acids'!$R$10</f>
        <v>251.14078039999998</v>
      </c>
      <c r="J14" s="39">
        <f>'Free Fatty Acids'!$S$10</f>
        <v>219.19308039999999</v>
      </c>
      <c r="K14" s="39">
        <f>'Free Fatty Acids'!$T$10</f>
        <v>211.17034580000001</v>
      </c>
      <c r="L14" s="39">
        <f>'Free Fatty Acids'!$U$10</f>
        <v>257.17584039999997</v>
      </c>
      <c r="M14" s="39">
        <f>'Free Fatty Acids'!$V$10</f>
        <v>271.19149039999996</v>
      </c>
    </row>
    <row r="15" spans="1:13" x14ac:dyDescent="0.25">
      <c r="A15" s="40" t="s">
        <v>42</v>
      </c>
      <c r="B15" s="40" t="str">
        <f>'Free Fatty Acids'!$A$11</f>
        <v>FA 13:0</v>
      </c>
      <c r="C15" s="39" t="str">
        <f>'Free Fatty Acids'!$L$11</f>
        <v>C13H26O2</v>
      </c>
      <c r="D15" s="39">
        <f>'Free Fatty Acids'!$M$11</f>
        <v>214.19326960000001</v>
      </c>
      <c r="E15" s="39">
        <f>'Free Fatty Acids'!$N$11</f>
        <v>215.2005442</v>
      </c>
      <c r="F15" s="39">
        <f>'Free Fatty Acids'!$O$11</f>
        <v>197.18942419999999</v>
      </c>
      <c r="G15" s="39">
        <f>'Free Fatty Acids'!$P$11</f>
        <v>232.2270896</v>
      </c>
      <c r="H15" s="39">
        <f>'Free Fatty Acids'!$Q$11</f>
        <v>237.1824896</v>
      </c>
      <c r="I15" s="39">
        <f>'Free Fatty Acids'!$R$11</f>
        <v>253.1564296</v>
      </c>
      <c r="J15" s="39">
        <f>'Free Fatty Acids'!$S$11</f>
        <v>221.2087296</v>
      </c>
      <c r="K15" s="39">
        <f>'Free Fatty Acids'!$T$11</f>
        <v>213.18599500000002</v>
      </c>
      <c r="L15" s="39">
        <f>'Free Fatty Acids'!$U$11</f>
        <v>259.19148959999995</v>
      </c>
      <c r="M15" s="39">
        <f>'Free Fatty Acids'!$V$11</f>
        <v>273.2071396</v>
      </c>
    </row>
    <row r="16" spans="1:13" x14ac:dyDescent="0.25">
      <c r="A16" s="40" t="s">
        <v>42</v>
      </c>
      <c r="B16" s="40" t="str">
        <f>'Free Fatty Acids'!$A$12</f>
        <v>FA 14:2</v>
      </c>
      <c r="C16" s="39" t="str">
        <f>'Free Fatty Acids'!$L$12</f>
        <v>C14H24O2</v>
      </c>
      <c r="D16" s="39">
        <f>'Free Fatty Acids'!$M$12</f>
        <v>224.1776204</v>
      </c>
      <c r="E16" s="39">
        <f>'Free Fatty Acids'!$N$12</f>
        <v>225.18489499999998</v>
      </c>
      <c r="F16" s="39">
        <f>'Free Fatty Acids'!$O$12</f>
        <v>207.17377499999998</v>
      </c>
      <c r="G16" s="39">
        <f>'Free Fatty Acids'!$P$12</f>
        <v>242.21144039999999</v>
      </c>
      <c r="H16" s="39">
        <f>'Free Fatty Acids'!$Q$12</f>
        <v>247.16684039999998</v>
      </c>
      <c r="I16" s="39">
        <f>'Free Fatty Acids'!$R$12</f>
        <v>263.14078040000004</v>
      </c>
      <c r="J16" s="39">
        <f>'Free Fatty Acids'!$S$12</f>
        <v>231.19308039999999</v>
      </c>
      <c r="K16" s="39">
        <f>'Free Fatty Acids'!$T$12</f>
        <v>223.17034580000001</v>
      </c>
      <c r="L16" s="39">
        <f>'Free Fatty Acids'!$U$12</f>
        <v>269.17584039999997</v>
      </c>
      <c r="M16" s="39">
        <f>'Free Fatty Acids'!$V$12</f>
        <v>283.19149039999996</v>
      </c>
    </row>
    <row r="17" spans="1:13" x14ac:dyDescent="0.25">
      <c r="A17" s="40" t="s">
        <v>42</v>
      </c>
      <c r="B17" s="40" t="str">
        <f>'Free Fatty Acids'!$A$13</f>
        <v>FA 14:1</v>
      </c>
      <c r="C17" s="39" t="str">
        <f>'Free Fatty Acids'!$L$13</f>
        <v>C14H26O2</v>
      </c>
      <c r="D17" s="39">
        <f>'Free Fatty Acids'!$M$13</f>
        <v>226.19326960000001</v>
      </c>
      <c r="E17" s="39">
        <f>'Free Fatty Acids'!$N$13</f>
        <v>227.2005442</v>
      </c>
      <c r="F17" s="39">
        <f>'Free Fatty Acids'!$O$13</f>
        <v>209.18942419999999</v>
      </c>
      <c r="G17" s="39">
        <f>'Free Fatty Acids'!$P$13</f>
        <v>244.2270896</v>
      </c>
      <c r="H17" s="39">
        <f>'Free Fatty Acids'!$Q$13</f>
        <v>249.1824896</v>
      </c>
      <c r="I17" s="39">
        <f>'Free Fatty Acids'!$R$13</f>
        <v>265.15642960000002</v>
      </c>
      <c r="J17" s="39">
        <f>'Free Fatty Acids'!$S$13</f>
        <v>233.2087296</v>
      </c>
      <c r="K17" s="39">
        <f>'Free Fatty Acids'!$T$13</f>
        <v>225.18599500000002</v>
      </c>
      <c r="L17" s="39">
        <f>'Free Fatty Acids'!$U$13</f>
        <v>271.19148959999995</v>
      </c>
      <c r="M17" s="39">
        <f>'Free Fatty Acids'!$V$13</f>
        <v>285.2071396</v>
      </c>
    </row>
    <row r="18" spans="1:13" x14ac:dyDescent="0.25">
      <c r="A18" s="40" t="s">
        <v>42</v>
      </c>
      <c r="B18" s="40" t="str">
        <f>'Free Fatty Acids'!$A$14</f>
        <v>FA 14:0</v>
      </c>
      <c r="C18" s="39" t="str">
        <f>'Free Fatty Acids'!$L$14</f>
        <v>C14H28O2</v>
      </c>
      <c r="D18" s="39">
        <f>'Free Fatty Acids'!$M$14</f>
        <v>228.20891880000002</v>
      </c>
      <c r="E18" s="39">
        <f>'Free Fatty Acids'!$N$14</f>
        <v>229.21619340000001</v>
      </c>
      <c r="F18" s="39">
        <f>'Free Fatty Acids'!$O$14</f>
        <v>211.2050734</v>
      </c>
      <c r="G18" s="39">
        <f>'Free Fatty Acids'!$P$14</f>
        <v>246.24273880000001</v>
      </c>
      <c r="H18" s="39">
        <f>'Free Fatty Acids'!$Q$14</f>
        <v>251.19813880000001</v>
      </c>
      <c r="I18" s="39">
        <f>'Free Fatty Acids'!$R$14</f>
        <v>267.17207880000007</v>
      </c>
      <c r="J18" s="39">
        <f>'Free Fatty Acids'!$S$14</f>
        <v>235.22437880000001</v>
      </c>
      <c r="K18" s="39">
        <f>'Free Fatty Acids'!$T$14</f>
        <v>227.20164420000003</v>
      </c>
      <c r="L18" s="39">
        <f>'Free Fatty Acids'!$U$14</f>
        <v>273.2071388</v>
      </c>
      <c r="M18" s="39">
        <f>'Free Fatty Acids'!$V$14</f>
        <v>287.22278879999999</v>
      </c>
    </row>
    <row r="19" spans="1:13" x14ac:dyDescent="0.25">
      <c r="A19" s="40" t="s">
        <v>42</v>
      </c>
      <c r="B19" s="40" t="str">
        <f>'Free Fatty Acids'!$A$15</f>
        <v>FA 15:2</v>
      </c>
      <c r="C19" s="39" t="str">
        <f>'Free Fatty Acids'!$L$15</f>
        <v>C15H26O2</v>
      </c>
      <c r="D19" s="39">
        <f>'Free Fatty Acids'!$M$15</f>
        <v>238.19326960000001</v>
      </c>
      <c r="E19" s="39">
        <f>'Free Fatty Acids'!$N$15</f>
        <v>239.2005442</v>
      </c>
      <c r="F19" s="39">
        <f>'Free Fatty Acids'!$O$15</f>
        <v>221.18942419999999</v>
      </c>
      <c r="G19" s="39">
        <f>'Free Fatty Acids'!$P$15</f>
        <v>256.22708960000006</v>
      </c>
      <c r="H19" s="39">
        <f>'Free Fatty Acids'!$Q$15</f>
        <v>261.18248960000005</v>
      </c>
      <c r="I19" s="39">
        <f>'Free Fatty Acids'!$R$15</f>
        <v>277.15642960000002</v>
      </c>
      <c r="J19" s="39">
        <f>'Free Fatty Acids'!$S$15</f>
        <v>245.2087296</v>
      </c>
      <c r="K19" s="39">
        <f>'Free Fatty Acids'!$T$15</f>
        <v>237.18599500000002</v>
      </c>
      <c r="L19" s="39">
        <f>'Free Fatty Acids'!$U$15</f>
        <v>283.19148959999995</v>
      </c>
      <c r="M19" s="39">
        <f>'Free Fatty Acids'!$V$15</f>
        <v>297.2071396</v>
      </c>
    </row>
    <row r="20" spans="1:13" x14ac:dyDescent="0.25">
      <c r="A20" s="40" t="s">
        <v>42</v>
      </c>
      <c r="B20" s="40" t="str">
        <f>'Free Fatty Acids'!$A$16</f>
        <v>FA 15:1</v>
      </c>
      <c r="C20" s="39" t="str">
        <f>'Free Fatty Acids'!$L$16</f>
        <v>C15H28O2</v>
      </c>
      <c r="D20" s="39">
        <f>'Free Fatty Acids'!$M$16</f>
        <v>240.20891880000002</v>
      </c>
      <c r="E20" s="39">
        <f>'Free Fatty Acids'!$N$16</f>
        <v>241.21619340000001</v>
      </c>
      <c r="F20" s="39">
        <f>'Free Fatty Acids'!$O$16</f>
        <v>223.2050734</v>
      </c>
      <c r="G20" s="39">
        <f>'Free Fatty Acids'!$P$16</f>
        <v>258.24273880000004</v>
      </c>
      <c r="H20" s="39">
        <f>'Free Fatty Acids'!$Q$16</f>
        <v>263.19813880000004</v>
      </c>
      <c r="I20" s="39">
        <f>'Free Fatty Acids'!$R$16</f>
        <v>279.17207880000007</v>
      </c>
      <c r="J20" s="39">
        <f>'Free Fatty Acids'!$S$16</f>
        <v>247.22437880000001</v>
      </c>
      <c r="K20" s="39">
        <f>'Free Fatty Acids'!$T$16</f>
        <v>239.20164420000003</v>
      </c>
      <c r="L20" s="39">
        <f>'Free Fatty Acids'!$U$16</f>
        <v>285.2071388</v>
      </c>
      <c r="M20" s="39">
        <f>'Free Fatty Acids'!$V$16</f>
        <v>299.22278879999999</v>
      </c>
    </row>
    <row r="21" spans="1:13" x14ac:dyDescent="0.25">
      <c r="A21" s="40" t="s">
        <v>42</v>
      </c>
      <c r="B21" s="40" t="str">
        <f>'Free Fatty Acids'!$A$17</f>
        <v>FA 15:0</v>
      </c>
      <c r="C21" s="39" t="str">
        <f>'Free Fatty Acids'!$L$17</f>
        <v>C15H30O2</v>
      </c>
      <c r="D21" s="39">
        <f>'Free Fatty Acids'!$M$17</f>
        <v>242.224568</v>
      </c>
      <c r="E21" s="39">
        <f>'Free Fatty Acids'!$N$17</f>
        <v>243.23184259999999</v>
      </c>
      <c r="F21" s="39">
        <f>'Free Fatty Acids'!$O$17</f>
        <v>225.22072259999999</v>
      </c>
      <c r="G21" s="39">
        <f>'Free Fatty Acids'!$P$17</f>
        <v>260.25838800000002</v>
      </c>
      <c r="H21" s="39">
        <f>'Free Fatty Acids'!$Q$17</f>
        <v>265.21378800000002</v>
      </c>
      <c r="I21" s="39">
        <f>'Free Fatty Acids'!$R$17</f>
        <v>281.18772800000005</v>
      </c>
      <c r="J21" s="39">
        <f>'Free Fatty Acids'!$S$17</f>
        <v>249.240028</v>
      </c>
      <c r="K21" s="39">
        <f>'Free Fatty Acids'!$T$17</f>
        <v>241.21729340000002</v>
      </c>
      <c r="L21" s="39">
        <f>'Free Fatty Acids'!$U$17</f>
        <v>287.22278799999998</v>
      </c>
      <c r="M21" s="39">
        <f>'Free Fatty Acids'!$V$17</f>
        <v>301.23843799999997</v>
      </c>
    </row>
    <row r="22" spans="1:13" x14ac:dyDescent="0.25">
      <c r="A22" s="40" t="s">
        <v>42</v>
      </c>
      <c r="B22" s="40" t="str">
        <f>'Free Fatty Acids'!$A$18</f>
        <v>FA 16:2</v>
      </c>
      <c r="C22" s="39" t="str">
        <f>'Free Fatty Acids'!$L$18</f>
        <v>C16H28O2</v>
      </c>
      <c r="D22" s="39">
        <f>'Free Fatty Acids'!$M$18</f>
        <v>252.20891880000002</v>
      </c>
      <c r="E22" s="39">
        <f>'Free Fatty Acids'!$N$18</f>
        <v>253.21619340000001</v>
      </c>
      <c r="F22" s="39">
        <f>'Free Fatty Acids'!$O$18</f>
        <v>235.2050734</v>
      </c>
      <c r="G22" s="39">
        <f>'Free Fatty Acids'!$P$18</f>
        <v>270.24273880000004</v>
      </c>
      <c r="H22" s="39">
        <f>'Free Fatty Acids'!$Q$18</f>
        <v>275.19813880000004</v>
      </c>
      <c r="I22" s="39">
        <f>'Free Fatty Acids'!$R$18</f>
        <v>291.17207880000007</v>
      </c>
      <c r="J22" s="39">
        <f>'Free Fatty Acids'!$S$18</f>
        <v>259.22437880000007</v>
      </c>
      <c r="K22" s="39">
        <f>'Free Fatty Acids'!$T$18</f>
        <v>251.20164420000003</v>
      </c>
      <c r="L22" s="39">
        <f>'Free Fatty Acids'!$U$18</f>
        <v>297.2071388</v>
      </c>
      <c r="M22" s="39">
        <f>'Free Fatty Acids'!$V$18</f>
        <v>311.22278879999999</v>
      </c>
    </row>
    <row r="23" spans="1:13" x14ac:dyDescent="0.25">
      <c r="A23" s="40" t="s">
        <v>42</v>
      </c>
      <c r="B23" s="40" t="str">
        <f>'Free Fatty Acids'!$A$19</f>
        <v>FA 16:1</v>
      </c>
      <c r="C23" s="39" t="str">
        <f>'Free Fatty Acids'!$L$19</f>
        <v>C16H30O2</v>
      </c>
      <c r="D23" s="39">
        <f>'Free Fatty Acids'!$M$19</f>
        <v>254.224568</v>
      </c>
      <c r="E23" s="39">
        <f>'Free Fatty Acids'!$N$19</f>
        <v>255.23184259999999</v>
      </c>
      <c r="F23" s="39">
        <f>'Free Fatty Acids'!$O$19</f>
        <v>237.22072259999999</v>
      </c>
      <c r="G23" s="39">
        <f>'Free Fatty Acids'!$P$19</f>
        <v>272.25838800000002</v>
      </c>
      <c r="H23" s="39">
        <f>'Free Fatty Acids'!$Q$19</f>
        <v>277.21378800000002</v>
      </c>
      <c r="I23" s="39">
        <f>'Free Fatty Acids'!$R$19</f>
        <v>293.18772800000005</v>
      </c>
      <c r="J23" s="39">
        <f>'Free Fatty Acids'!$S$19</f>
        <v>261.24002800000005</v>
      </c>
      <c r="K23" s="39">
        <f>'Free Fatty Acids'!$T$19</f>
        <v>253.21729340000002</v>
      </c>
      <c r="L23" s="39">
        <f>'Free Fatty Acids'!$U$19</f>
        <v>299.22278799999998</v>
      </c>
      <c r="M23" s="39">
        <f>'Free Fatty Acids'!$V$19</f>
        <v>313.23843799999997</v>
      </c>
    </row>
    <row r="24" spans="1:13" x14ac:dyDescent="0.25">
      <c r="A24" s="40" t="s">
        <v>42</v>
      </c>
      <c r="B24" s="40" t="str">
        <f>'Free Fatty Acids'!$A$20</f>
        <v>FA 16:0</v>
      </c>
      <c r="C24" s="39" t="str">
        <f>'Free Fatty Acids'!$L$20</f>
        <v>C16H32O2</v>
      </c>
      <c r="D24" s="39">
        <f>'Free Fatty Acids'!$M$20</f>
        <v>256.24021720000002</v>
      </c>
      <c r="E24" s="39">
        <f>'Free Fatty Acids'!$N$20</f>
        <v>257.24749180000003</v>
      </c>
      <c r="F24" s="39">
        <f>'Free Fatty Acids'!$O$20</f>
        <v>239.23637180000003</v>
      </c>
      <c r="G24" s="39">
        <f>'Free Fatty Acids'!$P$20</f>
        <v>274.27403720000007</v>
      </c>
      <c r="H24" s="39">
        <f>'Free Fatty Acids'!$Q$20</f>
        <v>279.22943720000006</v>
      </c>
      <c r="I24" s="39">
        <f>'Free Fatty Acids'!$R$20</f>
        <v>295.20337720000003</v>
      </c>
      <c r="J24" s="39">
        <f>'Free Fatty Acids'!$S$20</f>
        <v>263.25567720000004</v>
      </c>
      <c r="K24" s="39">
        <f>'Free Fatty Acids'!$T$20</f>
        <v>255.23294260000003</v>
      </c>
      <c r="L24" s="39">
        <f>'Free Fatty Acids'!$U$20</f>
        <v>301.23843720000002</v>
      </c>
      <c r="M24" s="39">
        <f>'Free Fatty Acids'!$V$20</f>
        <v>315.25408720000001</v>
      </c>
    </row>
    <row r="25" spans="1:13" x14ac:dyDescent="0.25">
      <c r="A25" s="40" t="s">
        <v>42</v>
      </c>
      <c r="B25" s="40" t="str">
        <f>'Free Fatty Acids'!$A$21</f>
        <v>FA 17:2</v>
      </c>
      <c r="C25" s="39" t="str">
        <f>'Free Fatty Acids'!$L$21</f>
        <v>C17H30O2</v>
      </c>
      <c r="D25" s="39">
        <f>'Free Fatty Acids'!$M$21</f>
        <v>266.22456799999998</v>
      </c>
      <c r="E25" s="39">
        <f>'Free Fatty Acids'!$N$21</f>
        <v>267.23184259999999</v>
      </c>
      <c r="F25" s="39">
        <f>'Free Fatty Acids'!$O$21</f>
        <v>249.22072259999999</v>
      </c>
      <c r="G25" s="39">
        <f>'Free Fatty Acids'!$P$21</f>
        <v>284.25838800000002</v>
      </c>
      <c r="H25" s="39">
        <f>'Free Fatty Acids'!$Q$21</f>
        <v>289.21378800000002</v>
      </c>
      <c r="I25" s="39">
        <f>'Free Fatty Acids'!$R$21</f>
        <v>305.18772799999999</v>
      </c>
      <c r="J25" s="39">
        <f>'Free Fatty Acids'!$S$21</f>
        <v>273.240028</v>
      </c>
      <c r="K25" s="39">
        <f>'Free Fatty Acids'!$T$21</f>
        <v>265.21729339999996</v>
      </c>
      <c r="L25" s="39">
        <f>'Free Fatty Acids'!$U$21</f>
        <v>311.22278799999992</v>
      </c>
      <c r="M25" s="39">
        <f>'Free Fatty Acids'!$V$21</f>
        <v>325.23843799999997</v>
      </c>
    </row>
    <row r="26" spans="1:13" x14ac:dyDescent="0.25">
      <c r="A26" s="40" t="s">
        <v>42</v>
      </c>
      <c r="B26" s="40" t="str">
        <f>'Free Fatty Acids'!$A$22</f>
        <v>FA 17:1</v>
      </c>
      <c r="C26" s="39" t="str">
        <f>'Free Fatty Acids'!$L$22</f>
        <v>C17H32O2</v>
      </c>
      <c r="D26" s="39">
        <f>'Free Fatty Acids'!$M$22</f>
        <v>268.24021720000002</v>
      </c>
      <c r="E26" s="39">
        <f>'Free Fatty Acids'!$N$22</f>
        <v>269.24749180000003</v>
      </c>
      <c r="F26" s="39">
        <f>'Free Fatty Acids'!$O$22</f>
        <v>251.23637180000003</v>
      </c>
      <c r="G26" s="39">
        <f>'Free Fatty Acids'!$P$22</f>
        <v>286.27403720000007</v>
      </c>
      <c r="H26" s="39">
        <f>'Free Fatty Acids'!$Q$22</f>
        <v>291.22943720000006</v>
      </c>
      <c r="I26" s="39">
        <f>'Free Fatty Acids'!$R$22</f>
        <v>307.20337720000003</v>
      </c>
      <c r="J26" s="39">
        <f>'Free Fatty Acids'!$S$22</f>
        <v>275.25567720000004</v>
      </c>
      <c r="K26" s="39">
        <f>'Free Fatty Acids'!$T$22</f>
        <v>267.2329426</v>
      </c>
      <c r="L26" s="39">
        <f>'Free Fatty Acids'!$U$22</f>
        <v>313.23843720000002</v>
      </c>
      <c r="M26" s="39">
        <f>'Free Fatty Acids'!$V$22</f>
        <v>327.25408720000001</v>
      </c>
    </row>
    <row r="27" spans="1:13" x14ac:dyDescent="0.25">
      <c r="A27" s="40" t="s">
        <v>42</v>
      </c>
      <c r="B27" s="40" t="str">
        <f>'Free Fatty Acids'!$A$23</f>
        <v>FA 17:0</v>
      </c>
      <c r="C27" s="39" t="str">
        <f>'Free Fatty Acids'!$L$23</f>
        <v>C17H34O2</v>
      </c>
      <c r="D27" s="39">
        <f>'Free Fatty Acids'!$M$23</f>
        <v>270.2558664</v>
      </c>
      <c r="E27" s="39">
        <f>'Free Fatty Acids'!$N$23</f>
        <v>271.26314100000002</v>
      </c>
      <c r="F27" s="39">
        <f>'Free Fatty Acids'!$O$23</f>
        <v>253.25202100000001</v>
      </c>
      <c r="G27" s="39">
        <f>'Free Fatty Acids'!$P$23</f>
        <v>288.28968640000005</v>
      </c>
      <c r="H27" s="39">
        <f>'Free Fatty Acids'!$Q$23</f>
        <v>293.24508640000005</v>
      </c>
      <c r="I27" s="39">
        <f>'Free Fatty Acids'!$R$23</f>
        <v>309.21902640000002</v>
      </c>
      <c r="J27" s="39">
        <f>'Free Fatty Acids'!$S$23</f>
        <v>277.27132640000002</v>
      </c>
      <c r="K27" s="39">
        <f>'Free Fatty Acids'!$T$23</f>
        <v>269.24859179999999</v>
      </c>
      <c r="L27" s="39">
        <f>'Free Fatty Acids'!$U$23</f>
        <v>315.25408640000001</v>
      </c>
      <c r="M27" s="39">
        <f>'Free Fatty Acids'!$V$23</f>
        <v>329.2697364</v>
      </c>
    </row>
    <row r="28" spans="1:13" x14ac:dyDescent="0.25">
      <c r="A28" s="40" t="s">
        <v>42</v>
      </c>
      <c r="B28" s="40" t="str">
        <f>'Free Fatty Acids'!$A$24</f>
        <v>FA 18:2</v>
      </c>
      <c r="C28" s="39" t="str">
        <f>'Free Fatty Acids'!$L$24</f>
        <v>C18H32O2</v>
      </c>
      <c r="D28" s="39">
        <f>'Free Fatty Acids'!$M$24</f>
        <v>280.24021720000002</v>
      </c>
      <c r="E28" s="39">
        <f>'Free Fatty Acids'!$N$24</f>
        <v>281.24749180000003</v>
      </c>
      <c r="F28" s="39">
        <f>'Free Fatty Acids'!$O$24</f>
        <v>263.23637180000003</v>
      </c>
      <c r="G28" s="39">
        <f>'Free Fatty Acids'!$P$24</f>
        <v>298.27403720000007</v>
      </c>
      <c r="H28" s="39">
        <f>'Free Fatty Acids'!$Q$24</f>
        <v>303.22943720000006</v>
      </c>
      <c r="I28" s="39">
        <f>'Free Fatty Acids'!$R$24</f>
        <v>319.20337720000003</v>
      </c>
      <c r="J28" s="39">
        <f>'Free Fatty Acids'!$S$24</f>
        <v>287.25567720000004</v>
      </c>
      <c r="K28" s="39">
        <f>'Free Fatty Acids'!$T$24</f>
        <v>279.2329426</v>
      </c>
      <c r="L28" s="39">
        <f>'Free Fatty Acids'!$U$24</f>
        <v>325.23843720000002</v>
      </c>
      <c r="M28" s="39">
        <f>'Free Fatty Acids'!$V$24</f>
        <v>339.25408720000001</v>
      </c>
    </row>
    <row r="29" spans="1:13" x14ac:dyDescent="0.25">
      <c r="A29" s="40" t="s">
        <v>42</v>
      </c>
      <c r="B29" s="40" t="str">
        <f>'Free Fatty Acids'!$A$25</f>
        <v>FA 18:1</v>
      </c>
      <c r="C29" s="39" t="str">
        <f>'Free Fatty Acids'!$L$25</f>
        <v>C18H34O2</v>
      </c>
      <c r="D29" s="39">
        <f>'Free Fatty Acids'!$M$25</f>
        <v>282.2558664</v>
      </c>
      <c r="E29" s="39">
        <f>'Free Fatty Acids'!$N$25</f>
        <v>283.26314100000002</v>
      </c>
      <c r="F29" s="39">
        <f>'Free Fatty Acids'!$O$25</f>
        <v>265.25202100000001</v>
      </c>
      <c r="G29" s="39">
        <f>'Free Fatty Acids'!$P$25</f>
        <v>300.28968640000005</v>
      </c>
      <c r="H29" s="39">
        <f>'Free Fatty Acids'!$Q$25</f>
        <v>305.24508640000005</v>
      </c>
      <c r="I29" s="39">
        <f>'Free Fatty Acids'!$R$25</f>
        <v>321.21902640000002</v>
      </c>
      <c r="J29" s="39">
        <f>'Free Fatty Acids'!$S$25</f>
        <v>289.27132640000002</v>
      </c>
      <c r="K29" s="39">
        <f>'Free Fatty Acids'!$T$25</f>
        <v>281.24859179999999</v>
      </c>
      <c r="L29" s="39">
        <f>'Free Fatty Acids'!$U$25</f>
        <v>327.25408640000001</v>
      </c>
      <c r="M29" s="39">
        <f>'Free Fatty Acids'!$V$25</f>
        <v>341.2697364</v>
      </c>
    </row>
    <row r="30" spans="1:13" x14ac:dyDescent="0.25">
      <c r="A30" s="40" t="s">
        <v>42</v>
      </c>
      <c r="B30" s="40" t="str">
        <f>'Free Fatty Acids'!$A$26</f>
        <v>FA 18:0</v>
      </c>
      <c r="C30" s="39" t="str">
        <f>'Free Fatty Acids'!$L$26</f>
        <v>C18H36O2</v>
      </c>
      <c r="D30" s="39">
        <f>'Free Fatty Acids'!$M$26</f>
        <v>284.27151559999999</v>
      </c>
      <c r="E30" s="39">
        <f>'Free Fatty Acids'!$N$26</f>
        <v>285.2787902</v>
      </c>
      <c r="F30" s="39">
        <f>'Free Fatty Acids'!$O$26</f>
        <v>267.2676702</v>
      </c>
      <c r="G30" s="39">
        <f>'Free Fatty Acids'!$P$26</f>
        <v>302.30533560000003</v>
      </c>
      <c r="H30" s="39">
        <f>'Free Fatty Acids'!$Q$26</f>
        <v>307.26073560000003</v>
      </c>
      <c r="I30" s="39">
        <f>'Free Fatty Acids'!$R$26</f>
        <v>323.2346756</v>
      </c>
      <c r="J30" s="39">
        <f>'Free Fatty Acids'!$S$26</f>
        <v>291.28697560000001</v>
      </c>
      <c r="K30" s="39">
        <f>'Free Fatty Acids'!$T$26</f>
        <v>283.26424099999997</v>
      </c>
      <c r="L30" s="39">
        <f>'Free Fatty Acids'!$U$26</f>
        <v>329.26973559999999</v>
      </c>
      <c r="M30" s="39">
        <f>'Free Fatty Acids'!$V$26</f>
        <v>343.28538559999998</v>
      </c>
    </row>
    <row r="31" spans="1:13" x14ac:dyDescent="0.25">
      <c r="A31" s="40" t="s">
        <v>42</v>
      </c>
      <c r="B31" s="40" t="str">
        <f>'Free Fatty Acids'!$A$27</f>
        <v>FA 19:2</v>
      </c>
      <c r="C31" s="39" t="str">
        <f>'Free Fatty Acids'!$L$27</f>
        <v>C19H34O2</v>
      </c>
      <c r="D31" s="39">
        <f>'Free Fatty Acids'!$M$27</f>
        <v>294.2558664</v>
      </c>
      <c r="E31" s="39">
        <f>'Free Fatty Acids'!$N$27</f>
        <v>295.26314100000002</v>
      </c>
      <c r="F31" s="39">
        <f>'Free Fatty Acids'!$O$27</f>
        <v>277.25202100000001</v>
      </c>
      <c r="G31" s="39">
        <f>'Free Fatty Acids'!$P$27</f>
        <v>312.28968640000005</v>
      </c>
      <c r="H31" s="39">
        <f>'Free Fatty Acids'!$Q$27</f>
        <v>317.24508640000005</v>
      </c>
      <c r="I31" s="39">
        <f>'Free Fatty Acids'!$R$27</f>
        <v>333.21902640000002</v>
      </c>
      <c r="J31" s="39">
        <f>'Free Fatty Acids'!$S$27</f>
        <v>301.27132640000002</v>
      </c>
      <c r="K31" s="39">
        <f>'Free Fatty Acids'!$T$27</f>
        <v>293.24859179999999</v>
      </c>
      <c r="L31" s="39">
        <f>'Free Fatty Acids'!$U$27</f>
        <v>339.25408640000001</v>
      </c>
      <c r="M31" s="39">
        <f>'Free Fatty Acids'!$V$27</f>
        <v>353.2697364</v>
      </c>
    </row>
    <row r="32" spans="1:13" x14ac:dyDescent="0.25">
      <c r="A32" s="40" t="s">
        <v>42</v>
      </c>
      <c r="B32" s="40" t="str">
        <f>'Free Fatty Acids'!$A$28</f>
        <v>FA 19:1</v>
      </c>
      <c r="C32" s="39" t="str">
        <f>'Free Fatty Acids'!$L$28</f>
        <v>C19H36O2</v>
      </c>
      <c r="D32" s="39">
        <f>'Free Fatty Acids'!$M$28</f>
        <v>296.27151559999999</v>
      </c>
      <c r="E32" s="39">
        <f>'Free Fatty Acids'!$N$28</f>
        <v>297.2787902</v>
      </c>
      <c r="F32" s="39">
        <f>'Free Fatty Acids'!$O$28</f>
        <v>279.2676702</v>
      </c>
      <c r="G32" s="39">
        <f>'Free Fatty Acids'!$P$28</f>
        <v>314.30533560000003</v>
      </c>
      <c r="H32" s="39">
        <f>'Free Fatty Acids'!$Q$28</f>
        <v>319.26073560000003</v>
      </c>
      <c r="I32" s="39">
        <f>'Free Fatty Acids'!$R$28</f>
        <v>335.2346756</v>
      </c>
      <c r="J32" s="39">
        <f>'Free Fatty Acids'!$S$28</f>
        <v>303.28697560000001</v>
      </c>
      <c r="K32" s="39">
        <f>'Free Fatty Acids'!$T$28</f>
        <v>295.26424099999997</v>
      </c>
      <c r="L32" s="39">
        <f>'Free Fatty Acids'!$U$28</f>
        <v>341.26973559999999</v>
      </c>
      <c r="M32" s="39">
        <f>'Free Fatty Acids'!$V$28</f>
        <v>355.28538559999998</v>
      </c>
    </row>
    <row r="33" spans="1:13" x14ac:dyDescent="0.25">
      <c r="A33" s="40" t="s">
        <v>42</v>
      </c>
      <c r="B33" s="40" t="str">
        <f>'Free Fatty Acids'!$A$29</f>
        <v>FA 19:0</v>
      </c>
      <c r="C33" s="39" t="str">
        <f>'Free Fatty Acids'!$L$29</f>
        <v>C19H38O2</v>
      </c>
      <c r="D33" s="39">
        <f>'Free Fatty Acids'!$M$29</f>
        <v>298.28716479999997</v>
      </c>
      <c r="E33" s="39">
        <f>'Free Fatty Acids'!$N$29</f>
        <v>299.29443939999999</v>
      </c>
      <c r="F33" s="39">
        <f>'Free Fatty Acids'!$O$29</f>
        <v>281.28331939999998</v>
      </c>
      <c r="G33" s="39">
        <f>'Free Fatty Acids'!$P$29</f>
        <v>316.32098480000002</v>
      </c>
      <c r="H33" s="39">
        <f>'Free Fatty Acids'!$Q$29</f>
        <v>321.27638480000002</v>
      </c>
      <c r="I33" s="39">
        <f>'Free Fatty Acids'!$R$29</f>
        <v>337.25032479999999</v>
      </c>
      <c r="J33" s="39">
        <f>'Free Fatty Acids'!$S$29</f>
        <v>305.30262479999999</v>
      </c>
      <c r="K33" s="39">
        <f>'Free Fatty Acids'!$T$29</f>
        <v>297.27989019999995</v>
      </c>
      <c r="L33" s="39">
        <f>'Free Fatty Acids'!$U$29</f>
        <v>343.28538479999997</v>
      </c>
      <c r="M33" s="39">
        <f>'Free Fatty Acids'!$V$29</f>
        <v>357.30103479999997</v>
      </c>
    </row>
    <row r="34" spans="1:13" x14ac:dyDescent="0.25">
      <c r="A34" s="40" t="s">
        <v>42</v>
      </c>
      <c r="B34" s="40" t="str">
        <f>'Free Fatty Acids'!$A$30</f>
        <v>FA 20:4</v>
      </c>
      <c r="C34" s="39" t="str">
        <f>'Free Fatty Acids'!$L$30</f>
        <v>C20H32O2</v>
      </c>
      <c r="D34" s="39">
        <f>'Free Fatty Acids'!$M$30</f>
        <v>304.24021719999996</v>
      </c>
      <c r="E34" s="39">
        <f>'Free Fatty Acids'!$N$30</f>
        <v>305.24749179999998</v>
      </c>
      <c r="F34" s="39">
        <f>'Free Fatty Acids'!$O$30</f>
        <v>287.23637180000003</v>
      </c>
      <c r="G34" s="39">
        <f>'Free Fatty Acids'!$P$30</f>
        <v>322.27403720000001</v>
      </c>
      <c r="H34" s="39">
        <f>'Free Fatty Acids'!$Q$30</f>
        <v>327.22943720000001</v>
      </c>
      <c r="I34" s="39">
        <f>'Free Fatty Acids'!$R$30</f>
        <v>343.20337719999998</v>
      </c>
      <c r="J34" s="39">
        <f>'Free Fatty Acids'!$S$30</f>
        <v>311.25567719999998</v>
      </c>
      <c r="K34" s="39">
        <f>'Free Fatty Acids'!$T$30</f>
        <v>303.23294259999994</v>
      </c>
      <c r="L34" s="39">
        <f>'Free Fatty Acids'!$U$30</f>
        <v>349.23843719999991</v>
      </c>
      <c r="M34" s="39">
        <f>'Free Fatty Acids'!$V$30</f>
        <v>363.25408719999996</v>
      </c>
    </row>
    <row r="35" spans="1:13" x14ac:dyDescent="0.25">
      <c r="A35" s="40" t="s">
        <v>42</v>
      </c>
      <c r="B35" s="40" t="str">
        <f>'Free Fatty Acids'!$A$31</f>
        <v>FA 20:3</v>
      </c>
      <c r="C35" s="39" t="str">
        <f>'Free Fatty Acids'!$L$31</f>
        <v>C20H34O2</v>
      </c>
      <c r="D35" s="39">
        <f>'Free Fatty Acids'!$M$31</f>
        <v>306.2558664</v>
      </c>
      <c r="E35" s="39">
        <f>'Free Fatty Acids'!$N$31</f>
        <v>307.26314100000002</v>
      </c>
      <c r="F35" s="39">
        <f>'Free Fatty Acids'!$O$31</f>
        <v>289.25202100000001</v>
      </c>
      <c r="G35" s="39">
        <f>'Free Fatty Acids'!$P$31</f>
        <v>324.28968640000005</v>
      </c>
      <c r="H35" s="39">
        <f>'Free Fatty Acids'!$Q$31</f>
        <v>329.24508640000005</v>
      </c>
      <c r="I35" s="39">
        <f>'Free Fatty Acids'!$R$31</f>
        <v>345.21902640000002</v>
      </c>
      <c r="J35" s="39">
        <f>'Free Fatty Acids'!$S$31</f>
        <v>313.27132640000002</v>
      </c>
      <c r="K35" s="39">
        <f>'Free Fatty Acids'!$T$31</f>
        <v>305.24859179999999</v>
      </c>
      <c r="L35" s="39">
        <f>'Free Fatty Acids'!$U$31</f>
        <v>351.25408640000001</v>
      </c>
      <c r="M35" s="39">
        <f>'Free Fatty Acids'!$V$31</f>
        <v>365.2697364</v>
      </c>
    </row>
    <row r="36" spans="1:13" x14ac:dyDescent="0.25">
      <c r="A36" s="40" t="s">
        <v>42</v>
      </c>
      <c r="B36" s="40" t="str">
        <f>'Free Fatty Acids'!$A$32</f>
        <v>FA 20:2</v>
      </c>
      <c r="C36" s="39" t="str">
        <f>'Free Fatty Acids'!$L$32</f>
        <v>C20H36O2</v>
      </c>
      <c r="D36" s="39">
        <f>'Free Fatty Acids'!$M$32</f>
        <v>308.27151559999999</v>
      </c>
      <c r="E36" s="39">
        <f>'Free Fatty Acids'!$N$32</f>
        <v>309.2787902</v>
      </c>
      <c r="F36" s="39">
        <f>'Free Fatty Acids'!$O$32</f>
        <v>291.2676702</v>
      </c>
      <c r="G36" s="39">
        <f>'Free Fatty Acids'!$P$32</f>
        <v>326.30533560000003</v>
      </c>
      <c r="H36" s="39">
        <f>'Free Fatty Acids'!$Q$32</f>
        <v>331.26073560000003</v>
      </c>
      <c r="I36" s="39">
        <f>'Free Fatty Acids'!$R$32</f>
        <v>347.2346756</v>
      </c>
      <c r="J36" s="39">
        <f>'Free Fatty Acids'!$S$32</f>
        <v>315.28697560000001</v>
      </c>
      <c r="K36" s="39">
        <f>'Free Fatty Acids'!$T$32</f>
        <v>307.26424099999997</v>
      </c>
      <c r="L36" s="39">
        <f>'Free Fatty Acids'!$U$32</f>
        <v>353.26973559999999</v>
      </c>
      <c r="M36" s="39">
        <f>'Free Fatty Acids'!$V$32</f>
        <v>367.28538559999998</v>
      </c>
    </row>
    <row r="37" spans="1:13" x14ac:dyDescent="0.25">
      <c r="A37" s="40" t="s">
        <v>42</v>
      </c>
      <c r="B37" s="40" t="str">
        <f>'Free Fatty Acids'!$A$33</f>
        <v>FA 20:1</v>
      </c>
      <c r="C37" s="39" t="str">
        <f>'Free Fatty Acids'!$L$33</f>
        <v>C20H38O2</v>
      </c>
      <c r="D37" s="39">
        <f>'Free Fatty Acids'!$M$33</f>
        <v>310.28716479999997</v>
      </c>
      <c r="E37" s="39">
        <f>'Free Fatty Acids'!$N$33</f>
        <v>311.29443939999999</v>
      </c>
      <c r="F37" s="39">
        <f>'Free Fatty Acids'!$O$33</f>
        <v>293.28331939999998</v>
      </c>
      <c r="G37" s="39">
        <f>'Free Fatty Acids'!$P$33</f>
        <v>328.32098480000002</v>
      </c>
      <c r="H37" s="39">
        <f>'Free Fatty Acids'!$Q$33</f>
        <v>333.27638480000002</v>
      </c>
      <c r="I37" s="39">
        <f>'Free Fatty Acids'!$R$33</f>
        <v>349.25032479999999</v>
      </c>
      <c r="J37" s="39">
        <f>'Free Fatty Acids'!$S$33</f>
        <v>317.30262479999999</v>
      </c>
      <c r="K37" s="39">
        <f>'Free Fatty Acids'!$T$33</f>
        <v>309.27989019999995</v>
      </c>
      <c r="L37" s="39">
        <f>'Free Fatty Acids'!$U$33</f>
        <v>355.28538479999997</v>
      </c>
      <c r="M37" s="39">
        <f>'Free Fatty Acids'!$V$33</f>
        <v>369.30103479999997</v>
      </c>
    </row>
    <row r="38" spans="1:13" x14ac:dyDescent="0.25">
      <c r="A38" s="40" t="s">
        <v>42</v>
      </c>
      <c r="B38" s="40" t="str">
        <f>'Free Fatty Acids'!$A$34</f>
        <v>FA 20:0</v>
      </c>
      <c r="C38" s="39" t="str">
        <f>'Free Fatty Acids'!$L$34</f>
        <v>C20H40O2</v>
      </c>
      <c r="D38" s="39">
        <f>'Free Fatty Acids'!$M$34</f>
        <v>312.30281400000001</v>
      </c>
      <c r="E38" s="39">
        <f>'Free Fatty Acids'!$N$34</f>
        <v>313.31008860000003</v>
      </c>
      <c r="F38" s="39">
        <f>'Free Fatty Acids'!$O$34</f>
        <v>295.29896860000008</v>
      </c>
      <c r="G38" s="39">
        <f>'Free Fatty Acids'!$P$34</f>
        <v>330.33663400000006</v>
      </c>
      <c r="H38" s="39">
        <f>'Free Fatty Acids'!$Q$34</f>
        <v>335.29203400000006</v>
      </c>
      <c r="I38" s="39">
        <f>'Free Fatty Acids'!$R$34</f>
        <v>351.26597400000003</v>
      </c>
      <c r="J38" s="39">
        <f>'Free Fatty Acids'!$S$34</f>
        <v>319.31827400000003</v>
      </c>
      <c r="K38" s="39">
        <f>'Free Fatty Acids'!$T$34</f>
        <v>311.2955394</v>
      </c>
      <c r="L38" s="39">
        <f>'Free Fatty Acids'!$U$34</f>
        <v>357.30103399999996</v>
      </c>
      <c r="M38" s="39">
        <f>'Free Fatty Acids'!$V$34</f>
        <v>371.31668400000001</v>
      </c>
    </row>
    <row r="39" spans="1:13" x14ac:dyDescent="0.25">
      <c r="A39" s="40" t="s">
        <v>42</v>
      </c>
      <c r="B39" s="40" t="str">
        <f>'Free Fatty Acids'!$A$35</f>
        <v>FA 21:1</v>
      </c>
      <c r="C39" s="39" t="str">
        <f>'Free Fatty Acids'!$L$35</f>
        <v>C21H40O2</v>
      </c>
      <c r="D39" s="39">
        <f>'Free Fatty Acids'!$M$35</f>
        <v>324.30281400000001</v>
      </c>
      <c r="E39" s="39">
        <f>'Free Fatty Acids'!$N$35</f>
        <v>325.31008860000003</v>
      </c>
      <c r="F39" s="39">
        <f>'Free Fatty Acids'!$O$35</f>
        <v>307.29896860000008</v>
      </c>
      <c r="G39" s="39">
        <f>'Free Fatty Acids'!$P$35</f>
        <v>342.33663400000006</v>
      </c>
      <c r="H39" s="39">
        <f>'Free Fatty Acids'!$Q$35</f>
        <v>347.29203400000006</v>
      </c>
      <c r="I39" s="39">
        <f>'Free Fatty Acids'!$R$35</f>
        <v>363.26597400000003</v>
      </c>
      <c r="J39" s="39">
        <f>'Free Fatty Acids'!$S$35</f>
        <v>331.31827400000003</v>
      </c>
      <c r="K39" s="39">
        <f>'Free Fatty Acids'!$T$35</f>
        <v>323.2955394</v>
      </c>
      <c r="L39" s="39">
        <f>'Free Fatty Acids'!$U$35</f>
        <v>369.30103399999996</v>
      </c>
      <c r="M39" s="39">
        <f>'Free Fatty Acids'!$V$35</f>
        <v>383.31668400000001</v>
      </c>
    </row>
    <row r="40" spans="1:13" x14ac:dyDescent="0.25">
      <c r="A40" s="40" t="s">
        <v>42</v>
      </c>
      <c r="B40" s="40" t="str">
        <f>'Free Fatty Acids'!$A$36</f>
        <v>FA 21:0</v>
      </c>
      <c r="C40" s="39" t="str">
        <f>'Free Fatty Acids'!$L$36</f>
        <v>C21H42O2</v>
      </c>
      <c r="D40" s="39">
        <f>'Free Fatty Acids'!$M$36</f>
        <v>326.3184632</v>
      </c>
      <c r="E40" s="39">
        <f>'Free Fatty Acids'!$N$36</f>
        <v>327.32573780000001</v>
      </c>
      <c r="F40" s="39">
        <f>'Free Fatty Acids'!$O$36</f>
        <v>309.31461780000006</v>
      </c>
      <c r="G40" s="39">
        <f>'Free Fatty Acids'!$P$36</f>
        <v>344.35228320000004</v>
      </c>
      <c r="H40" s="39">
        <f>'Free Fatty Acids'!$Q$36</f>
        <v>349.30768320000004</v>
      </c>
      <c r="I40" s="39">
        <f>'Free Fatty Acids'!$R$36</f>
        <v>365.28162320000001</v>
      </c>
      <c r="J40" s="39">
        <f>'Free Fatty Acids'!$S$36</f>
        <v>333.33392320000002</v>
      </c>
      <c r="K40" s="39">
        <f>'Free Fatty Acids'!$T$36</f>
        <v>325.31118859999998</v>
      </c>
      <c r="L40" s="39">
        <f>'Free Fatty Acids'!$U$36</f>
        <v>371.31668319999994</v>
      </c>
      <c r="M40" s="39">
        <f>'Free Fatty Acids'!$V$36</f>
        <v>385.33233319999999</v>
      </c>
    </row>
    <row r="41" spans="1:13" x14ac:dyDescent="0.25">
      <c r="A41" s="40" t="s">
        <v>42</v>
      </c>
      <c r="B41" s="40" t="str">
        <f>'Free Fatty Acids'!$A$37</f>
        <v>FA 22:2</v>
      </c>
      <c r="C41" s="39" t="str">
        <f>'Free Fatty Acids'!$L$37</f>
        <v>C22H40O2</v>
      </c>
      <c r="D41" s="39">
        <f>'Free Fatty Acids'!$M$37</f>
        <v>336.30281400000001</v>
      </c>
      <c r="E41" s="39">
        <f>'Free Fatty Acids'!$N$37</f>
        <v>337.31008860000003</v>
      </c>
      <c r="F41" s="39">
        <f>'Free Fatty Acids'!$O$37</f>
        <v>319.29896860000008</v>
      </c>
      <c r="G41" s="39">
        <f>'Free Fatty Acids'!$P$37</f>
        <v>354.33663400000006</v>
      </c>
      <c r="H41" s="39">
        <f>'Free Fatty Acids'!$Q$37</f>
        <v>359.29203400000006</v>
      </c>
      <c r="I41" s="39">
        <f>'Free Fatty Acids'!$R$37</f>
        <v>375.26597400000003</v>
      </c>
      <c r="J41" s="39">
        <f>'Free Fatty Acids'!$S$37</f>
        <v>343.31827400000003</v>
      </c>
      <c r="K41" s="39">
        <f>'Free Fatty Acids'!$T$37</f>
        <v>335.2955394</v>
      </c>
      <c r="L41" s="39">
        <f>'Free Fatty Acids'!$U$37</f>
        <v>381.30103399999996</v>
      </c>
      <c r="M41" s="39">
        <f>'Free Fatty Acids'!$V$37</f>
        <v>395.31668400000001</v>
      </c>
    </row>
    <row r="42" spans="1:13" x14ac:dyDescent="0.25">
      <c r="A42" s="40" t="s">
        <v>42</v>
      </c>
      <c r="B42" s="40" t="str">
        <f>'Free Fatty Acids'!$A$38</f>
        <v>FA 22:1</v>
      </c>
      <c r="C42" s="39" t="str">
        <f>'Free Fatty Acids'!$L$38</f>
        <v>C22H42O2</v>
      </c>
      <c r="D42" s="39">
        <f>'Free Fatty Acids'!$M$38</f>
        <v>338.3184632</v>
      </c>
      <c r="E42" s="39">
        <f>'Free Fatty Acids'!$N$38</f>
        <v>339.32573780000001</v>
      </c>
      <c r="F42" s="39">
        <f>'Free Fatty Acids'!$O$38</f>
        <v>321.31461780000006</v>
      </c>
      <c r="G42" s="39">
        <f>'Free Fatty Acids'!$P$38</f>
        <v>356.35228320000004</v>
      </c>
      <c r="H42" s="39">
        <f>'Free Fatty Acids'!$Q$38</f>
        <v>361.30768320000004</v>
      </c>
      <c r="I42" s="39">
        <f>'Free Fatty Acids'!$R$38</f>
        <v>377.28162320000001</v>
      </c>
      <c r="J42" s="39">
        <f>'Free Fatty Acids'!$S$38</f>
        <v>345.33392320000002</v>
      </c>
      <c r="K42" s="39">
        <f>'Free Fatty Acids'!$T$38</f>
        <v>337.31118859999998</v>
      </c>
      <c r="L42" s="39">
        <f>'Free Fatty Acids'!$U$38</f>
        <v>383.31668319999994</v>
      </c>
      <c r="M42" s="39">
        <f>'Free Fatty Acids'!$V$38</f>
        <v>397.33233319999999</v>
      </c>
    </row>
    <row r="43" spans="1:13" x14ac:dyDescent="0.25">
      <c r="A43" s="40" t="s">
        <v>42</v>
      </c>
      <c r="B43" s="40" t="str">
        <f>'Free Fatty Acids'!$A$39</f>
        <v>FA 22:0</v>
      </c>
      <c r="C43" s="39" t="str">
        <f>'Free Fatty Acids'!$L$39</f>
        <v>C22H44O2</v>
      </c>
      <c r="D43" s="39">
        <f>'Free Fatty Acids'!$M$39</f>
        <v>340.33411239999998</v>
      </c>
      <c r="E43" s="39">
        <f>'Free Fatty Acids'!$N$39</f>
        <v>341.341387</v>
      </c>
      <c r="F43" s="39">
        <f>'Free Fatty Acids'!$O$39</f>
        <v>323.33026700000005</v>
      </c>
      <c r="G43" s="39">
        <f>'Free Fatty Acids'!$P$39</f>
        <v>358.36793240000003</v>
      </c>
      <c r="H43" s="39">
        <f>'Free Fatty Acids'!$Q$39</f>
        <v>363.32333240000003</v>
      </c>
      <c r="I43" s="39">
        <f>'Free Fatty Acids'!$R$39</f>
        <v>379.2972724</v>
      </c>
      <c r="J43" s="39">
        <f>'Free Fatty Acids'!$S$39</f>
        <v>347.3495724</v>
      </c>
      <c r="K43" s="39">
        <f>'Free Fatty Acids'!$T$39</f>
        <v>339.32683779999996</v>
      </c>
      <c r="L43" s="39">
        <f>'Free Fatty Acids'!$U$39</f>
        <v>385.33233239999993</v>
      </c>
      <c r="M43" s="39">
        <f>'Free Fatty Acids'!$V$39</f>
        <v>399.34798239999998</v>
      </c>
    </row>
    <row r="44" spans="1:13" x14ac:dyDescent="0.25">
      <c r="A44" s="40" t="s">
        <v>42</v>
      </c>
      <c r="B44" s="40" t="str">
        <f>'Free Fatty Acids'!$A$40</f>
        <v>FA 23:0</v>
      </c>
      <c r="C44" s="39" t="str">
        <f>'Free Fatty Acids'!$L$40</f>
        <v>C23H46O2</v>
      </c>
      <c r="D44" s="39">
        <f>'Free Fatty Acids'!$M$40</f>
        <v>354.34976159999997</v>
      </c>
      <c r="E44" s="39">
        <f>'Free Fatty Acids'!$N$40</f>
        <v>355.35703619999998</v>
      </c>
      <c r="F44" s="39">
        <f>'Free Fatty Acids'!$O$40</f>
        <v>337.34591620000003</v>
      </c>
      <c r="G44" s="39">
        <f>'Free Fatty Acids'!$P$40</f>
        <v>372.38358160000001</v>
      </c>
      <c r="H44" s="39">
        <f>'Free Fatty Acids'!$Q$40</f>
        <v>377.33898160000001</v>
      </c>
      <c r="I44" s="39">
        <f>'Free Fatty Acids'!$R$40</f>
        <v>393.31292159999998</v>
      </c>
      <c r="J44" s="39">
        <f>'Free Fatty Acids'!$S$40</f>
        <v>361.36522159999998</v>
      </c>
      <c r="K44" s="39">
        <f>'Free Fatty Acids'!$T$40</f>
        <v>353.34248699999995</v>
      </c>
      <c r="L44" s="39">
        <f>'Free Fatty Acids'!$U$40</f>
        <v>399.34798159999991</v>
      </c>
      <c r="M44" s="39">
        <f>'Free Fatty Acids'!$V$40</f>
        <v>413.36363159999996</v>
      </c>
    </row>
    <row r="45" spans="1:13" x14ac:dyDescent="0.25">
      <c r="A45" s="40" t="s">
        <v>42</v>
      </c>
      <c r="B45" s="40" t="str">
        <f>'Free Fatty Acids'!$A$41</f>
        <v>FA 24:0</v>
      </c>
      <c r="C45" s="39" t="str">
        <f>'Free Fatty Acids'!$L$41</f>
        <v>C24H48O2</v>
      </c>
      <c r="D45" s="39">
        <f>'Free Fatty Acids'!$M$41</f>
        <v>368.36541079999995</v>
      </c>
      <c r="E45" s="39">
        <f>'Free Fatty Acids'!$N$41</f>
        <v>369.37268539999997</v>
      </c>
      <c r="F45" s="39">
        <f>'Free Fatty Acids'!$O$41</f>
        <v>351.36156540000002</v>
      </c>
      <c r="G45" s="39">
        <f>'Free Fatty Acids'!$P$41</f>
        <v>386.3992308</v>
      </c>
      <c r="H45" s="39">
        <f>'Free Fatty Acids'!$Q$41</f>
        <v>391.3546308</v>
      </c>
      <c r="I45" s="39">
        <f>'Free Fatty Acids'!$R$41</f>
        <v>407.32857079999997</v>
      </c>
      <c r="J45" s="39">
        <f>'Free Fatty Acids'!$S$41</f>
        <v>375.38087079999997</v>
      </c>
      <c r="K45" s="39">
        <f>'Free Fatty Acids'!$T$41</f>
        <v>367.35813619999993</v>
      </c>
      <c r="L45" s="39">
        <f>'Free Fatty Acids'!$U$41</f>
        <v>413.3636307999999</v>
      </c>
      <c r="M45" s="39">
        <f>'Free Fatty Acids'!$V$41</f>
        <v>427.37928079999995</v>
      </c>
    </row>
    <row r="46" spans="1:13" x14ac:dyDescent="0.25">
      <c r="A46" s="40" t="s">
        <v>42</v>
      </c>
      <c r="B46" s="40" t="str">
        <f>'Free Fatty Acids'!$A$42</f>
        <v>FA 18:0__OH__</v>
      </c>
      <c r="C46" s="39" t="str">
        <f>'Free Fatty Acids'!$L$42</f>
        <v>C18H36O3</v>
      </c>
      <c r="D46" s="39">
        <f>'Free Fatty Acids'!$M$42</f>
        <v>300.26643060000004</v>
      </c>
      <c r="E46" s="39">
        <f>'Free Fatty Acids'!$N$42</f>
        <v>301.27370520000005</v>
      </c>
      <c r="F46" s="39">
        <f>'Free Fatty Acids'!$O$42</f>
        <v>283.2625852000001</v>
      </c>
      <c r="G46" s="39">
        <f>'Free Fatty Acids'!$P$42</f>
        <v>318.30025060000008</v>
      </c>
      <c r="H46" s="39">
        <f>'Free Fatty Acids'!$Q$42</f>
        <v>323.25565060000008</v>
      </c>
      <c r="I46" s="39">
        <f>'Free Fatty Acids'!$R$42</f>
        <v>339.22959060000005</v>
      </c>
      <c r="J46" s="39">
        <f>'Free Fatty Acids'!$S$42</f>
        <v>307.28189060000005</v>
      </c>
      <c r="K46" s="39">
        <f>'Free Fatty Acids'!$T$42</f>
        <v>299.25915600000002</v>
      </c>
      <c r="L46" s="39">
        <f>'Free Fatty Acids'!$U$42</f>
        <v>345.26465059999998</v>
      </c>
      <c r="M46" s="39">
        <f>'Free Fatty Acids'!$V$42</f>
        <v>359.28030060000003</v>
      </c>
    </row>
    <row r="47" spans="1:13" x14ac:dyDescent="0.25">
      <c r="A47" s="40" t="s">
        <v>42</v>
      </c>
      <c r="B47" s="40" t="str">
        <f>'Free Fatty Acids'!$A$43</f>
        <v>FA 20:0__OH__</v>
      </c>
      <c r="C47" s="39" t="str">
        <f>'Free Fatty Acids'!$L$43</f>
        <v>C20H40O3</v>
      </c>
      <c r="D47" s="39">
        <f>'Free Fatty Acids'!$M$43</f>
        <v>328.297729</v>
      </c>
      <c r="E47" s="39">
        <f>'Free Fatty Acids'!$N$43</f>
        <v>329.30500360000002</v>
      </c>
      <c r="F47" s="39">
        <f>'Free Fatty Acids'!$O$43</f>
        <v>311.29388360000007</v>
      </c>
      <c r="G47" s="39">
        <f>'Free Fatty Acids'!$P$43</f>
        <v>346.33154900000005</v>
      </c>
      <c r="H47" s="39">
        <f>'Free Fatty Acids'!$Q$43</f>
        <v>351.28694900000005</v>
      </c>
      <c r="I47" s="39">
        <f>'Free Fatty Acids'!$R$43</f>
        <v>367.26088900000002</v>
      </c>
      <c r="J47" s="39">
        <f>'Free Fatty Acids'!$S$43</f>
        <v>335.31318900000002</v>
      </c>
      <c r="K47" s="39">
        <f>'Free Fatty Acids'!$T$43</f>
        <v>327.29045439999999</v>
      </c>
      <c r="L47" s="39">
        <f>'Free Fatty Acids'!$U$43</f>
        <v>373.29594899999995</v>
      </c>
      <c r="M47" s="39">
        <f>'Free Fatty Acids'!$V$43</f>
        <v>387.311599</v>
      </c>
    </row>
    <row r="48" spans="1:13" x14ac:dyDescent="0.25">
      <c r="A48" s="40" t="s">
        <v>42</v>
      </c>
      <c r="B48" s="40" t="str">
        <f>'Free Fatty Acids'!$A$44</f>
        <v>FA 22:0__OH__</v>
      </c>
      <c r="C48" s="39" t="str">
        <f>'Free Fatty Acids'!$L$44</f>
        <v>C22H44O3</v>
      </c>
      <c r="D48" s="39">
        <f>'Free Fatty Acids'!$M$44</f>
        <v>356.32902739999997</v>
      </c>
      <c r="E48" s="39">
        <f>'Free Fatty Acids'!$N$44</f>
        <v>357.33630199999999</v>
      </c>
      <c r="F48" s="39">
        <f>'Free Fatty Acids'!$O$44</f>
        <v>339.32518200000004</v>
      </c>
      <c r="G48" s="39">
        <f>'Free Fatty Acids'!$P$44</f>
        <v>374.36284740000002</v>
      </c>
      <c r="H48" s="39">
        <f>'Free Fatty Acids'!$Q$44</f>
        <v>379.31824740000002</v>
      </c>
      <c r="I48" s="39">
        <f>'Free Fatty Acids'!$R$44</f>
        <v>395.29218739999999</v>
      </c>
      <c r="J48" s="39">
        <f>'Free Fatty Acids'!$S$44</f>
        <v>363.34448739999999</v>
      </c>
      <c r="K48" s="39">
        <f>'Free Fatty Acids'!$T$44</f>
        <v>355.32175279999996</v>
      </c>
      <c r="L48" s="39">
        <f>'Free Fatty Acids'!$U$44</f>
        <v>401.32724739999992</v>
      </c>
      <c r="M48" s="39">
        <f>'Free Fatty Acids'!$V$44</f>
        <v>415.34289739999997</v>
      </c>
    </row>
    <row r="49" spans="1:14" x14ac:dyDescent="0.25">
      <c r="A49" s="40" t="s">
        <v>55</v>
      </c>
      <c r="B49" s="40" t="str">
        <f>MGDG!$A$3</f>
        <v>MGDG 25:0</v>
      </c>
      <c r="C49" s="39" t="str">
        <f>MGDG!$L$3</f>
        <v>C34H64O10</v>
      </c>
      <c r="D49" s="39">
        <f>MGDG!$M$3</f>
        <v>632.44992439999999</v>
      </c>
      <c r="E49" s="39">
        <f>MGDG!$N$3</f>
        <v>633.45719900000006</v>
      </c>
      <c r="F49" s="39">
        <f>MGDG!$O$3</f>
        <v>615.44607900000005</v>
      </c>
      <c r="G49" s="39">
        <f>MGDG!$P$3</f>
        <v>650.48374439999998</v>
      </c>
      <c r="H49" s="39">
        <f>MGDG!$Q$3</f>
        <v>655.43914440000003</v>
      </c>
      <c r="I49" s="39">
        <f>MGDG!$R$3</f>
        <v>671.4130844</v>
      </c>
      <c r="J49" s="39">
        <f>MGDG!$S$3</f>
        <v>639.46538440000006</v>
      </c>
      <c r="K49" s="39">
        <f>MGDG!$T$3</f>
        <v>631.44264979999991</v>
      </c>
      <c r="L49" s="39">
        <f>MGDG!$U$3</f>
        <v>677.44814439999993</v>
      </c>
      <c r="M49" s="39">
        <f>MGDG!$V$3</f>
        <v>691.46379439999998</v>
      </c>
      <c r="N49" s="39">
        <f>MGDG!$W$3</f>
        <v>667.41822739999998</v>
      </c>
    </row>
    <row r="50" spans="1:14" x14ac:dyDescent="0.25">
      <c r="A50" s="40" t="s">
        <v>55</v>
      </c>
      <c r="B50" s="40" t="str">
        <f>MGDG!$A$4</f>
        <v>MGDG 26:0</v>
      </c>
      <c r="C50" s="39" t="str">
        <f>MGDG!$L$4</f>
        <v>C35H66O10</v>
      </c>
      <c r="D50" s="39">
        <f>MGDG!$M$4</f>
        <v>646.46557359999997</v>
      </c>
      <c r="E50" s="39">
        <f>MGDG!$N$4</f>
        <v>647.47284820000004</v>
      </c>
      <c r="F50" s="39">
        <f>MGDG!$O$4</f>
        <v>629.46172820000004</v>
      </c>
      <c r="G50" s="39">
        <f>MGDG!$P$4</f>
        <v>664.49939359999996</v>
      </c>
      <c r="H50" s="39">
        <f>MGDG!$Q$4</f>
        <v>669.45479360000002</v>
      </c>
      <c r="I50" s="39">
        <f>MGDG!$R$4</f>
        <v>685.42873359999999</v>
      </c>
      <c r="J50" s="39">
        <f>MGDG!$S$4</f>
        <v>653.48103360000005</v>
      </c>
      <c r="K50" s="39">
        <f>MGDG!$T$4</f>
        <v>645.4582989999999</v>
      </c>
      <c r="L50" s="39">
        <f>MGDG!$U$4</f>
        <v>691.46379359999992</v>
      </c>
      <c r="M50" s="39">
        <f>MGDG!$V$4</f>
        <v>705.47944359999997</v>
      </c>
      <c r="N50" s="39">
        <f>MGDG!$W$4</f>
        <v>681.43387659999996</v>
      </c>
    </row>
    <row r="51" spans="1:14" x14ac:dyDescent="0.25">
      <c r="A51" s="40" t="s">
        <v>55</v>
      </c>
      <c r="B51" s="40" t="str">
        <f>MGDG!$A$5</f>
        <v>MGDG 27:0</v>
      </c>
      <c r="C51" s="39" t="str">
        <f>MGDG!$L$5</f>
        <v>C36H68O10</v>
      </c>
      <c r="D51" s="39">
        <f>MGDG!$M$5</f>
        <v>660.48122279999995</v>
      </c>
      <c r="E51" s="39">
        <f>MGDG!$N$5</f>
        <v>661.48849740000003</v>
      </c>
      <c r="F51" s="39">
        <f>MGDG!$O$5</f>
        <v>643.47737740000002</v>
      </c>
      <c r="G51" s="39">
        <f>MGDG!$P$5</f>
        <v>678.51504279999995</v>
      </c>
      <c r="H51" s="39">
        <f>MGDG!$Q$5</f>
        <v>683.4704428</v>
      </c>
      <c r="I51" s="39">
        <f>MGDG!$R$5</f>
        <v>699.44438279999997</v>
      </c>
      <c r="J51" s="39">
        <f>MGDG!$S$5</f>
        <v>667.49668280000003</v>
      </c>
      <c r="K51" s="39">
        <f>MGDG!$T$5</f>
        <v>659.47394819999988</v>
      </c>
      <c r="L51" s="39">
        <f>MGDG!$U$5</f>
        <v>705.4794427999999</v>
      </c>
      <c r="M51" s="39">
        <f>MGDG!$V$5</f>
        <v>719.49509279999995</v>
      </c>
      <c r="N51" s="39">
        <f>MGDG!$W$5</f>
        <v>695.44952579999995</v>
      </c>
    </row>
    <row r="52" spans="1:14" x14ac:dyDescent="0.25">
      <c r="A52" s="40" t="s">
        <v>55</v>
      </c>
      <c r="B52" s="40" t="str">
        <f>MGDG!$A$6</f>
        <v>MGDG 28:2</v>
      </c>
      <c r="C52" s="39" t="str">
        <f>MGDG!$L$6</f>
        <v>C37H66O10</v>
      </c>
      <c r="D52" s="39">
        <f>MGDG!$M$6</f>
        <v>670.46557359999997</v>
      </c>
      <c r="E52" s="39">
        <f>MGDG!$N$6</f>
        <v>671.47284820000004</v>
      </c>
      <c r="F52" s="39">
        <f>MGDG!$O$6</f>
        <v>653.46172820000004</v>
      </c>
      <c r="G52" s="39">
        <f>MGDG!$P$6</f>
        <v>688.49939359999996</v>
      </c>
      <c r="H52" s="39">
        <f>MGDG!$Q$6</f>
        <v>693.45479360000002</v>
      </c>
      <c r="I52" s="39">
        <f>MGDG!$R$6</f>
        <v>709.42873359999999</v>
      </c>
      <c r="J52" s="39">
        <f>MGDG!$S$6</f>
        <v>677.48103360000005</v>
      </c>
      <c r="K52" s="39">
        <f>MGDG!$T$6</f>
        <v>669.4582989999999</v>
      </c>
      <c r="L52" s="39">
        <f>MGDG!$U$6</f>
        <v>715.46379359999992</v>
      </c>
      <c r="M52" s="39">
        <f>MGDG!$V$6</f>
        <v>729.47944359999997</v>
      </c>
      <c r="N52" s="39">
        <f>MGDG!$W$6</f>
        <v>705.43387659999996</v>
      </c>
    </row>
    <row r="53" spans="1:14" x14ac:dyDescent="0.25">
      <c r="A53" s="40" t="s">
        <v>55</v>
      </c>
      <c r="B53" s="40" t="str">
        <f>MGDG!$A$7</f>
        <v>MGDG 28:1</v>
      </c>
      <c r="C53" s="39" t="str">
        <f>MGDG!$L$7</f>
        <v>C37H68O10</v>
      </c>
      <c r="D53" s="39">
        <f>MGDG!$M$7</f>
        <v>672.48122280000007</v>
      </c>
      <c r="E53" s="39">
        <f>MGDG!$N$7</f>
        <v>673.48849740000014</v>
      </c>
      <c r="F53" s="39">
        <f>MGDG!$O$7</f>
        <v>655.47737740000014</v>
      </c>
      <c r="G53" s="39">
        <f>MGDG!$P$7</f>
        <v>690.51504280000006</v>
      </c>
      <c r="H53" s="39">
        <f>MGDG!$Q$7</f>
        <v>695.47044280000011</v>
      </c>
      <c r="I53" s="39">
        <f>MGDG!$R$7</f>
        <v>711.44438280000008</v>
      </c>
      <c r="J53" s="39">
        <f>MGDG!$S$7</f>
        <v>679.49668280000014</v>
      </c>
      <c r="K53" s="39">
        <f>MGDG!$T$7</f>
        <v>671.4739482</v>
      </c>
      <c r="L53" s="39">
        <f>MGDG!$U$7</f>
        <v>717.47944280000002</v>
      </c>
      <c r="M53" s="39">
        <f>MGDG!$V$7</f>
        <v>731.49509280000007</v>
      </c>
      <c r="N53" s="39">
        <f>MGDG!$W$7</f>
        <v>707.44952580000006</v>
      </c>
    </row>
    <row r="54" spans="1:14" x14ac:dyDescent="0.25">
      <c r="A54" s="40" t="s">
        <v>55</v>
      </c>
      <c r="B54" s="40" t="str">
        <f>MGDG!$A$8</f>
        <v>MGDG 28:0</v>
      </c>
      <c r="C54" s="39" t="str">
        <f>MGDG!$L$8</f>
        <v>C37H70O10</v>
      </c>
      <c r="D54" s="39">
        <f>MGDG!$M$8</f>
        <v>674.49687200000005</v>
      </c>
      <c r="E54" s="39">
        <f>MGDG!$N$8</f>
        <v>675.50414660000013</v>
      </c>
      <c r="F54" s="39">
        <f>MGDG!$O$8</f>
        <v>657.49302660000012</v>
      </c>
      <c r="G54" s="39">
        <f>MGDG!$P$8</f>
        <v>692.53069200000004</v>
      </c>
      <c r="H54" s="39">
        <f>MGDG!$Q$8</f>
        <v>697.4860920000001</v>
      </c>
      <c r="I54" s="39">
        <f>MGDG!$R$8</f>
        <v>713.46003200000007</v>
      </c>
      <c r="J54" s="39">
        <f>MGDG!$S$8</f>
        <v>681.51233200000013</v>
      </c>
      <c r="K54" s="39">
        <f>MGDG!$T$8</f>
        <v>673.48959739999998</v>
      </c>
      <c r="L54" s="39">
        <f>MGDG!$U$8</f>
        <v>719.495092</v>
      </c>
      <c r="M54" s="39">
        <f>MGDG!$V$8</f>
        <v>733.51074200000005</v>
      </c>
      <c r="N54" s="39">
        <f>MGDG!$W$8</f>
        <v>709.46517500000004</v>
      </c>
    </row>
    <row r="55" spans="1:14" x14ac:dyDescent="0.25">
      <c r="A55" s="40" t="s">
        <v>55</v>
      </c>
      <c r="B55" s="40" t="str">
        <f>MGDG!$A$9</f>
        <v>MGDG 29:2</v>
      </c>
      <c r="C55" s="39" t="str">
        <f>MGDG!$L$9</f>
        <v>C38H68O10</v>
      </c>
      <c r="D55" s="39">
        <f>MGDG!$M$9</f>
        <v>684.48122280000007</v>
      </c>
      <c r="E55" s="39">
        <f>MGDG!$N$9</f>
        <v>685.48849740000014</v>
      </c>
      <c r="F55" s="39">
        <f>MGDG!$O$9</f>
        <v>667.47737740000014</v>
      </c>
      <c r="G55" s="39">
        <f>MGDG!$P$9</f>
        <v>702.51504280000006</v>
      </c>
      <c r="H55" s="39">
        <f>MGDG!$Q$9</f>
        <v>707.47044280000011</v>
      </c>
      <c r="I55" s="39">
        <f>MGDG!$R$9</f>
        <v>723.44438280000008</v>
      </c>
      <c r="J55" s="39">
        <f>MGDG!$S$9</f>
        <v>691.49668280000014</v>
      </c>
      <c r="K55" s="39">
        <f>MGDG!$T$9</f>
        <v>683.4739482</v>
      </c>
      <c r="L55" s="39">
        <f>MGDG!$U$9</f>
        <v>729.47944280000002</v>
      </c>
      <c r="M55" s="39">
        <f>MGDG!$V$9</f>
        <v>743.49509280000007</v>
      </c>
      <c r="N55" s="39">
        <f>MGDG!$W$9</f>
        <v>719.44952580000006</v>
      </c>
    </row>
    <row r="56" spans="1:14" x14ac:dyDescent="0.25">
      <c r="A56" s="40" t="s">
        <v>55</v>
      </c>
      <c r="B56" s="40" t="str">
        <f>MGDG!$A$10</f>
        <v>MGDG 29:1</v>
      </c>
      <c r="C56" s="39" t="str">
        <f>MGDG!$L$10</f>
        <v>C38H70O10</v>
      </c>
      <c r="D56" s="39">
        <f>MGDG!$M$10</f>
        <v>686.49687200000005</v>
      </c>
      <c r="E56" s="39">
        <f>MGDG!$N$10</f>
        <v>687.50414660000013</v>
      </c>
      <c r="F56" s="39">
        <f>MGDG!$O$10</f>
        <v>669.49302660000012</v>
      </c>
      <c r="G56" s="39">
        <f>MGDG!$P$10</f>
        <v>704.53069200000004</v>
      </c>
      <c r="H56" s="39">
        <f>MGDG!$Q$10</f>
        <v>709.4860920000001</v>
      </c>
      <c r="I56" s="39">
        <f>MGDG!$R$10</f>
        <v>725.46003200000007</v>
      </c>
      <c r="J56" s="39">
        <f>MGDG!$S$10</f>
        <v>693.51233200000013</v>
      </c>
      <c r="K56" s="39">
        <f>MGDG!$T$10</f>
        <v>685.48959739999998</v>
      </c>
      <c r="L56" s="39">
        <f>MGDG!$U$10</f>
        <v>731.495092</v>
      </c>
      <c r="M56" s="39">
        <f>MGDG!$V$10</f>
        <v>745.51074200000005</v>
      </c>
      <c r="N56" s="39">
        <f>MGDG!$W$10</f>
        <v>721.46517500000004</v>
      </c>
    </row>
    <row r="57" spans="1:14" x14ac:dyDescent="0.25">
      <c r="A57" s="40" t="s">
        <v>55</v>
      </c>
      <c r="B57" s="40" t="str">
        <f>MGDG!$A$11</f>
        <v>MGDG 29:0</v>
      </c>
      <c r="C57" s="39" t="str">
        <f>MGDG!$L$11</f>
        <v>C38H72O10</v>
      </c>
      <c r="D57" s="39">
        <f>MGDG!$M$11</f>
        <v>688.51252120000004</v>
      </c>
      <c r="E57" s="39">
        <f>MGDG!$N$11</f>
        <v>689.51979580000011</v>
      </c>
      <c r="F57" s="39">
        <f>MGDG!$O$11</f>
        <v>671.50867580000011</v>
      </c>
      <c r="G57" s="39">
        <f>MGDG!$P$11</f>
        <v>706.54634120000003</v>
      </c>
      <c r="H57" s="39">
        <f>MGDG!$Q$11</f>
        <v>711.50174120000008</v>
      </c>
      <c r="I57" s="39">
        <f>MGDG!$R$11</f>
        <v>727.47568120000005</v>
      </c>
      <c r="J57" s="39">
        <f>MGDG!$S$11</f>
        <v>695.52798120000011</v>
      </c>
      <c r="K57" s="39">
        <f>MGDG!$T$11</f>
        <v>687.50524659999996</v>
      </c>
      <c r="L57" s="39">
        <f>MGDG!$U$11</f>
        <v>733.51074119999998</v>
      </c>
      <c r="M57" s="39">
        <f>MGDG!$V$11</f>
        <v>747.52639120000003</v>
      </c>
      <c r="N57" s="39">
        <f>MGDG!$W$11</f>
        <v>723.48082420000003</v>
      </c>
    </row>
    <row r="58" spans="1:14" x14ac:dyDescent="0.25">
      <c r="A58" s="40" t="s">
        <v>55</v>
      </c>
      <c r="B58" s="40" t="str">
        <f>MGDG!$A$12</f>
        <v>MGDG 30:2</v>
      </c>
      <c r="C58" s="39" t="str">
        <f>MGDG!$L$12</f>
        <v>C39H70O10</v>
      </c>
      <c r="D58" s="39">
        <f>MGDG!$M$12</f>
        <v>698.49687200000005</v>
      </c>
      <c r="E58" s="39">
        <f>MGDG!$N$12</f>
        <v>699.50414660000013</v>
      </c>
      <c r="F58" s="39">
        <f>MGDG!$O$12</f>
        <v>681.49302660000012</v>
      </c>
      <c r="G58" s="39">
        <f>MGDG!$P$12</f>
        <v>716.53069200000004</v>
      </c>
      <c r="H58" s="39">
        <f>MGDG!$Q$12</f>
        <v>721.4860920000001</v>
      </c>
      <c r="I58" s="39">
        <f>MGDG!$R$12</f>
        <v>737.46003200000007</v>
      </c>
      <c r="J58" s="39">
        <f>MGDG!$S$12</f>
        <v>705.51233200000013</v>
      </c>
      <c r="K58" s="39">
        <f>MGDG!$T$12</f>
        <v>697.48959739999998</v>
      </c>
      <c r="L58" s="39">
        <f>MGDG!$U$12</f>
        <v>743.495092</v>
      </c>
      <c r="M58" s="39">
        <f>MGDG!$V$12</f>
        <v>757.51074200000005</v>
      </c>
      <c r="N58" s="39">
        <f>MGDG!$W$12</f>
        <v>733.46517500000004</v>
      </c>
    </row>
    <row r="59" spans="1:14" x14ac:dyDescent="0.25">
      <c r="A59" s="40" t="s">
        <v>55</v>
      </c>
      <c r="B59" s="40" t="str">
        <f>MGDG!$A$13</f>
        <v>MGDG 30:1</v>
      </c>
      <c r="C59" s="39" t="str">
        <f>MGDG!$L$13</f>
        <v>C39H72O10</v>
      </c>
      <c r="D59" s="39">
        <f>MGDG!$M$13</f>
        <v>700.51252120000004</v>
      </c>
      <c r="E59" s="39">
        <f>MGDG!$N$13</f>
        <v>701.51979580000011</v>
      </c>
      <c r="F59" s="39">
        <f>MGDG!$O$13</f>
        <v>683.50867580000011</v>
      </c>
      <c r="G59" s="39">
        <f>MGDG!$P$13</f>
        <v>718.54634120000003</v>
      </c>
      <c r="H59" s="39">
        <f>MGDG!$Q$13</f>
        <v>723.50174120000008</v>
      </c>
      <c r="I59" s="39">
        <f>MGDG!$R$13</f>
        <v>739.47568120000005</v>
      </c>
      <c r="J59" s="39">
        <f>MGDG!$S$13</f>
        <v>707.52798120000011</v>
      </c>
      <c r="K59" s="39">
        <f>MGDG!$T$13</f>
        <v>699.50524659999996</v>
      </c>
      <c r="L59" s="39">
        <f>MGDG!$U$13</f>
        <v>745.51074119999998</v>
      </c>
      <c r="M59" s="39">
        <f>MGDG!$V$13</f>
        <v>759.52639120000003</v>
      </c>
      <c r="N59" s="39">
        <f>MGDG!$W$13</f>
        <v>735.48082420000003</v>
      </c>
    </row>
    <row r="60" spans="1:14" x14ac:dyDescent="0.25">
      <c r="A60" s="40" t="s">
        <v>55</v>
      </c>
      <c r="B60" s="40" t="str">
        <f>MGDG!$A$14</f>
        <v>MGDG 30:0</v>
      </c>
      <c r="C60" s="39" t="str">
        <f>MGDG!$L$14</f>
        <v>C39H74O10</v>
      </c>
      <c r="D60" s="39">
        <f>MGDG!$M$14</f>
        <v>702.52817040000002</v>
      </c>
      <c r="E60" s="39">
        <f>MGDG!$N$14</f>
        <v>703.5354450000001</v>
      </c>
      <c r="F60" s="39">
        <f>MGDG!$O$14</f>
        <v>685.52432500000009</v>
      </c>
      <c r="G60" s="39">
        <f>MGDG!$P$14</f>
        <v>720.56199040000001</v>
      </c>
      <c r="H60" s="39">
        <f>MGDG!$Q$14</f>
        <v>725.51739040000007</v>
      </c>
      <c r="I60" s="39">
        <f>MGDG!$R$14</f>
        <v>741.49133040000004</v>
      </c>
      <c r="J60" s="39">
        <f>MGDG!$S$14</f>
        <v>709.5436304000001</v>
      </c>
      <c r="K60" s="39">
        <f>MGDG!$T$14</f>
        <v>701.52089579999995</v>
      </c>
      <c r="L60" s="39">
        <f>MGDG!$U$14</f>
        <v>747.52639039999997</v>
      </c>
      <c r="M60" s="39">
        <f>MGDG!$V$14</f>
        <v>761.54204040000002</v>
      </c>
      <c r="N60" s="39">
        <f>MGDG!$W$14</f>
        <v>737.49647340000001</v>
      </c>
    </row>
    <row r="61" spans="1:14" x14ac:dyDescent="0.25">
      <c r="A61" s="40" t="s">
        <v>55</v>
      </c>
      <c r="B61" s="40" t="str">
        <f>MGDG!$A$15</f>
        <v>MGDG 31:2</v>
      </c>
      <c r="C61" s="39" t="str">
        <f>MGDG!$L$15</f>
        <v>C40H72O10</v>
      </c>
      <c r="D61" s="39">
        <f>MGDG!$M$15</f>
        <v>712.51252120000004</v>
      </c>
      <c r="E61" s="39">
        <f>MGDG!$N$15</f>
        <v>713.51979580000011</v>
      </c>
      <c r="F61" s="39">
        <f>MGDG!$O$15</f>
        <v>695.50867580000011</v>
      </c>
      <c r="G61" s="39">
        <f>MGDG!$P$15</f>
        <v>730.54634120000003</v>
      </c>
      <c r="H61" s="39">
        <f>MGDG!$Q$15</f>
        <v>735.50174120000008</v>
      </c>
      <c r="I61" s="39">
        <f>MGDG!$R$15</f>
        <v>751.47568120000005</v>
      </c>
      <c r="J61" s="39">
        <f>MGDG!$S$15</f>
        <v>719.52798120000011</v>
      </c>
      <c r="K61" s="39">
        <f>MGDG!$T$15</f>
        <v>711.50524659999996</v>
      </c>
      <c r="L61" s="39">
        <f>MGDG!$U$15</f>
        <v>757.51074119999998</v>
      </c>
      <c r="M61" s="39">
        <f>MGDG!$V$15</f>
        <v>771.52639120000003</v>
      </c>
      <c r="N61" s="39">
        <f>MGDG!$W$15</f>
        <v>747.48082420000003</v>
      </c>
    </row>
    <row r="62" spans="1:14" x14ac:dyDescent="0.25">
      <c r="A62" s="40" t="s">
        <v>55</v>
      </c>
      <c r="B62" s="40" t="str">
        <f>MGDG!$A$16</f>
        <v>MGDG 31:1</v>
      </c>
      <c r="C62" s="39" t="str">
        <f>MGDG!$L$16</f>
        <v>C40H74O10</v>
      </c>
      <c r="D62" s="39">
        <f>MGDG!$M$16</f>
        <v>714.52817040000002</v>
      </c>
      <c r="E62" s="39">
        <f>MGDG!$N$16</f>
        <v>715.5354450000001</v>
      </c>
      <c r="F62" s="39">
        <f>MGDG!$O$16</f>
        <v>697.52432500000009</v>
      </c>
      <c r="G62" s="39">
        <f>MGDG!$P$16</f>
        <v>732.56199040000001</v>
      </c>
      <c r="H62" s="39">
        <f>MGDG!$Q$16</f>
        <v>737.51739040000007</v>
      </c>
      <c r="I62" s="39">
        <f>MGDG!$R$16</f>
        <v>753.49133040000004</v>
      </c>
      <c r="J62" s="39">
        <f>MGDG!$S$16</f>
        <v>721.5436304000001</v>
      </c>
      <c r="K62" s="39">
        <f>MGDG!$T$16</f>
        <v>713.52089579999995</v>
      </c>
      <c r="L62" s="39">
        <f>MGDG!$U$16</f>
        <v>759.52639039999997</v>
      </c>
      <c r="M62" s="39">
        <f>MGDG!$V$16</f>
        <v>773.54204040000002</v>
      </c>
      <c r="N62" s="39">
        <f>MGDG!$W$16</f>
        <v>749.49647340000001</v>
      </c>
    </row>
    <row r="63" spans="1:14" x14ac:dyDescent="0.25">
      <c r="A63" s="40" t="s">
        <v>55</v>
      </c>
      <c r="B63" s="40" t="str">
        <f>MGDG!$A$17</f>
        <v>MGDG 31:0</v>
      </c>
      <c r="C63" s="39" t="str">
        <f>MGDG!$L$17</f>
        <v>C40H76O10</v>
      </c>
      <c r="D63" s="39">
        <f>MGDG!$M$17</f>
        <v>716.54381960000001</v>
      </c>
      <c r="E63" s="39">
        <f>MGDG!$N$17</f>
        <v>717.55109420000008</v>
      </c>
      <c r="F63" s="39">
        <f>MGDG!$O$17</f>
        <v>699.53997420000007</v>
      </c>
      <c r="G63" s="39">
        <f>MGDG!$P$17</f>
        <v>734.5776396</v>
      </c>
      <c r="H63" s="39">
        <f>MGDG!$Q$17</f>
        <v>739.53303960000005</v>
      </c>
      <c r="I63" s="39">
        <f>MGDG!$R$17</f>
        <v>755.50697960000002</v>
      </c>
      <c r="J63" s="39">
        <f>MGDG!$S$17</f>
        <v>723.55927960000008</v>
      </c>
      <c r="K63" s="39">
        <f>MGDG!$T$17</f>
        <v>715.53654499999993</v>
      </c>
      <c r="L63" s="39">
        <f>MGDG!$U$17</f>
        <v>761.54203959999995</v>
      </c>
      <c r="M63" s="39">
        <f>MGDG!$V$17</f>
        <v>775.5576896</v>
      </c>
      <c r="N63" s="39">
        <f>MGDG!$W$17</f>
        <v>751.5121226</v>
      </c>
    </row>
    <row r="64" spans="1:14" x14ac:dyDescent="0.25">
      <c r="A64" s="40" t="s">
        <v>55</v>
      </c>
      <c r="B64" s="40" t="str">
        <f>MGDG!$A$18</f>
        <v>MGDG 32:2</v>
      </c>
      <c r="C64" s="39" t="str">
        <f>MGDG!$L$18</f>
        <v>C41H74O10</v>
      </c>
      <c r="D64" s="39">
        <f>MGDG!$M$18</f>
        <v>726.52817040000002</v>
      </c>
      <c r="E64" s="39">
        <f>MGDG!$N$18</f>
        <v>727.5354450000001</v>
      </c>
      <c r="F64" s="39">
        <f>MGDG!$O$18</f>
        <v>709.52432500000009</v>
      </c>
      <c r="G64" s="39">
        <f>MGDG!$P$18</f>
        <v>744.56199040000001</v>
      </c>
      <c r="H64" s="39">
        <f>MGDG!$Q$18</f>
        <v>749.51739040000007</v>
      </c>
      <c r="I64" s="39">
        <f>MGDG!$R$18</f>
        <v>765.49133040000004</v>
      </c>
      <c r="J64" s="39">
        <f>MGDG!$S$18</f>
        <v>733.5436304000001</v>
      </c>
      <c r="K64" s="39">
        <f>MGDG!$T$18</f>
        <v>725.52089579999995</v>
      </c>
      <c r="L64" s="39">
        <f>MGDG!$U$18</f>
        <v>771.52639039999997</v>
      </c>
      <c r="M64" s="39">
        <f>MGDG!$V$18</f>
        <v>785.54204040000002</v>
      </c>
      <c r="N64" s="39">
        <f>MGDG!$W$18</f>
        <v>761.49647340000001</v>
      </c>
    </row>
    <row r="65" spans="1:14" x14ac:dyDescent="0.25">
      <c r="A65" s="40" t="s">
        <v>55</v>
      </c>
      <c r="B65" s="40" t="str">
        <f>MGDG!$A$19</f>
        <v>MGDG 32:1</v>
      </c>
      <c r="C65" s="39" t="str">
        <f>MGDG!$L$19</f>
        <v>C41H76O10</v>
      </c>
      <c r="D65" s="39">
        <f>MGDG!$M$19</f>
        <v>728.54381960000001</v>
      </c>
      <c r="E65" s="39">
        <f>MGDG!$N$19</f>
        <v>729.55109420000008</v>
      </c>
      <c r="F65" s="39">
        <f>MGDG!$O$19</f>
        <v>711.53997420000007</v>
      </c>
      <c r="G65" s="39">
        <f>MGDG!$P$19</f>
        <v>746.5776396</v>
      </c>
      <c r="H65" s="39">
        <f>MGDG!$Q$19</f>
        <v>751.53303960000005</v>
      </c>
      <c r="I65" s="39">
        <f>MGDG!$R$19</f>
        <v>767.50697960000002</v>
      </c>
      <c r="J65" s="39">
        <f>MGDG!$S$19</f>
        <v>735.55927960000008</v>
      </c>
      <c r="K65" s="39">
        <f>MGDG!$T$19</f>
        <v>727.53654499999993</v>
      </c>
      <c r="L65" s="39">
        <f>MGDG!$U$19</f>
        <v>773.54203959999995</v>
      </c>
      <c r="M65" s="39">
        <f>MGDG!$V$19</f>
        <v>787.5576896</v>
      </c>
      <c r="N65" s="39">
        <f>MGDG!$W$19</f>
        <v>763.5121226</v>
      </c>
    </row>
    <row r="66" spans="1:14" x14ac:dyDescent="0.25">
      <c r="A66" s="40" t="s">
        <v>55</v>
      </c>
      <c r="B66" s="40" t="str">
        <f>MGDG!$A$20</f>
        <v>MGDG 32:0</v>
      </c>
      <c r="C66" s="39" t="str">
        <f>MGDG!$L$20</f>
        <v>C41H78O10</v>
      </c>
      <c r="D66" s="39">
        <f>MGDG!$M$20</f>
        <v>730.55946879999999</v>
      </c>
      <c r="E66" s="39">
        <f>MGDG!$N$20</f>
        <v>731.56674340000006</v>
      </c>
      <c r="F66" s="39">
        <f>MGDG!$O$20</f>
        <v>713.55562340000006</v>
      </c>
      <c r="G66" s="39">
        <f>MGDG!$P$20</f>
        <v>748.59328879999998</v>
      </c>
      <c r="H66" s="39">
        <f>MGDG!$Q$20</f>
        <v>753.54868880000004</v>
      </c>
      <c r="I66" s="39">
        <f>MGDG!$R$20</f>
        <v>769.52262880000001</v>
      </c>
      <c r="J66" s="39">
        <f>MGDG!$S$20</f>
        <v>737.57492880000007</v>
      </c>
      <c r="K66" s="39">
        <f>MGDG!$T$20</f>
        <v>729.55219419999992</v>
      </c>
      <c r="L66" s="39">
        <f>MGDG!$U$20</f>
        <v>775.55768879999994</v>
      </c>
      <c r="M66" s="39">
        <f>MGDG!$V$20</f>
        <v>789.57333879999999</v>
      </c>
      <c r="N66" s="39">
        <f>MGDG!$W$20</f>
        <v>765.52777179999998</v>
      </c>
    </row>
    <row r="67" spans="1:14" x14ac:dyDescent="0.25">
      <c r="A67" s="40" t="s">
        <v>55</v>
      </c>
      <c r="B67" s="40" t="str">
        <f>MGDG!$A$21</f>
        <v>MGDG 33:2</v>
      </c>
      <c r="C67" s="39" t="str">
        <f>MGDG!$L$21</f>
        <v>C42H76O10</v>
      </c>
      <c r="D67" s="39">
        <f>MGDG!$M$21</f>
        <v>740.54381960000001</v>
      </c>
      <c r="E67" s="39">
        <f>MGDG!$N$21</f>
        <v>741.55109420000008</v>
      </c>
      <c r="F67" s="39">
        <f>MGDG!$O$21</f>
        <v>723.53997420000007</v>
      </c>
      <c r="G67" s="39">
        <f>MGDG!$P$21</f>
        <v>758.5776396</v>
      </c>
      <c r="H67" s="39">
        <f>MGDG!$Q$21</f>
        <v>763.53303960000005</v>
      </c>
      <c r="I67" s="39">
        <f>MGDG!$R$21</f>
        <v>779.50697960000002</v>
      </c>
      <c r="J67" s="39">
        <f>MGDG!$S$21</f>
        <v>747.55927960000008</v>
      </c>
      <c r="K67" s="39">
        <f>MGDG!$T$21</f>
        <v>739.53654499999993</v>
      </c>
      <c r="L67" s="39">
        <f>MGDG!$U$21</f>
        <v>785.54203959999995</v>
      </c>
      <c r="M67" s="39">
        <f>MGDG!$V$21</f>
        <v>799.5576896</v>
      </c>
      <c r="N67" s="39">
        <f>MGDG!$W$21</f>
        <v>775.5121226</v>
      </c>
    </row>
    <row r="68" spans="1:14" x14ac:dyDescent="0.25">
      <c r="A68" s="40" t="s">
        <v>55</v>
      </c>
      <c r="B68" s="40" t="str">
        <f>MGDG!$A$22</f>
        <v>MGDG 33:1</v>
      </c>
      <c r="C68" s="39" t="str">
        <f>MGDG!$L$22</f>
        <v>C42H78O10</v>
      </c>
      <c r="D68" s="39">
        <f>MGDG!$M$22</f>
        <v>742.55946879999999</v>
      </c>
      <c r="E68" s="39">
        <f>MGDG!$N$22</f>
        <v>743.56674340000006</v>
      </c>
      <c r="F68" s="39">
        <f>MGDG!$O$22</f>
        <v>725.55562340000006</v>
      </c>
      <c r="G68" s="39">
        <f>MGDG!$P$22</f>
        <v>760.59328879999998</v>
      </c>
      <c r="H68" s="39">
        <f>MGDG!$Q$22</f>
        <v>765.54868880000004</v>
      </c>
      <c r="I68" s="39">
        <f>MGDG!$R$22</f>
        <v>781.52262880000001</v>
      </c>
      <c r="J68" s="39">
        <f>MGDG!$S$22</f>
        <v>749.57492880000007</v>
      </c>
      <c r="K68" s="39">
        <f>MGDG!$T$22</f>
        <v>741.55219419999992</v>
      </c>
      <c r="L68" s="39">
        <f>MGDG!$U$22</f>
        <v>787.55768879999994</v>
      </c>
      <c r="M68" s="39">
        <f>MGDG!$V$22</f>
        <v>801.57333879999999</v>
      </c>
      <c r="N68" s="39">
        <f>MGDG!$W$22</f>
        <v>777.52777179999998</v>
      </c>
    </row>
    <row r="69" spans="1:14" x14ac:dyDescent="0.25">
      <c r="A69" s="40" t="s">
        <v>55</v>
      </c>
      <c r="B69" s="40" t="str">
        <f>MGDG!$A$23</f>
        <v>MGDG 33:0</v>
      </c>
      <c r="C69" s="39" t="str">
        <f>MGDG!$L$23</f>
        <v>C42H80O10</v>
      </c>
      <c r="D69" s="39">
        <f>MGDG!$M$23</f>
        <v>744.57511800000009</v>
      </c>
      <c r="E69" s="39">
        <f>MGDG!$N$23</f>
        <v>745.58239260000016</v>
      </c>
      <c r="F69" s="39">
        <f>MGDG!$O$23</f>
        <v>727.57127260000016</v>
      </c>
      <c r="G69" s="39">
        <f>MGDG!$P$23</f>
        <v>762.60893800000008</v>
      </c>
      <c r="H69" s="39">
        <f>MGDG!$Q$23</f>
        <v>767.56433800000013</v>
      </c>
      <c r="I69" s="39">
        <f>MGDG!$R$23</f>
        <v>783.5382780000001</v>
      </c>
      <c r="J69" s="39">
        <f>MGDG!$S$23</f>
        <v>751.59057800000016</v>
      </c>
      <c r="K69" s="39">
        <f>MGDG!$T$23</f>
        <v>743.56784340000002</v>
      </c>
      <c r="L69" s="39">
        <f>MGDG!$U$23</f>
        <v>789.57333800000004</v>
      </c>
      <c r="M69" s="39">
        <f>MGDG!$V$23</f>
        <v>803.58898800000009</v>
      </c>
      <c r="N69" s="39">
        <f>MGDG!$W$23</f>
        <v>779.54342100000008</v>
      </c>
    </row>
    <row r="70" spans="1:14" x14ac:dyDescent="0.25">
      <c r="A70" s="40" t="s">
        <v>55</v>
      </c>
      <c r="B70" s="40" t="str">
        <f>MGDG!$A$24</f>
        <v>MGDG 34:2</v>
      </c>
      <c r="C70" s="39" t="str">
        <f>MGDG!$L$24</f>
        <v>C43H78O10</v>
      </c>
      <c r="D70" s="39">
        <f>MGDG!$M$24</f>
        <v>754.55946879999999</v>
      </c>
      <c r="E70" s="39">
        <f>MGDG!$N$24</f>
        <v>755.56674340000006</v>
      </c>
      <c r="F70" s="39">
        <f>MGDG!$O$24</f>
        <v>737.55562340000006</v>
      </c>
      <c r="G70" s="39">
        <f>MGDG!$P$24</f>
        <v>772.59328879999998</v>
      </c>
      <c r="H70" s="39">
        <f>MGDG!$Q$24</f>
        <v>777.54868880000004</v>
      </c>
      <c r="I70" s="39">
        <f>MGDG!$R$24</f>
        <v>793.52262880000001</v>
      </c>
      <c r="J70" s="39">
        <f>MGDG!$S$24</f>
        <v>761.57492880000007</v>
      </c>
      <c r="K70" s="39">
        <f>MGDG!$T$24</f>
        <v>753.55219419999992</v>
      </c>
      <c r="L70" s="39">
        <f>MGDG!$U$24</f>
        <v>799.55768879999994</v>
      </c>
      <c r="M70" s="39">
        <f>MGDG!$V$24</f>
        <v>813.57333879999999</v>
      </c>
      <c r="N70" s="39">
        <f>MGDG!$W$24</f>
        <v>789.52777179999998</v>
      </c>
    </row>
    <row r="71" spans="1:14" x14ac:dyDescent="0.25">
      <c r="A71" s="40" t="s">
        <v>55</v>
      </c>
      <c r="B71" s="40" t="str">
        <f>MGDG!$A$25</f>
        <v>MGDG 34:1</v>
      </c>
      <c r="C71" s="39" t="str">
        <f>MGDG!$L$25</f>
        <v>C43H80O10</v>
      </c>
      <c r="D71" s="39">
        <f>MGDG!$M$25</f>
        <v>756.57511800000009</v>
      </c>
      <c r="E71" s="39">
        <f>MGDG!$N$25</f>
        <v>757.58239260000016</v>
      </c>
      <c r="F71" s="39">
        <f>MGDG!$O$25</f>
        <v>739.57127260000016</v>
      </c>
      <c r="G71" s="39">
        <f>MGDG!$P$25</f>
        <v>774.60893800000008</v>
      </c>
      <c r="H71" s="39">
        <f>MGDG!$Q$25</f>
        <v>779.56433800000013</v>
      </c>
      <c r="I71" s="39">
        <f>MGDG!$R$25</f>
        <v>795.5382780000001</v>
      </c>
      <c r="J71" s="39">
        <f>MGDG!$S$25</f>
        <v>763.59057800000016</v>
      </c>
      <c r="K71" s="39">
        <f>MGDG!$T$25</f>
        <v>755.56784340000002</v>
      </c>
      <c r="L71" s="39">
        <f>MGDG!$U$25</f>
        <v>801.57333800000004</v>
      </c>
      <c r="M71" s="39">
        <f>MGDG!$V$25</f>
        <v>815.58898800000009</v>
      </c>
      <c r="N71" s="39">
        <f>MGDG!$W$25</f>
        <v>791.54342100000008</v>
      </c>
    </row>
    <row r="72" spans="1:14" x14ac:dyDescent="0.25">
      <c r="A72" s="40" t="s">
        <v>55</v>
      </c>
      <c r="B72" s="40" t="str">
        <f>MGDG!$A$26</f>
        <v>MGDG 34:0</v>
      </c>
      <c r="C72" s="39" t="str">
        <f>MGDG!$L$26</f>
        <v>C43H82O10</v>
      </c>
      <c r="D72" s="39">
        <f>MGDG!$M$26</f>
        <v>758.59076720000007</v>
      </c>
      <c r="E72" s="39">
        <f>MGDG!$N$26</f>
        <v>759.59804180000015</v>
      </c>
      <c r="F72" s="39">
        <f>MGDG!$O$26</f>
        <v>741.58692180000014</v>
      </c>
      <c r="G72" s="39">
        <f>MGDG!$P$26</f>
        <v>776.62458720000006</v>
      </c>
      <c r="H72" s="39">
        <f>MGDG!$Q$26</f>
        <v>781.57998720000012</v>
      </c>
      <c r="I72" s="39">
        <f>MGDG!$R$26</f>
        <v>797.55392720000009</v>
      </c>
      <c r="J72" s="39">
        <f>MGDG!$S$26</f>
        <v>765.60622720000015</v>
      </c>
      <c r="K72" s="39">
        <f>MGDG!$T$26</f>
        <v>757.5834926</v>
      </c>
      <c r="L72" s="39">
        <f>MGDG!$U$26</f>
        <v>803.58898720000002</v>
      </c>
      <c r="M72" s="39">
        <f>MGDG!$V$26</f>
        <v>817.60463720000007</v>
      </c>
      <c r="N72" s="39">
        <f>MGDG!$W$26</f>
        <v>793.55907020000006</v>
      </c>
    </row>
    <row r="73" spans="1:14" x14ac:dyDescent="0.25">
      <c r="A73" s="40" t="s">
        <v>55</v>
      </c>
      <c r="B73" s="40" t="str">
        <f>MGDG!$A$27</f>
        <v>MGDG 35:2</v>
      </c>
      <c r="C73" s="39" t="str">
        <f>MGDG!$L$27</f>
        <v>C44H80O10</v>
      </c>
      <c r="D73" s="39">
        <f>MGDG!$M$27</f>
        <v>768.57511800000009</v>
      </c>
      <c r="E73" s="39">
        <f>MGDG!$N$27</f>
        <v>769.58239260000016</v>
      </c>
      <c r="F73" s="39">
        <f>MGDG!$O$27</f>
        <v>751.57127260000016</v>
      </c>
      <c r="G73" s="39">
        <f>MGDG!$P$27</f>
        <v>786.60893800000008</v>
      </c>
      <c r="H73" s="39">
        <f>MGDG!$Q$27</f>
        <v>791.56433800000013</v>
      </c>
      <c r="I73" s="39">
        <f>MGDG!$R$27</f>
        <v>807.5382780000001</v>
      </c>
      <c r="J73" s="39">
        <f>MGDG!$S$27</f>
        <v>775.59057800000016</v>
      </c>
      <c r="K73" s="39">
        <f>MGDG!$T$27</f>
        <v>767.56784340000002</v>
      </c>
      <c r="L73" s="39">
        <f>MGDG!$U$27</f>
        <v>813.57333800000004</v>
      </c>
      <c r="M73" s="39">
        <f>MGDG!$V$27</f>
        <v>827.58898800000009</v>
      </c>
      <c r="N73" s="39">
        <f>MGDG!$W$27</f>
        <v>803.54342100000008</v>
      </c>
    </row>
    <row r="74" spans="1:14" x14ac:dyDescent="0.25">
      <c r="A74" s="40" t="s">
        <v>55</v>
      </c>
      <c r="B74" s="40" t="str">
        <f>MGDG!$A$28</f>
        <v>MGDG 35:1</v>
      </c>
      <c r="C74" s="39" t="str">
        <f>MGDG!$L$28</f>
        <v>C44H82O10</v>
      </c>
      <c r="D74" s="39">
        <f>MGDG!$M$28</f>
        <v>770.59076720000007</v>
      </c>
      <c r="E74" s="39">
        <f>MGDG!$N$28</f>
        <v>771.59804180000015</v>
      </c>
      <c r="F74" s="39">
        <f>MGDG!$O$28</f>
        <v>753.58692180000014</v>
      </c>
      <c r="G74" s="39">
        <f>MGDG!$P$28</f>
        <v>788.62458720000006</v>
      </c>
      <c r="H74" s="39">
        <f>MGDG!$Q$28</f>
        <v>793.57998720000012</v>
      </c>
      <c r="I74" s="39">
        <f>MGDG!$R$28</f>
        <v>809.55392720000009</v>
      </c>
      <c r="J74" s="39">
        <f>MGDG!$S$28</f>
        <v>777.60622720000015</v>
      </c>
      <c r="K74" s="39">
        <f>MGDG!$T$28</f>
        <v>769.5834926</v>
      </c>
      <c r="L74" s="39">
        <f>MGDG!$U$28</f>
        <v>815.58898720000002</v>
      </c>
      <c r="M74" s="39">
        <f>MGDG!$V$28</f>
        <v>829.60463720000007</v>
      </c>
      <c r="N74" s="39">
        <f>MGDG!$W$28</f>
        <v>805.55907020000006</v>
      </c>
    </row>
    <row r="75" spans="1:14" x14ac:dyDescent="0.25">
      <c r="A75" s="40" t="s">
        <v>55</v>
      </c>
      <c r="B75" s="40" t="str">
        <f>MGDG!$A$29</f>
        <v>MGDG 35:0</v>
      </c>
      <c r="C75" s="39" t="str">
        <f>MGDG!$L$29</f>
        <v>C44H84O10</v>
      </c>
      <c r="D75" s="39">
        <f>MGDG!$M$29</f>
        <v>772.60641640000006</v>
      </c>
      <c r="E75" s="39">
        <f>MGDG!$N$29</f>
        <v>773.61369100000013</v>
      </c>
      <c r="F75" s="39">
        <f>MGDG!$O$29</f>
        <v>755.60257100000013</v>
      </c>
      <c r="G75" s="39">
        <f>MGDG!$P$29</f>
        <v>790.64023640000005</v>
      </c>
      <c r="H75" s="39">
        <f>MGDG!$Q$29</f>
        <v>795.5956364000001</v>
      </c>
      <c r="I75" s="39">
        <f>MGDG!$R$29</f>
        <v>811.56957640000007</v>
      </c>
      <c r="J75" s="39">
        <f>MGDG!$S$29</f>
        <v>779.62187640000013</v>
      </c>
      <c r="K75" s="39">
        <f>MGDG!$T$29</f>
        <v>771.59914179999998</v>
      </c>
      <c r="L75" s="39">
        <f>MGDG!$U$29</f>
        <v>817.6046364</v>
      </c>
      <c r="M75" s="39">
        <f>MGDG!$V$29</f>
        <v>831.62028640000005</v>
      </c>
      <c r="N75" s="39">
        <f>MGDG!$W$29</f>
        <v>807.57471940000005</v>
      </c>
    </row>
    <row r="76" spans="1:14" x14ac:dyDescent="0.25">
      <c r="A76" s="40" t="s">
        <v>55</v>
      </c>
      <c r="B76" s="40" t="str">
        <f>MGDG!$A$30</f>
        <v>MGDG 36:2</v>
      </c>
      <c r="C76" s="39" t="str">
        <f>MGDG!$L$30</f>
        <v>C45H82O10</v>
      </c>
      <c r="D76" s="39">
        <f>MGDG!$M$30</f>
        <v>782.59076720000007</v>
      </c>
      <c r="E76" s="39">
        <f>MGDG!$N$30</f>
        <v>783.59804180000015</v>
      </c>
      <c r="F76" s="39">
        <f>MGDG!$O$30</f>
        <v>765.58692180000014</v>
      </c>
      <c r="G76" s="39">
        <f>MGDG!$P$30</f>
        <v>800.62458720000006</v>
      </c>
      <c r="H76" s="39">
        <f>MGDG!$Q$30</f>
        <v>805.57998720000012</v>
      </c>
      <c r="I76" s="39">
        <f>MGDG!$R$30</f>
        <v>821.55392720000009</v>
      </c>
      <c r="J76" s="39">
        <f>MGDG!$S$30</f>
        <v>789.60622720000015</v>
      </c>
      <c r="K76" s="39">
        <f>MGDG!$T$30</f>
        <v>781.5834926</v>
      </c>
      <c r="L76" s="39">
        <f>MGDG!$U$30</f>
        <v>827.58898720000002</v>
      </c>
      <c r="M76" s="39">
        <f>MGDG!$V$30</f>
        <v>841.60463720000007</v>
      </c>
      <c r="N76" s="39">
        <f>MGDG!$W$30</f>
        <v>817.55907020000006</v>
      </c>
    </row>
    <row r="77" spans="1:14" x14ac:dyDescent="0.25">
      <c r="A77" s="40" t="s">
        <v>55</v>
      </c>
      <c r="B77" s="40" t="str">
        <f>MGDG!$A$31</f>
        <v>MGDG 36:1</v>
      </c>
      <c r="C77" s="39" t="str">
        <f>MGDG!$L$31</f>
        <v>C45H84O10</v>
      </c>
      <c r="D77" s="39">
        <f>MGDG!$M$31</f>
        <v>784.60641640000006</v>
      </c>
      <c r="E77" s="39">
        <f>MGDG!$N$31</f>
        <v>785.61369100000013</v>
      </c>
      <c r="F77" s="39">
        <f>MGDG!$O$31</f>
        <v>767.60257100000013</v>
      </c>
      <c r="G77" s="39">
        <f>MGDG!$P$31</f>
        <v>802.64023640000005</v>
      </c>
      <c r="H77" s="39">
        <f>MGDG!$Q$31</f>
        <v>807.5956364000001</v>
      </c>
      <c r="I77" s="39">
        <f>MGDG!$R$31</f>
        <v>823.56957640000007</v>
      </c>
      <c r="J77" s="39">
        <f>MGDG!$S$31</f>
        <v>791.62187640000013</v>
      </c>
      <c r="K77" s="39">
        <f>MGDG!$T$31</f>
        <v>783.59914179999998</v>
      </c>
      <c r="L77" s="39">
        <f>MGDG!$U$31</f>
        <v>829.6046364</v>
      </c>
      <c r="M77" s="39">
        <f>MGDG!$V$31</f>
        <v>843.62028640000005</v>
      </c>
      <c r="N77" s="39">
        <f>MGDG!$W$31</f>
        <v>819.57471940000005</v>
      </c>
    </row>
    <row r="78" spans="1:14" x14ac:dyDescent="0.25">
      <c r="A78" s="40" t="s">
        <v>55</v>
      </c>
      <c r="B78" s="40" t="str">
        <f>MGDG!$A$32</f>
        <v>MGDG 36:0</v>
      </c>
      <c r="C78" s="39" t="str">
        <f>MGDG!$L$32</f>
        <v>C45H86O10</v>
      </c>
      <c r="D78" s="39">
        <f>MGDG!$M$32</f>
        <v>786.62206560000004</v>
      </c>
      <c r="E78" s="39">
        <f>MGDG!$N$32</f>
        <v>787.62934020000012</v>
      </c>
      <c r="F78" s="39">
        <f>MGDG!$O$32</f>
        <v>769.61822020000011</v>
      </c>
      <c r="G78" s="39">
        <f>MGDG!$P$32</f>
        <v>804.65588560000003</v>
      </c>
      <c r="H78" s="39">
        <f>MGDG!$Q$32</f>
        <v>809.61128560000009</v>
      </c>
      <c r="I78" s="39">
        <f>MGDG!$R$32</f>
        <v>825.58522560000006</v>
      </c>
      <c r="J78" s="39">
        <f>MGDG!$S$32</f>
        <v>793.63752560000012</v>
      </c>
      <c r="K78" s="39">
        <f>MGDG!$T$32</f>
        <v>785.61479099999997</v>
      </c>
      <c r="L78" s="39">
        <f>MGDG!$U$32</f>
        <v>831.62028559999999</v>
      </c>
      <c r="M78" s="39">
        <f>MGDG!$V$32</f>
        <v>845.63593560000004</v>
      </c>
      <c r="N78" s="39">
        <f>MGDG!$W$32</f>
        <v>821.59036860000003</v>
      </c>
    </row>
    <row r="79" spans="1:14" x14ac:dyDescent="0.25">
      <c r="A79" s="40" t="s">
        <v>55</v>
      </c>
      <c r="B79" s="40" t="str">
        <f>MGDG!$A$33</f>
        <v>MGDG 37:2</v>
      </c>
      <c r="C79" s="39" t="str">
        <f>MGDG!$L$33</f>
        <v>C46H84O10</v>
      </c>
      <c r="D79" s="39">
        <f>MGDG!$M$33</f>
        <v>796.60641640000006</v>
      </c>
      <c r="E79" s="39">
        <f>MGDG!$N$33</f>
        <v>797.61369100000013</v>
      </c>
      <c r="F79" s="39">
        <f>MGDG!$O$33</f>
        <v>779.60257100000013</v>
      </c>
      <c r="G79" s="39">
        <f>MGDG!$P$33</f>
        <v>814.64023640000005</v>
      </c>
      <c r="H79" s="39">
        <f>MGDG!$Q$33</f>
        <v>819.5956364000001</v>
      </c>
      <c r="I79" s="39">
        <f>MGDG!$R$33</f>
        <v>835.56957640000007</v>
      </c>
      <c r="J79" s="39">
        <f>MGDG!$S$33</f>
        <v>803.62187640000013</v>
      </c>
      <c r="K79" s="39">
        <f>MGDG!$T$33</f>
        <v>795.59914179999998</v>
      </c>
      <c r="L79" s="39">
        <f>MGDG!$U$33</f>
        <v>841.6046364</v>
      </c>
      <c r="M79" s="39">
        <f>MGDG!$V$33</f>
        <v>855.62028640000005</v>
      </c>
      <c r="N79" s="39">
        <f>MGDG!$W$33</f>
        <v>831.57471940000005</v>
      </c>
    </row>
    <row r="80" spans="1:14" x14ac:dyDescent="0.25">
      <c r="A80" s="40" t="s">
        <v>55</v>
      </c>
      <c r="B80" s="40" t="str">
        <f>MGDG!$A$34</f>
        <v>MGDG 37:1</v>
      </c>
      <c r="C80" s="39" t="str">
        <f>MGDG!$L$34</f>
        <v>C46H86O10</v>
      </c>
      <c r="D80" s="39">
        <f>MGDG!$M$34</f>
        <v>798.62206560000004</v>
      </c>
      <c r="E80" s="39">
        <f>MGDG!$N$34</f>
        <v>799.62934020000012</v>
      </c>
      <c r="F80" s="39">
        <f>MGDG!$O$34</f>
        <v>781.61822020000011</v>
      </c>
      <c r="G80" s="39">
        <f>MGDG!$P$34</f>
        <v>816.65588560000003</v>
      </c>
      <c r="H80" s="39">
        <f>MGDG!$Q$34</f>
        <v>821.61128560000009</v>
      </c>
      <c r="I80" s="39">
        <f>MGDG!$R$34</f>
        <v>837.58522560000006</v>
      </c>
      <c r="J80" s="39">
        <f>MGDG!$S$34</f>
        <v>805.63752560000012</v>
      </c>
      <c r="K80" s="39">
        <f>MGDG!$T$34</f>
        <v>797.61479099999997</v>
      </c>
      <c r="L80" s="39">
        <f>MGDG!$U$34</f>
        <v>843.62028559999999</v>
      </c>
      <c r="M80" s="39">
        <f>MGDG!$V$34</f>
        <v>857.63593560000004</v>
      </c>
      <c r="N80" s="39">
        <f>MGDG!$W$34</f>
        <v>833.59036860000003</v>
      </c>
    </row>
    <row r="81" spans="1:14" x14ac:dyDescent="0.25">
      <c r="A81" s="40" t="s">
        <v>55</v>
      </c>
      <c r="B81" s="40" t="str">
        <f>MGDG!$A$35</f>
        <v>MGDG 37:0</v>
      </c>
      <c r="C81" s="39" t="str">
        <f>MGDG!$L$35</f>
        <v>C46H88O10</v>
      </c>
      <c r="D81" s="39">
        <f>MGDG!$M$35</f>
        <v>800.63771480000003</v>
      </c>
      <c r="E81" s="39">
        <f>MGDG!$N$35</f>
        <v>801.6449894000001</v>
      </c>
      <c r="F81" s="39">
        <f>MGDG!$O$35</f>
        <v>783.63386940000009</v>
      </c>
      <c r="G81" s="39">
        <f>MGDG!$P$35</f>
        <v>818.67153480000002</v>
      </c>
      <c r="H81" s="39">
        <f>MGDG!$Q$35</f>
        <v>823.62693480000007</v>
      </c>
      <c r="I81" s="39">
        <f>MGDG!$R$35</f>
        <v>839.60087480000004</v>
      </c>
      <c r="J81" s="39">
        <f>MGDG!$S$35</f>
        <v>807.6531748000001</v>
      </c>
      <c r="K81" s="39">
        <f>MGDG!$T$35</f>
        <v>799.63044019999995</v>
      </c>
      <c r="L81" s="39">
        <f>MGDG!$U$35</f>
        <v>845.63593479999997</v>
      </c>
      <c r="M81" s="39">
        <f>MGDG!$V$35</f>
        <v>859.65158480000002</v>
      </c>
      <c r="N81" s="39">
        <f>MGDG!$W$35</f>
        <v>835.60601780000002</v>
      </c>
    </row>
    <row r="82" spans="1:14" x14ac:dyDescent="0.25">
      <c r="A82" s="40" t="s">
        <v>55</v>
      </c>
      <c r="B82" s="40" t="str">
        <f>MGDG!$A$36</f>
        <v>MGDG 38:2</v>
      </c>
      <c r="C82" s="39" t="str">
        <f>MGDG!$L$36</f>
        <v>C47H86O10</v>
      </c>
      <c r="D82" s="39">
        <f>MGDG!$M$36</f>
        <v>810.62206560000004</v>
      </c>
      <c r="E82" s="39">
        <f>MGDG!$N$36</f>
        <v>811.62934020000012</v>
      </c>
      <c r="F82" s="39">
        <f>MGDG!$O$36</f>
        <v>793.61822020000011</v>
      </c>
      <c r="G82" s="39">
        <f>MGDG!$P$36</f>
        <v>828.65588560000003</v>
      </c>
      <c r="H82" s="39">
        <f>MGDG!$Q$36</f>
        <v>833.61128560000009</v>
      </c>
      <c r="I82" s="39">
        <f>MGDG!$R$36</f>
        <v>849.58522560000006</v>
      </c>
      <c r="J82" s="39">
        <f>MGDG!$S$36</f>
        <v>817.63752560000012</v>
      </c>
      <c r="K82" s="39">
        <f>MGDG!$T$36</f>
        <v>809.61479099999997</v>
      </c>
      <c r="L82" s="39">
        <f>MGDG!$U$36</f>
        <v>855.62028559999999</v>
      </c>
      <c r="M82" s="39">
        <f>MGDG!$V$36</f>
        <v>869.63593560000004</v>
      </c>
      <c r="N82" s="39">
        <f>MGDG!$W$36</f>
        <v>845.59036860000003</v>
      </c>
    </row>
    <row r="83" spans="1:14" x14ac:dyDescent="0.25">
      <c r="A83" s="40" t="s">
        <v>55</v>
      </c>
      <c r="B83" s="40" t="str">
        <f>MGDG!$A$37</f>
        <v>MGDG 38:1</v>
      </c>
      <c r="C83" s="39" t="str">
        <f>MGDG!$L$37</f>
        <v>C47H88O10</v>
      </c>
      <c r="D83" s="39">
        <f>MGDG!$M$37</f>
        <v>812.63771480000003</v>
      </c>
      <c r="E83" s="39">
        <f>MGDG!$N$37</f>
        <v>813.6449894000001</v>
      </c>
      <c r="F83" s="39">
        <f>MGDG!$O$37</f>
        <v>795.63386940000009</v>
      </c>
      <c r="G83" s="39">
        <f>MGDG!$P$37</f>
        <v>830.67153480000002</v>
      </c>
      <c r="H83" s="39">
        <f>MGDG!$Q$37</f>
        <v>835.62693480000007</v>
      </c>
      <c r="I83" s="39">
        <f>MGDG!$R$37</f>
        <v>851.60087480000004</v>
      </c>
      <c r="J83" s="39">
        <f>MGDG!$S$37</f>
        <v>819.6531748000001</v>
      </c>
      <c r="K83" s="39">
        <f>MGDG!$T$37</f>
        <v>811.63044019999995</v>
      </c>
      <c r="L83" s="39">
        <f>MGDG!$U$37</f>
        <v>857.63593479999997</v>
      </c>
      <c r="M83" s="39">
        <f>MGDG!$V$37</f>
        <v>871.65158480000002</v>
      </c>
      <c r="N83" s="39">
        <f>MGDG!$W$37</f>
        <v>847.60601780000002</v>
      </c>
    </row>
    <row r="84" spans="1:14" x14ac:dyDescent="0.25">
      <c r="A84" s="40" t="s">
        <v>381</v>
      </c>
      <c r="B84" s="40" t="str">
        <f>DGDG!$A$3</f>
        <v>DGDG 25:0</v>
      </c>
      <c r="C84" s="39" t="str">
        <f>DGDG!$L$3</f>
        <v>C40H74O15</v>
      </c>
      <c r="D84" s="39">
        <f>DGDG!$M$3</f>
        <v>794.50274539999998</v>
      </c>
      <c r="E84" s="39">
        <f>DGDG!$N$3</f>
        <v>795.51002000000005</v>
      </c>
      <c r="F84" s="39">
        <f>DGDG!$O$3</f>
        <v>777.49890000000005</v>
      </c>
      <c r="G84" s="39">
        <f>DGDG!$P$3</f>
        <v>812.53656539999997</v>
      </c>
      <c r="H84" s="39">
        <f>DGDG!$Q$3</f>
        <v>817.49196540000003</v>
      </c>
      <c r="I84" s="39">
        <f>DGDG!$R$3</f>
        <v>833.4659054</v>
      </c>
      <c r="J84" s="39">
        <f>DGDG!$S$3</f>
        <v>801.51820540000006</v>
      </c>
      <c r="K84" s="39">
        <f>DGDG!$T$3</f>
        <v>793.49547079999991</v>
      </c>
      <c r="L84" s="39">
        <f>DGDG!$U$3</f>
        <v>839.50096539999993</v>
      </c>
      <c r="M84" s="39">
        <f>DGDG!$V$3</f>
        <v>853.51661539999998</v>
      </c>
      <c r="N84" s="39">
        <f>DGDG!$W$3</f>
        <v>829.47104839999997</v>
      </c>
    </row>
    <row r="85" spans="1:14" x14ac:dyDescent="0.25">
      <c r="A85" s="40" t="s">
        <v>381</v>
      </c>
      <c r="B85" s="40" t="str">
        <f>DGDG!$A$4</f>
        <v>DGDG 26:0</v>
      </c>
      <c r="C85" s="39" t="str">
        <f>DGDG!$L$4</f>
        <v>C41H76O15</v>
      </c>
      <c r="D85" s="39">
        <f>DGDG!$M$4</f>
        <v>808.51839459999997</v>
      </c>
      <c r="E85" s="39">
        <f>DGDG!$N$4</f>
        <v>809.52566920000004</v>
      </c>
      <c r="F85" s="39">
        <f>DGDG!$O$4</f>
        <v>791.51454920000003</v>
      </c>
      <c r="G85" s="39">
        <f>DGDG!$P$4</f>
        <v>826.55221459999996</v>
      </c>
      <c r="H85" s="39">
        <f>DGDG!$Q$4</f>
        <v>831.50761460000001</v>
      </c>
      <c r="I85" s="39">
        <f>DGDG!$R$4</f>
        <v>847.48155459999998</v>
      </c>
      <c r="J85" s="39">
        <f>DGDG!$S$4</f>
        <v>815.53385460000004</v>
      </c>
      <c r="K85" s="39">
        <f>DGDG!$T$4</f>
        <v>807.51111999999989</v>
      </c>
      <c r="L85" s="39">
        <f>DGDG!$U$4</f>
        <v>853.51661459999991</v>
      </c>
      <c r="M85" s="39">
        <f>DGDG!$V$4</f>
        <v>867.53226459999996</v>
      </c>
      <c r="N85" s="39">
        <f>DGDG!$W$4</f>
        <v>843.48669759999996</v>
      </c>
    </row>
    <row r="86" spans="1:14" x14ac:dyDescent="0.25">
      <c r="A86" s="40" t="s">
        <v>381</v>
      </c>
      <c r="B86" s="40" t="str">
        <f>DGDG!$A$5</f>
        <v>DGDG 27:0</v>
      </c>
      <c r="C86" s="39" t="str">
        <f>DGDG!$L$5</f>
        <v>C42H78O15</v>
      </c>
      <c r="D86" s="39">
        <f>DGDG!$M$5</f>
        <v>822.53404379999995</v>
      </c>
      <c r="E86" s="39">
        <f>DGDG!$N$5</f>
        <v>823.54131840000002</v>
      </c>
      <c r="F86" s="39">
        <f>DGDG!$O$5</f>
        <v>805.53019840000002</v>
      </c>
      <c r="G86" s="39">
        <f>DGDG!$P$5</f>
        <v>840.56786379999994</v>
      </c>
      <c r="H86" s="39">
        <f>DGDG!$Q$5</f>
        <v>845.5232638</v>
      </c>
      <c r="I86" s="39">
        <f>DGDG!$R$5</f>
        <v>861.49720379999997</v>
      </c>
      <c r="J86" s="39">
        <f>DGDG!$S$5</f>
        <v>829.54950380000002</v>
      </c>
      <c r="K86" s="39">
        <f>DGDG!$T$5</f>
        <v>821.52676919999988</v>
      </c>
      <c r="L86" s="39">
        <f>DGDG!$U$5</f>
        <v>867.5322637999999</v>
      </c>
      <c r="M86" s="39">
        <f>DGDG!$V$5</f>
        <v>881.54791379999995</v>
      </c>
      <c r="N86" s="39">
        <f>DGDG!$W$5</f>
        <v>857.50234679999994</v>
      </c>
    </row>
    <row r="87" spans="1:14" x14ac:dyDescent="0.25">
      <c r="A87" s="40" t="s">
        <v>381</v>
      </c>
      <c r="B87" s="40" t="str">
        <f>DGDG!$A$6</f>
        <v>DGDG 28:2</v>
      </c>
      <c r="C87" s="39" t="str">
        <f>DGDG!$L$6</f>
        <v>C43H76O15</v>
      </c>
      <c r="D87" s="39">
        <f>DGDG!$M$6</f>
        <v>832.51839459999997</v>
      </c>
      <c r="E87" s="39">
        <f>DGDG!$N$6</f>
        <v>833.52566920000004</v>
      </c>
      <c r="F87" s="39">
        <f>DGDG!$O$6</f>
        <v>815.51454920000003</v>
      </c>
      <c r="G87" s="39">
        <f>DGDG!$P$6</f>
        <v>850.55221459999996</v>
      </c>
      <c r="H87" s="39">
        <f>DGDG!$Q$6</f>
        <v>855.50761460000001</v>
      </c>
      <c r="I87" s="39">
        <f>DGDG!$R$6</f>
        <v>871.48155459999998</v>
      </c>
      <c r="J87" s="39">
        <f>DGDG!$S$6</f>
        <v>839.53385460000004</v>
      </c>
      <c r="K87" s="39">
        <f>DGDG!$T$6</f>
        <v>831.51111999999989</v>
      </c>
      <c r="L87" s="39">
        <f>DGDG!$U$6</f>
        <v>877.51661459999991</v>
      </c>
      <c r="M87" s="39">
        <f>DGDG!$V$6</f>
        <v>891.53226459999996</v>
      </c>
      <c r="N87" s="39">
        <f>DGDG!$W$6</f>
        <v>867.48669759999996</v>
      </c>
    </row>
    <row r="88" spans="1:14" x14ac:dyDescent="0.25">
      <c r="A88" s="40" t="s">
        <v>381</v>
      </c>
      <c r="B88" s="40" t="str">
        <f>DGDG!$A$7</f>
        <v>DGDG 28:1</v>
      </c>
      <c r="C88" s="39" t="str">
        <f>DGDG!$L$7</f>
        <v>C43H78O15</v>
      </c>
      <c r="D88" s="39">
        <f>DGDG!$M$7</f>
        <v>834.53404379999995</v>
      </c>
      <c r="E88" s="39">
        <f>DGDG!$N$7</f>
        <v>835.54131840000002</v>
      </c>
      <c r="F88" s="39">
        <f>DGDG!$O$7</f>
        <v>817.53019840000002</v>
      </c>
      <c r="G88" s="39">
        <f>DGDG!$P$7</f>
        <v>852.56786379999994</v>
      </c>
      <c r="H88" s="39">
        <f>DGDG!$Q$7</f>
        <v>857.5232638</v>
      </c>
      <c r="I88" s="39">
        <f>DGDG!$R$7</f>
        <v>873.49720379999997</v>
      </c>
      <c r="J88" s="39">
        <f>DGDG!$S$7</f>
        <v>841.54950380000002</v>
      </c>
      <c r="K88" s="39">
        <f>DGDG!$T$7</f>
        <v>833.52676919999988</v>
      </c>
      <c r="L88" s="39">
        <f>DGDG!$U$7</f>
        <v>879.5322637999999</v>
      </c>
      <c r="M88" s="39">
        <f>DGDG!$V$7</f>
        <v>893.54791379999995</v>
      </c>
      <c r="N88" s="39">
        <f>DGDG!$W$7</f>
        <v>869.50234679999994</v>
      </c>
    </row>
    <row r="89" spans="1:14" x14ac:dyDescent="0.25">
      <c r="A89" s="40" t="s">
        <v>381</v>
      </c>
      <c r="B89" s="40" t="str">
        <f>DGDG!$A$8</f>
        <v>DGDG 28:0</v>
      </c>
      <c r="C89" s="39" t="str">
        <f>DGDG!$L$8</f>
        <v>C43H80O15</v>
      </c>
      <c r="D89" s="39">
        <f>DGDG!$M$8</f>
        <v>836.54969300000005</v>
      </c>
      <c r="E89" s="39">
        <f>DGDG!$N$8</f>
        <v>837.55696760000012</v>
      </c>
      <c r="F89" s="39">
        <f>DGDG!$O$8</f>
        <v>819.54584760000012</v>
      </c>
      <c r="G89" s="39">
        <f>DGDG!$P$8</f>
        <v>854.58351300000004</v>
      </c>
      <c r="H89" s="39">
        <f>DGDG!$Q$8</f>
        <v>859.53891300000009</v>
      </c>
      <c r="I89" s="39">
        <f>DGDG!$R$8</f>
        <v>875.51285300000006</v>
      </c>
      <c r="J89" s="39">
        <f>DGDG!$S$8</f>
        <v>843.56515300000012</v>
      </c>
      <c r="K89" s="39">
        <f>DGDG!$T$8</f>
        <v>835.54241839999997</v>
      </c>
      <c r="L89" s="39">
        <f>DGDG!$U$8</f>
        <v>881.54791299999999</v>
      </c>
      <c r="M89" s="39">
        <f>DGDG!$V$8</f>
        <v>895.56356300000004</v>
      </c>
      <c r="N89" s="39">
        <f>DGDG!$W$8</f>
        <v>871.51799600000004</v>
      </c>
    </row>
    <row r="90" spans="1:14" x14ac:dyDescent="0.25">
      <c r="A90" s="40" t="s">
        <v>381</v>
      </c>
      <c r="B90" s="40" t="str">
        <f>DGDG!$A$9</f>
        <v>DGDG 29:2</v>
      </c>
      <c r="C90" s="39" t="str">
        <f>DGDG!$L$9</f>
        <v>C44H78O15</v>
      </c>
      <c r="D90" s="39">
        <f>DGDG!$M$9</f>
        <v>846.53404379999995</v>
      </c>
      <c r="E90" s="39">
        <f>DGDG!$N$9</f>
        <v>847.54131840000002</v>
      </c>
      <c r="F90" s="39">
        <f>DGDG!$O$9</f>
        <v>829.53019840000002</v>
      </c>
      <c r="G90" s="39">
        <f>DGDG!$P$9</f>
        <v>864.56786379999994</v>
      </c>
      <c r="H90" s="39">
        <f>DGDG!$Q$9</f>
        <v>869.5232638</v>
      </c>
      <c r="I90" s="39">
        <f>DGDG!$R$9</f>
        <v>885.49720379999997</v>
      </c>
      <c r="J90" s="39">
        <f>DGDG!$S$9</f>
        <v>853.54950380000002</v>
      </c>
      <c r="K90" s="39">
        <f>DGDG!$T$9</f>
        <v>845.52676919999988</v>
      </c>
      <c r="L90" s="39">
        <f>DGDG!$U$9</f>
        <v>891.5322637999999</v>
      </c>
      <c r="M90" s="39">
        <f>DGDG!$V$9</f>
        <v>905.54791379999995</v>
      </c>
      <c r="N90" s="39">
        <f>DGDG!$W$9</f>
        <v>881.50234679999994</v>
      </c>
    </row>
    <row r="91" spans="1:14" x14ac:dyDescent="0.25">
      <c r="A91" s="40" t="s">
        <v>381</v>
      </c>
      <c r="B91" s="40" t="str">
        <f>DGDG!$A$10</f>
        <v>DGDG 29:1</v>
      </c>
      <c r="C91" s="39" t="str">
        <f>DGDG!$L$10</f>
        <v>C44H80O15</v>
      </c>
      <c r="D91" s="39">
        <f>DGDG!$M$10</f>
        <v>848.54969300000005</v>
      </c>
      <c r="E91" s="39">
        <f>DGDG!$N$10</f>
        <v>849.55696760000012</v>
      </c>
      <c r="F91" s="39">
        <f>DGDG!$O$10</f>
        <v>831.54584760000012</v>
      </c>
      <c r="G91" s="39">
        <f>DGDG!$P$10</f>
        <v>866.58351300000004</v>
      </c>
      <c r="H91" s="39">
        <f>DGDG!$Q$10</f>
        <v>871.53891300000009</v>
      </c>
      <c r="I91" s="39">
        <f>DGDG!$R$10</f>
        <v>887.51285300000006</v>
      </c>
      <c r="J91" s="39">
        <f>DGDG!$S$10</f>
        <v>855.56515300000012</v>
      </c>
      <c r="K91" s="39">
        <f>DGDG!$T$10</f>
        <v>847.54241839999997</v>
      </c>
      <c r="L91" s="39">
        <f>DGDG!$U$10</f>
        <v>893.54791299999999</v>
      </c>
      <c r="M91" s="39">
        <f>DGDG!$V$10</f>
        <v>907.56356300000004</v>
      </c>
      <c r="N91" s="39">
        <f>DGDG!$W$10</f>
        <v>883.51799600000004</v>
      </c>
    </row>
    <row r="92" spans="1:14" x14ac:dyDescent="0.25">
      <c r="A92" s="40" t="s">
        <v>381</v>
      </c>
      <c r="B92" s="40" t="str">
        <f>DGDG!$A$11</f>
        <v>DGDG 29:0</v>
      </c>
      <c r="C92" s="39" t="str">
        <f>DGDG!$L$11</f>
        <v>C44H82O15</v>
      </c>
      <c r="D92" s="39">
        <f>DGDG!$M$11</f>
        <v>850.56534220000003</v>
      </c>
      <c r="E92" s="39">
        <f>DGDG!$N$11</f>
        <v>851.57261680000011</v>
      </c>
      <c r="F92" s="39">
        <f>DGDG!$O$11</f>
        <v>833.5614968000001</v>
      </c>
      <c r="G92" s="39">
        <f>DGDG!$P$11</f>
        <v>868.59916220000002</v>
      </c>
      <c r="H92" s="39">
        <f>DGDG!$Q$11</f>
        <v>873.55456220000008</v>
      </c>
      <c r="I92" s="39">
        <f>DGDG!$R$11</f>
        <v>889.52850220000005</v>
      </c>
      <c r="J92" s="39">
        <f>DGDG!$S$11</f>
        <v>857.58080220000011</v>
      </c>
      <c r="K92" s="39">
        <f>DGDG!$T$11</f>
        <v>849.55806759999996</v>
      </c>
      <c r="L92" s="39">
        <f>DGDG!$U$11</f>
        <v>895.56356219999998</v>
      </c>
      <c r="M92" s="39">
        <f>DGDG!$V$11</f>
        <v>909.57921220000003</v>
      </c>
      <c r="N92" s="39">
        <f>DGDG!$W$11</f>
        <v>885.53364520000002</v>
      </c>
    </row>
    <row r="93" spans="1:14" x14ac:dyDescent="0.25">
      <c r="A93" s="40" t="s">
        <v>381</v>
      </c>
      <c r="B93" s="40" t="str">
        <f>DGDG!$A$12</f>
        <v>DGDG 30:2</v>
      </c>
      <c r="C93" s="39" t="str">
        <f>DGDG!$L$12</f>
        <v>C45H80O15</v>
      </c>
      <c r="D93" s="39">
        <f>DGDG!$M$12</f>
        <v>860.54969300000005</v>
      </c>
      <c r="E93" s="39">
        <f>DGDG!$N$12</f>
        <v>861.55696760000012</v>
      </c>
      <c r="F93" s="39">
        <f>DGDG!$O$12</f>
        <v>843.54584760000012</v>
      </c>
      <c r="G93" s="39">
        <f>DGDG!$P$12</f>
        <v>878.58351300000004</v>
      </c>
      <c r="H93" s="39">
        <f>DGDG!$Q$12</f>
        <v>883.53891300000009</v>
      </c>
      <c r="I93" s="39">
        <f>DGDG!$R$12</f>
        <v>899.51285300000006</v>
      </c>
      <c r="J93" s="39">
        <f>DGDG!$S$12</f>
        <v>867.56515300000012</v>
      </c>
      <c r="K93" s="39">
        <f>DGDG!$T$12</f>
        <v>859.54241839999997</v>
      </c>
      <c r="L93" s="39">
        <f>DGDG!$U$12</f>
        <v>905.54791299999999</v>
      </c>
      <c r="M93" s="39">
        <f>DGDG!$V$12</f>
        <v>919.56356300000004</v>
      </c>
      <c r="N93" s="39">
        <f>DGDG!$W$12</f>
        <v>895.51799600000004</v>
      </c>
    </row>
    <row r="94" spans="1:14" x14ac:dyDescent="0.25">
      <c r="A94" s="40" t="s">
        <v>381</v>
      </c>
      <c r="B94" s="40" t="str">
        <f>DGDG!$A$13</f>
        <v>DGDG 30:1</v>
      </c>
      <c r="C94" s="39" t="str">
        <f>DGDG!$L$13</f>
        <v>C45H82O15</v>
      </c>
      <c r="D94" s="39">
        <f>DGDG!$M$13</f>
        <v>862.56534220000003</v>
      </c>
      <c r="E94" s="39">
        <f>DGDG!$N$13</f>
        <v>863.57261680000011</v>
      </c>
      <c r="F94" s="39">
        <f>DGDG!$O$13</f>
        <v>845.5614968000001</v>
      </c>
      <c r="G94" s="39">
        <f>DGDG!$P$13</f>
        <v>880.59916220000002</v>
      </c>
      <c r="H94" s="39">
        <f>DGDG!$Q$13</f>
        <v>885.55456220000008</v>
      </c>
      <c r="I94" s="39">
        <f>DGDG!$R$13</f>
        <v>901.52850220000005</v>
      </c>
      <c r="J94" s="39">
        <f>DGDG!$S$13</f>
        <v>869.58080220000011</v>
      </c>
      <c r="K94" s="39">
        <f>DGDG!$T$13</f>
        <v>861.55806759999996</v>
      </c>
      <c r="L94" s="39">
        <f>DGDG!$U$13</f>
        <v>907.56356219999998</v>
      </c>
      <c r="M94" s="39">
        <f>DGDG!$V$13</f>
        <v>921.57921220000003</v>
      </c>
      <c r="N94" s="39">
        <f>DGDG!$W$13</f>
        <v>897.53364520000002</v>
      </c>
    </row>
    <row r="95" spans="1:14" x14ac:dyDescent="0.25">
      <c r="A95" s="40" t="s">
        <v>381</v>
      </c>
      <c r="B95" s="40" t="str">
        <f>DGDG!$A$14</f>
        <v>DGDG 30:0</v>
      </c>
      <c r="C95" s="39" t="str">
        <f>DGDG!$L$14</f>
        <v>C45H84O15</v>
      </c>
      <c r="D95" s="39">
        <f>DGDG!$M$14</f>
        <v>864.58099140000002</v>
      </c>
      <c r="E95" s="39">
        <f>DGDG!$N$14</f>
        <v>865.58826600000009</v>
      </c>
      <c r="F95" s="39">
        <f>DGDG!$O$14</f>
        <v>847.57714600000008</v>
      </c>
      <c r="G95" s="39">
        <f>DGDG!$P$14</f>
        <v>882.61481140000001</v>
      </c>
      <c r="H95" s="39">
        <f>DGDG!$Q$14</f>
        <v>887.57021140000006</v>
      </c>
      <c r="I95" s="39">
        <f>DGDG!$R$14</f>
        <v>903.54415140000003</v>
      </c>
      <c r="J95" s="39">
        <f>DGDG!$S$14</f>
        <v>871.59645140000009</v>
      </c>
      <c r="K95" s="39">
        <f>DGDG!$T$14</f>
        <v>863.57371679999994</v>
      </c>
      <c r="L95" s="39">
        <f>DGDG!$U$14</f>
        <v>909.57921139999996</v>
      </c>
      <c r="M95" s="39">
        <f>DGDG!$V$14</f>
        <v>923.59486140000001</v>
      </c>
      <c r="N95" s="39">
        <f>DGDG!$W$14</f>
        <v>899.54929440000001</v>
      </c>
    </row>
    <row r="96" spans="1:14" x14ac:dyDescent="0.25">
      <c r="A96" s="40" t="s">
        <v>381</v>
      </c>
      <c r="B96" s="40" t="str">
        <f>DGDG!$A$15</f>
        <v>DGDG 31:3</v>
      </c>
      <c r="C96" s="39" t="str">
        <f>DGDG!$L$15</f>
        <v>C46H80O15</v>
      </c>
      <c r="D96" s="39">
        <f>DGDG!$M$15</f>
        <v>872.54969300000005</v>
      </c>
      <c r="E96" s="39">
        <f>DGDG!$N$15</f>
        <v>873.55696760000012</v>
      </c>
      <c r="F96" s="39">
        <f>DGDG!$O$15</f>
        <v>855.54584760000012</v>
      </c>
      <c r="G96" s="39">
        <f>DGDG!$P$15</f>
        <v>890.58351300000004</v>
      </c>
      <c r="H96" s="39">
        <f>DGDG!$Q$15</f>
        <v>895.53891300000009</v>
      </c>
      <c r="I96" s="39">
        <f>DGDG!$R$15</f>
        <v>911.51285300000006</v>
      </c>
      <c r="J96" s="39">
        <f>DGDG!$S$15</f>
        <v>879.56515300000012</v>
      </c>
      <c r="K96" s="39">
        <f>DGDG!$T$15</f>
        <v>871.54241839999997</v>
      </c>
      <c r="L96" s="39">
        <f>DGDG!$U$15</f>
        <v>917.54791299999999</v>
      </c>
      <c r="M96" s="39">
        <f>DGDG!$V$15</f>
        <v>931.56356300000004</v>
      </c>
      <c r="N96" s="39">
        <f>DGDG!$W$15</f>
        <v>907.51799600000004</v>
      </c>
    </row>
    <row r="97" spans="1:14" x14ac:dyDescent="0.25">
      <c r="A97" s="40" t="s">
        <v>381</v>
      </c>
      <c r="B97" s="40" t="str">
        <f>DGDG!$A$16</f>
        <v>DGDG 31:2</v>
      </c>
      <c r="C97" s="39" t="str">
        <f>DGDG!$L$16</f>
        <v>C46H82O15</v>
      </c>
      <c r="D97" s="39">
        <f>DGDG!$M$16</f>
        <v>874.56534220000003</v>
      </c>
      <c r="E97" s="39">
        <f>DGDG!$N$16</f>
        <v>875.57261680000011</v>
      </c>
      <c r="F97" s="39">
        <f>DGDG!$O$16</f>
        <v>857.5614968000001</v>
      </c>
      <c r="G97" s="39">
        <f>DGDG!$P$16</f>
        <v>892.59916220000002</v>
      </c>
      <c r="H97" s="39">
        <f>DGDG!$Q$16</f>
        <v>897.55456220000008</v>
      </c>
      <c r="I97" s="39">
        <f>DGDG!$R$16</f>
        <v>913.52850220000005</v>
      </c>
      <c r="J97" s="39">
        <f>DGDG!$S$16</f>
        <v>881.58080220000011</v>
      </c>
      <c r="K97" s="39">
        <f>DGDG!$T$16</f>
        <v>873.55806759999996</v>
      </c>
      <c r="L97" s="39">
        <f>DGDG!$U$16</f>
        <v>919.56356219999998</v>
      </c>
      <c r="M97" s="39">
        <f>DGDG!$V$16</f>
        <v>933.57921220000003</v>
      </c>
      <c r="N97" s="39">
        <f>DGDG!$W$16</f>
        <v>909.53364520000002</v>
      </c>
    </row>
    <row r="98" spans="1:14" x14ac:dyDescent="0.25">
      <c r="A98" s="40" t="s">
        <v>381</v>
      </c>
      <c r="B98" s="40" t="str">
        <f>DGDG!$A$17</f>
        <v>DGDG 31:1</v>
      </c>
      <c r="C98" s="39" t="str">
        <f>DGDG!$L$17</f>
        <v>C46H84O15</v>
      </c>
      <c r="D98" s="39">
        <f>DGDG!$M$17</f>
        <v>876.58099140000002</v>
      </c>
      <c r="E98" s="39">
        <f>DGDG!$N$17</f>
        <v>877.58826600000009</v>
      </c>
      <c r="F98" s="39">
        <f>DGDG!$O$17</f>
        <v>859.57714600000008</v>
      </c>
      <c r="G98" s="39">
        <f>DGDG!$P$17</f>
        <v>894.61481140000001</v>
      </c>
      <c r="H98" s="39">
        <f>DGDG!$Q$17</f>
        <v>899.57021140000006</v>
      </c>
      <c r="I98" s="39">
        <f>DGDG!$R$17</f>
        <v>915.54415140000003</v>
      </c>
      <c r="J98" s="39">
        <f>DGDG!$S$17</f>
        <v>883.59645140000009</v>
      </c>
      <c r="K98" s="39">
        <f>DGDG!$T$17</f>
        <v>875.57371679999994</v>
      </c>
      <c r="L98" s="39">
        <f>DGDG!$U$17</f>
        <v>921.57921139999996</v>
      </c>
      <c r="M98" s="39">
        <f>DGDG!$V$17</f>
        <v>935.59486140000001</v>
      </c>
      <c r="N98" s="39">
        <f>DGDG!$W$17</f>
        <v>911.54929440000001</v>
      </c>
    </row>
    <row r="99" spans="1:14" x14ac:dyDescent="0.25">
      <c r="A99" s="40" t="s">
        <v>381</v>
      </c>
      <c r="B99" s="40" t="str">
        <f>DGDG!$A$18</f>
        <v>DGDG 31:0</v>
      </c>
      <c r="C99" s="39" t="str">
        <f>DGDG!$L$18</f>
        <v>C46H86O15</v>
      </c>
      <c r="D99" s="39">
        <f>DGDG!$M$18</f>
        <v>878.5966406</v>
      </c>
      <c r="E99" s="39">
        <f>DGDG!$N$18</f>
        <v>879.60391520000007</v>
      </c>
      <c r="F99" s="39">
        <f>DGDG!$O$18</f>
        <v>861.59279520000007</v>
      </c>
      <c r="G99" s="39">
        <f>DGDG!$P$18</f>
        <v>896.63046059999999</v>
      </c>
      <c r="H99" s="39">
        <f>DGDG!$Q$18</f>
        <v>901.58586060000005</v>
      </c>
      <c r="I99" s="39">
        <f>DGDG!$R$18</f>
        <v>917.55980060000002</v>
      </c>
      <c r="J99" s="39">
        <f>DGDG!$S$18</f>
        <v>885.61210060000008</v>
      </c>
      <c r="K99" s="39">
        <f>DGDG!$T$18</f>
        <v>877.58936599999993</v>
      </c>
      <c r="L99" s="39">
        <f>DGDG!$U$18</f>
        <v>923.59486059999995</v>
      </c>
      <c r="M99" s="39">
        <f>DGDG!$V$18</f>
        <v>937.6105106</v>
      </c>
      <c r="N99" s="39">
        <f>DGDG!$W$18</f>
        <v>913.56494359999999</v>
      </c>
    </row>
    <row r="100" spans="1:14" x14ac:dyDescent="0.25">
      <c r="A100" s="40" t="s">
        <v>381</v>
      </c>
      <c r="B100" s="40" t="str">
        <f>DGDG!$A$19</f>
        <v>DGDG 32:2</v>
      </c>
      <c r="C100" s="39" t="str">
        <f>DGDG!$L$19</f>
        <v>C47H84O15</v>
      </c>
      <c r="D100" s="39">
        <f>DGDG!$M$19</f>
        <v>888.58099140000002</v>
      </c>
      <c r="E100" s="39">
        <f>DGDG!$N$19</f>
        <v>889.58826600000009</v>
      </c>
      <c r="F100" s="39">
        <f>DGDG!$O$19</f>
        <v>871.57714600000008</v>
      </c>
      <c r="G100" s="39">
        <f>DGDG!$P$19</f>
        <v>906.61481140000001</v>
      </c>
      <c r="H100" s="39">
        <f>DGDG!$Q$19</f>
        <v>911.57021140000006</v>
      </c>
      <c r="I100" s="39">
        <f>DGDG!$R$19</f>
        <v>927.54415140000003</v>
      </c>
      <c r="J100" s="39">
        <f>DGDG!$S$19</f>
        <v>895.59645140000009</v>
      </c>
      <c r="K100" s="39">
        <f>DGDG!$T$19</f>
        <v>887.57371679999994</v>
      </c>
      <c r="L100" s="39">
        <f>DGDG!$U$19</f>
        <v>933.57921139999996</v>
      </c>
      <c r="M100" s="39">
        <f>DGDG!$V$19</f>
        <v>947.59486140000001</v>
      </c>
      <c r="N100" s="39">
        <f>DGDG!$W$19</f>
        <v>923.54929440000001</v>
      </c>
    </row>
    <row r="101" spans="1:14" x14ac:dyDescent="0.25">
      <c r="A101" s="40" t="s">
        <v>381</v>
      </c>
      <c r="B101" s="40" t="str">
        <f>DGDG!$A$20</f>
        <v>DGDG 32:1</v>
      </c>
      <c r="C101" s="39" t="str">
        <f>DGDG!$L$20</f>
        <v>C47H86O15</v>
      </c>
      <c r="D101" s="39">
        <f>DGDG!$M$20</f>
        <v>890.5966406</v>
      </c>
      <c r="E101" s="39">
        <f>DGDG!$N$20</f>
        <v>891.60391520000007</v>
      </c>
      <c r="F101" s="39">
        <f>DGDG!$O$20</f>
        <v>873.59279520000007</v>
      </c>
      <c r="G101" s="39">
        <f>DGDG!$P$20</f>
        <v>908.63046059999999</v>
      </c>
      <c r="H101" s="39">
        <f>DGDG!$Q$20</f>
        <v>913.58586060000005</v>
      </c>
      <c r="I101" s="39">
        <f>DGDG!$R$20</f>
        <v>929.55980060000002</v>
      </c>
      <c r="J101" s="39">
        <f>DGDG!$S$20</f>
        <v>897.61210060000008</v>
      </c>
      <c r="K101" s="39">
        <f>DGDG!$T$20</f>
        <v>889.58936599999993</v>
      </c>
      <c r="L101" s="39">
        <f>DGDG!$U$20</f>
        <v>935.59486059999995</v>
      </c>
      <c r="M101" s="39">
        <f>DGDG!$V$20</f>
        <v>949.6105106</v>
      </c>
      <c r="N101" s="39">
        <f>DGDG!$W$20</f>
        <v>925.56494359999999</v>
      </c>
    </row>
    <row r="102" spans="1:14" x14ac:dyDescent="0.25">
      <c r="A102" s="40" t="s">
        <v>381</v>
      </c>
      <c r="B102" s="40" t="str">
        <f>DGDG!$A$21</f>
        <v>DGDG 32:0</v>
      </c>
      <c r="C102" s="39" t="str">
        <f>DGDG!$L$21</f>
        <v>C47H88O15</v>
      </c>
      <c r="D102" s="39">
        <f>DGDG!$M$21</f>
        <v>892.61228979999999</v>
      </c>
      <c r="E102" s="39">
        <f>DGDG!$N$21</f>
        <v>893.61956440000006</v>
      </c>
      <c r="F102" s="39">
        <f>DGDG!$O$21</f>
        <v>875.60844440000005</v>
      </c>
      <c r="G102" s="39">
        <f>DGDG!$P$21</f>
        <v>910.64610979999998</v>
      </c>
      <c r="H102" s="39">
        <f>DGDG!$Q$21</f>
        <v>915.60150980000003</v>
      </c>
      <c r="I102" s="39">
        <f>DGDG!$R$21</f>
        <v>931.5754498</v>
      </c>
      <c r="J102" s="39">
        <f>DGDG!$S$21</f>
        <v>899.62774980000006</v>
      </c>
      <c r="K102" s="39">
        <f>DGDG!$T$21</f>
        <v>891.60501519999991</v>
      </c>
      <c r="L102" s="39">
        <f>DGDG!$U$21</f>
        <v>937.61050979999993</v>
      </c>
      <c r="M102" s="39">
        <f>DGDG!$V$21</f>
        <v>951.62615979999998</v>
      </c>
      <c r="N102" s="39">
        <f>DGDG!$W$21</f>
        <v>927.58059279999998</v>
      </c>
    </row>
    <row r="103" spans="1:14" x14ac:dyDescent="0.25">
      <c r="A103" s="40" t="s">
        <v>381</v>
      </c>
      <c r="B103" s="40" t="str">
        <f>DGDG!$A$22</f>
        <v>DGDG 33:2</v>
      </c>
      <c r="C103" s="39" t="str">
        <f>DGDG!$L$22</f>
        <v>C48H86O15</v>
      </c>
      <c r="D103" s="39">
        <f>DGDG!$M$22</f>
        <v>902.5966406</v>
      </c>
      <c r="E103" s="39">
        <f>DGDG!$N$22</f>
        <v>903.60391520000007</v>
      </c>
      <c r="F103" s="39">
        <f>DGDG!$O$22</f>
        <v>885.59279520000007</v>
      </c>
      <c r="G103" s="39">
        <f>DGDG!$P$22</f>
        <v>920.63046059999999</v>
      </c>
      <c r="H103" s="39">
        <f>DGDG!$Q$22</f>
        <v>925.58586060000005</v>
      </c>
      <c r="I103" s="39">
        <f>DGDG!$R$22</f>
        <v>941.55980060000002</v>
      </c>
      <c r="J103" s="39">
        <f>DGDG!$S$22</f>
        <v>909.61210060000008</v>
      </c>
      <c r="K103" s="39">
        <f>DGDG!$T$22</f>
        <v>901.58936599999993</v>
      </c>
      <c r="L103" s="39">
        <f>DGDG!$U$22</f>
        <v>947.59486059999995</v>
      </c>
      <c r="M103" s="39">
        <f>DGDG!$V$22</f>
        <v>961.6105106</v>
      </c>
      <c r="N103" s="39">
        <f>DGDG!$W$22</f>
        <v>937.56494359999999</v>
      </c>
    </row>
    <row r="104" spans="1:14" x14ac:dyDescent="0.25">
      <c r="A104" s="40" t="s">
        <v>381</v>
      </c>
      <c r="B104" s="40" t="str">
        <f>DGDG!$A$23</f>
        <v>DGDG 33:1</v>
      </c>
      <c r="C104" s="39" t="str">
        <f>DGDG!$L$23</f>
        <v>C48H88O15</v>
      </c>
      <c r="D104" s="39">
        <f>DGDG!$M$23</f>
        <v>904.61228979999999</v>
      </c>
      <c r="E104" s="39">
        <f>DGDG!$N$23</f>
        <v>905.61956440000006</v>
      </c>
      <c r="F104" s="39">
        <f>DGDG!$O$23</f>
        <v>887.60844440000005</v>
      </c>
      <c r="G104" s="39">
        <f>DGDG!$P$23</f>
        <v>922.64610979999998</v>
      </c>
      <c r="H104" s="39">
        <f>DGDG!$Q$23</f>
        <v>927.60150980000003</v>
      </c>
      <c r="I104" s="39">
        <f>DGDG!$R$23</f>
        <v>943.5754498</v>
      </c>
      <c r="J104" s="39">
        <f>DGDG!$S$23</f>
        <v>911.62774980000006</v>
      </c>
      <c r="K104" s="39">
        <f>DGDG!$T$23</f>
        <v>903.60501519999991</v>
      </c>
      <c r="L104" s="39">
        <f>DGDG!$U$23</f>
        <v>949.61050979999993</v>
      </c>
      <c r="M104" s="39">
        <f>DGDG!$V$23</f>
        <v>963.62615979999998</v>
      </c>
      <c r="N104" s="39">
        <f>DGDG!$W$23</f>
        <v>939.58059279999998</v>
      </c>
    </row>
    <row r="105" spans="1:14" x14ac:dyDescent="0.25">
      <c r="A105" s="40" t="s">
        <v>381</v>
      </c>
      <c r="B105" s="40" t="str">
        <f>DGDG!$A$24</f>
        <v>DGDG 33:0</v>
      </c>
      <c r="C105" s="39" t="str">
        <f>DGDG!$L$24</f>
        <v>C48H90O15</v>
      </c>
      <c r="D105" s="39">
        <f>DGDG!$M$24</f>
        <v>906.62793899999997</v>
      </c>
      <c r="E105" s="39">
        <f>DGDG!$N$24</f>
        <v>907.63521360000004</v>
      </c>
      <c r="F105" s="39">
        <f>DGDG!$O$24</f>
        <v>889.62409360000004</v>
      </c>
      <c r="G105" s="39">
        <f>DGDG!$P$24</f>
        <v>924.66175899999996</v>
      </c>
      <c r="H105" s="39">
        <f>DGDG!$Q$24</f>
        <v>929.61715900000002</v>
      </c>
      <c r="I105" s="39">
        <f>DGDG!$R$24</f>
        <v>945.59109899999999</v>
      </c>
      <c r="J105" s="39">
        <f>DGDG!$S$24</f>
        <v>913.64339900000004</v>
      </c>
      <c r="K105" s="39">
        <f>DGDG!$T$24</f>
        <v>905.6206643999999</v>
      </c>
      <c r="L105" s="39">
        <f>DGDG!$U$24</f>
        <v>951.62615899999992</v>
      </c>
      <c r="M105" s="39">
        <f>DGDG!$V$24</f>
        <v>965.64180899999997</v>
      </c>
      <c r="N105" s="39">
        <f>DGDG!$W$24</f>
        <v>941.59624199999996</v>
      </c>
    </row>
    <row r="106" spans="1:14" x14ac:dyDescent="0.25">
      <c r="A106" s="40" t="s">
        <v>381</v>
      </c>
      <c r="B106" s="40" t="str">
        <f>DGDG!$A$25</f>
        <v>DGDG 34:2</v>
      </c>
      <c r="C106" s="39" t="str">
        <f>DGDG!$L$25</f>
        <v>C49H88O15</v>
      </c>
      <c r="D106" s="39">
        <f>DGDG!$M$25</f>
        <v>916.61228979999999</v>
      </c>
      <c r="E106" s="39">
        <f>DGDG!$N$25</f>
        <v>917.61956440000006</v>
      </c>
      <c r="F106" s="39">
        <f>DGDG!$O$25</f>
        <v>899.60844440000005</v>
      </c>
      <c r="G106" s="39">
        <f>DGDG!$P$25</f>
        <v>934.64610979999998</v>
      </c>
      <c r="H106" s="39">
        <f>DGDG!$Q$25</f>
        <v>939.60150980000003</v>
      </c>
      <c r="I106" s="39">
        <f>DGDG!$R$25</f>
        <v>955.5754498</v>
      </c>
      <c r="J106" s="39">
        <f>DGDG!$S$25</f>
        <v>923.62774980000006</v>
      </c>
      <c r="K106" s="39">
        <f>DGDG!$T$25</f>
        <v>915.60501519999991</v>
      </c>
      <c r="L106" s="39">
        <f>DGDG!$U$25</f>
        <v>961.61050979999993</v>
      </c>
      <c r="M106" s="39">
        <f>DGDG!$V$25</f>
        <v>975.62615979999998</v>
      </c>
      <c r="N106" s="39">
        <f>DGDG!$W$25</f>
        <v>951.58059279999998</v>
      </c>
    </row>
    <row r="107" spans="1:14" x14ac:dyDescent="0.25">
      <c r="A107" s="40" t="s">
        <v>381</v>
      </c>
      <c r="B107" s="40" t="str">
        <f>DGDG!$A$26</f>
        <v>DGDG 34:1</v>
      </c>
      <c r="C107" s="39" t="str">
        <f>DGDG!$L$26</f>
        <v>C49H90O15</v>
      </c>
      <c r="D107" s="39">
        <f>DGDG!$M$26</f>
        <v>918.62793899999997</v>
      </c>
      <c r="E107" s="39">
        <f>DGDG!$N$26</f>
        <v>919.63521360000004</v>
      </c>
      <c r="F107" s="39">
        <f>DGDG!$O$26</f>
        <v>901.62409360000004</v>
      </c>
      <c r="G107" s="39">
        <f>DGDG!$P$26</f>
        <v>936.66175899999996</v>
      </c>
      <c r="H107" s="39">
        <f>DGDG!$Q$26</f>
        <v>941.61715900000002</v>
      </c>
      <c r="I107" s="39">
        <f>DGDG!$R$26</f>
        <v>957.59109899999999</v>
      </c>
      <c r="J107" s="39">
        <f>DGDG!$S$26</f>
        <v>925.64339900000004</v>
      </c>
      <c r="K107" s="39">
        <f>DGDG!$T$26</f>
        <v>917.6206643999999</v>
      </c>
      <c r="L107" s="39">
        <f>DGDG!$U$26</f>
        <v>963.62615899999992</v>
      </c>
      <c r="M107" s="39">
        <f>DGDG!$V$26</f>
        <v>977.64180899999997</v>
      </c>
      <c r="N107" s="39">
        <f>DGDG!$W$26</f>
        <v>953.59624199999996</v>
      </c>
    </row>
    <row r="108" spans="1:14" x14ac:dyDescent="0.25">
      <c r="A108" s="40" t="s">
        <v>381</v>
      </c>
      <c r="B108" s="40" t="str">
        <f>DGDG!$A$27</f>
        <v>DGDG 34:0</v>
      </c>
      <c r="C108" s="39" t="str">
        <f>DGDG!$L$27</f>
        <v>C49H92O15</v>
      </c>
      <c r="D108" s="39">
        <f>DGDG!$M$27</f>
        <v>920.64358819999995</v>
      </c>
      <c r="E108" s="39">
        <f>DGDG!$N$27</f>
        <v>921.65086280000003</v>
      </c>
      <c r="F108" s="39">
        <f>DGDG!$O$27</f>
        <v>903.63974280000002</v>
      </c>
      <c r="G108" s="39">
        <f>DGDG!$P$27</f>
        <v>938.67740819999995</v>
      </c>
      <c r="H108" s="39">
        <f>DGDG!$Q$27</f>
        <v>943.6328082</v>
      </c>
      <c r="I108" s="39">
        <f>DGDG!$R$27</f>
        <v>959.60674819999997</v>
      </c>
      <c r="J108" s="39">
        <f>DGDG!$S$27</f>
        <v>927.65904820000003</v>
      </c>
      <c r="K108" s="39">
        <f>DGDG!$T$27</f>
        <v>919.63631359999988</v>
      </c>
      <c r="L108" s="39">
        <f>DGDG!$U$27</f>
        <v>965.6418081999999</v>
      </c>
      <c r="M108" s="39">
        <f>DGDG!$V$27</f>
        <v>979.65745819999995</v>
      </c>
      <c r="N108" s="39">
        <f>DGDG!$W$27</f>
        <v>955.61189119999995</v>
      </c>
    </row>
    <row r="109" spans="1:14" x14ac:dyDescent="0.25">
      <c r="A109" s="40" t="s">
        <v>381</v>
      </c>
      <c r="B109" s="40" t="str">
        <f>DGDG!$A$28</f>
        <v>DGDG 35:2</v>
      </c>
      <c r="C109" s="39" t="str">
        <f>DGDG!$L$28</f>
        <v>C50H90O15</v>
      </c>
      <c r="D109" s="39">
        <f>DGDG!$M$28</f>
        <v>930.62793899999997</v>
      </c>
      <c r="E109" s="39">
        <f>DGDG!$N$28</f>
        <v>931.63521360000004</v>
      </c>
      <c r="F109" s="39">
        <f>DGDG!$O$28</f>
        <v>913.62409360000004</v>
      </c>
      <c r="G109" s="39">
        <f>DGDG!$P$28</f>
        <v>948.66175899999996</v>
      </c>
      <c r="H109" s="39">
        <f>DGDG!$Q$28</f>
        <v>953.61715900000002</v>
      </c>
      <c r="I109" s="39">
        <f>DGDG!$R$28</f>
        <v>969.59109899999999</v>
      </c>
      <c r="J109" s="39">
        <f>DGDG!$S$28</f>
        <v>937.64339900000004</v>
      </c>
      <c r="K109" s="39">
        <f>DGDG!$T$28</f>
        <v>929.6206643999999</v>
      </c>
      <c r="L109" s="39">
        <f>DGDG!$U$28</f>
        <v>975.62615899999992</v>
      </c>
      <c r="M109" s="39">
        <f>DGDG!$V$28</f>
        <v>989.64180899999997</v>
      </c>
      <c r="N109" s="39">
        <f>DGDG!$W$28</f>
        <v>965.59624199999996</v>
      </c>
    </row>
    <row r="110" spans="1:14" x14ac:dyDescent="0.25">
      <c r="A110" s="40" t="s">
        <v>381</v>
      </c>
      <c r="B110" s="40" t="str">
        <f>DGDG!$A$29</f>
        <v>DGDG 35:1</v>
      </c>
      <c r="C110" s="39" t="str">
        <f>DGDG!$L$29</f>
        <v>C50H92O15</v>
      </c>
      <c r="D110" s="39">
        <f>DGDG!$M$29</f>
        <v>932.64358819999995</v>
      </c>
      <c r="E110" s="39">
        <f>DGDG!$N$29</f>
        <v>933.65086280000003</v>
      </c>
      <c r="F110" s="39">
        <f>DGDG!$O$29</f>
        <v>915.63974280000002</v>
      </c>
      <c r="G110" s="39">
        <f>DGDG!$P$29</f>
        <v>950.67740819999995</v>
      </c>
      <c r="H110" s="39">
        <f>DGDG!$Q$29</f>
        <v>955.6328082</v>
      </c>
      <c r="I110" s="39">
        <f>DGDG!$R$29</f>
        <v>971.60674819999997</v>
      </c>
      <c r="J110" s="39">
        <f>DGDG!$S$29</f>
        <v>939.65904820000003</v>
      </c>
      <c r="K110" s="39">
        <f>DGDG!$T$29</f>
        <v>931.63631359999988</v>
      </c>
      <c r="L110" s="39">
        <f>DGDG!$U$29</f>
        <v>977.6418081999999</v>
      </c>
      <c r="M110" s="39">
        <f>DGDG!$V$29</f>
        <v>991.65745819999995</v>
      </c>
      <c r="N110" s="39">
        <f>DGDG!$W$29</f>
        <v>967.61189119999995</v>
      </c>
    </row>
    <row r="111" spans="1:14" x14ac:dyDescent="0.25">
      <c r="A111" s="40" t="s">
        <v>381</v>
      </c>
      <c r="B111" s="40" t="str">
        <f>DGDG!$A$30</f>
        <v>DGDG 35:0</v>
      </c>
      <c r="C111" s="39" t="str">
        <f>DGDG!$L$30</f>
        <v>C50H94O15</v>
      </c>
      <c r="D111" s="39">
        <f>DGDG!$M$30</f>
        <v>934.65923739999994</v>
      </c>
      <c r="E111" s="39">
        <f>DGDG!$N$30</f>
        <v>935.66651200000001</v>
      </c>
      <c r="F111" s="39">
        <f>DGDG!$O$30</f>
        <v>917.65539200000001</v>
      </c>
      <c r="G111" s="39">
        <f>DGDG!$P$30</f>
        <v>952.69305739999993</v>
      </c>
      <c r="H111" s="39">
        <f>DGDG!$Q$30</f>
        <v>957.64845739999998</v>
      </c>
      <c r="I111" s="39">
        <f>DGDG!$R$30</f>
        <v>973.62239739999995</v>
      </c>
      <c r="J111" s="39">
        <f>DGDG!$S$30</f>
        <v>941.67469740000001</v>
      </c>
      <c r="K111" s="39">
        <f>DGDG!$T$30</f>
        <v>933.65196279999986</v>
      </c>
      <c r="L111" s="39">
        <f>DGDG!$U$30</f>
        <v>979.65745739999988</v>
      </c>
      <c r="M111" s="39">
        <f>DGDG!$V$30</f>
        <v>993.67310739999994</v>
      </c>
      <c r="N111" s="39">
        <f>DGDG!$W$30</f>
        <v>969.62754039999993</v>
      </c>
    </row>
    <row r="112" spans="1:14" x14ac:dyDescent="0.25">
      <c r="A112" s="40" t="s">
        <v>381</v>
      </c>
      <c r="B112" s="40" t="str">
        <f>DGDG!$A$31</f>
        <v>DGDG 36:2</v>
      </c>
      <c r="C112" s="39" t="str">
        <f>DGDG!$L$31</f>
        <v>C51H92O15</v>
      </c>
      <c r="D112" s="39">
        <f>DGDG!$M$31</f>
        <v>944.64358819999995</v>
      </c>
      <c r="E112" s="39">
        <f>DGDG!$N$31</f>
        <v>945.65086280000003</v>
      </c>
      <c r="F112" s="39">
        <f>DGDG!$O$31</f>
        <v>927.63974280000002</v>
      </c>
      <c r="G112" s="39">
        <f>DGDG!$P$31</f>
        <v>962.67740819999995</v>
      </c>
      <c r="H112" s="39">
        <f>DGDG!$Q$31</f>
        <v>967.6328082</v>
      </c>
      <c r="I112" s="39">
        <f>DGDG!$R$31</f>
        <v>983.60674819999997</v>
      </c>
      <c r="J112" s="39">
        <f>DGDG!$S$31</f>
        <v>951.65904820000003</v>
      </c>
      <c r="K112" s="39">
        <f>DGDG!$T$31</f>
        <v>943.63631359999988</v>
      </c>
      <c r="L112" s="39">
        <f>DGDG!$U$31</f>
        <v>989.6418081999999</v>
      </c>
      <c r="M112" s="39">
        <f>DGDG!$V$31</f>
        <v>1003.6574582</v>
      </c>
      <c r="N112" s="39">
        <f>DGDG!$W$31</f>
        <v>979.61189119999995</v>
      </c>
    </row>
    <row r="113" spans="1:14" x14ac:dyDescent="0.25">
      <c r="A113" s="40" t="s">
        <v>381</v>
      </c>
      <c r="B113" s="40" t="str">
        <f>DGDG!$A$32</f>
        <v>DGDG 36:1</v>
      </c>
      <c r="C113" s="39" t="str">
        <f>DGDG!$L$32</f>
        <v>C51H94O15</v>
      </c>
      <c r="D113" s="39">
        <f>DGDG!$M$32</f>
        <v>946.65923739999994</v>
      </c>
      <c r="E113" s="39">
        <f>DGDG!$N$32</f>
        <v>947.66651200000001</v>
      </c>
      <c r="F113" s="39">
        <f>DGDG!$O$32</f>
        <v>929.65539200000001</v>
      </c>
      <c r="G113" s="39">
        <f>DGDG!$P$32</f>
        <v>964.69305739999993</v>
      </c>
      <c r="H113" s="39">
        <f>DGDG!$Q$32</f>
        <v>969.64845739999998</v>
      </c>
      <c r="I113" s="39">
        <f>DGDG!$R$32</f>
        <v>985.62239739999995</v>
      </c>
      <c r="J113" s="39">
        <f>DGDG!$S$32</f>
        <v>953.67469740000001</v>
      </c>
      <c r="K113" s="39">
        <f>DGDG!$T$32</f>
        <v>945.65196279999986</v>
      </c>
      <c r="L113" s="39">
        <f>DGDG!$U$32</f>
        <v>991.65745739999988</v>
      </c>
      <c r="M113" s="39">
        <f>DGDG!$V$32</f>
        <v>1005.6731073999999</v>
      </c>
      <c r="N113" s="39">
        <f>DGDG!$W$32</f>
        <v>981.62754039999993</v>
      </c>
    </row>
    <row r="114" spans="1:14" x14ac:dyDescent="0.25">
      <c r="A114" s="40" t="s">
        <v>381</v>
      </c>
      <c r="B114" s="40" t="str">
        <f>DGDG!$A$33</f>
        <v>DGDG 36:0</v>
      </c>
      <c r="C114" s="39" t="str">
        <f>DGDG!$L$33</f>
        <v>C51H96O15</v>
      </c>
      <c r="D114" s="39">
        <f>DGDG!$M$33</f>
        <v>948.67488659999992</v>
      </c>
      <c r="E114" s="39">
        <f>DGDG!$N$33</f>
        <v>949.6821612</v>
      </c>
      <c r="F114" s="39">
        <f>DGDG!$O$33</f>
        <v>931.67104119999999</v>
      </c>
      <c r="G114" s="39">
        <f>DGDG!$P$33</f>
        <v>966.70870659999991</v>
      </c>
      <c r="H114" s="39">
        <f>DGDG!$Q$33</f>
        <v>971.66410659999997</v>
      </c>
      <c r="I114" s="39">
        <f>DGDG!$R$33</f>
        <v>987.63804659999994</v>
      </c>
      <c r="J114" s="39">
        <f>DGDG!$S$33</f>
        <v>955.6903466</v>
      </c>
      <c r="K114" s="39">
        <f>DGDG!$T$33</f>
        <v>947.66761199999985</v>
      </c>
      <c r="L114" s="39">
        <f>DGDG!$U$33</f>
        <v>993.67310659999987</v>
      </c>
      <c r="M114" s="39">
        <f>DGDG!$V$33</f>
        <v>1007.6887565999999</v>
      </c>
      <c r="N114" s="39">
        <f>DGDG!$W$33</f>
        <v>983.64318959999991</v>
      </c>
    </row>
    <row r="115" spans="1:14" x14ac:dyDescent="0.25">
      <c r="A115" s="40" t="s">
        <v>381</v>
      </c>
      <c r="B115" s="40" t="str">
        <f>DGDG!$A$34</f>
        <v>DGDG 37:2</v>
      </c>
      <c r="C115" s="39" t="str">
        <f>DGDG!$L$34</f>
        <v>C52H94O15</v>
      </c>
      <c r="D115" s="39">
        <f>DGDG!$M$34</f>
        <v>958.65923739999994</v>
      </c>
      <c r="E115" s="39">
        <f>DGDG!$N$34</f>
        <v>959.66651200000001</v>
      </c>
      <c r="F115" s="39">
        <f>DGDG!$O$34</f>
        <v>941.65539200000001</v>
      </c>
      <c r="G115" s="39">
        <f>DGDG!$P$34</f>
        <v>976.69305739999993</v>
      </c>
      <c r="H115" s="39">
        <f>DGDG!$Q$34</f>
        <v>981.64845739999998</v>
      </c>
      <c r="I115" s="39">
        <f>DGDG!$R$34</f>
        <v>997.62239739999995</v>
      </c>
      <c r="J115" s="39">
        <f>DGDG!$S$34</f>
        <v>965.67469740000001</v>
      </c>
      <c r="K115" s="39">
        <f>DGDG!$T$34</f>
        <v>957.65196279999986</v>
      </c>
      <c r="L115" s="39">
        <f>DGDG!$U$34</f>
        <v>1003.6574573999999</v>
      </c>
      <c r="M115" s="39">
        <f>DGDG!$V$34</f>
        <v>1017.6731073999999</v>
      </c>
      <c r="N115" s="39">
        <f>DGDG!$W$34</f>
        <v>993.62754039999993</v>
      </c>
    </row>
    <row r="116" spans="1:14" x14ac:dyDescent="0.25">
      <c r="A116" s="40" t="s">
        <v>381</v>
      </c>
      <c r="B116" s="40" t="str">
        <f>DGDG!$A$35</f>
        <v>DGDG 37:1</v>
      </c>
      <c r="C116" s="39" t="str">
        <f>DGDG!$L$35</f>
        <v>C52H96O15</v>
      </c>
      <c r="D116" s="39">
        <f>DGDG!$M$35</f>
        <v>960.67488659999992</v>
      </c>
      <c r="E116" s="39">
        <f>DGDG!$N$35</f>
        <v>961.6821612</v>
      </c>
      <c r="F116" s="39">
        <f>DGDG!$O$35</f>
        <v>943.67104119999999</v>
      </c>
      <c r="G116" s="39">
        <f>DGDG!$P$35</f>
        <v>978.70870659999991</v>
      </c>
      <c r="H116" s="39">
        <f>DGDG!$Q$35</f>
        <v>983.66410659999997</v>
      </c>
      <c r="I116" s="39">
        <f>DGDG!$R$35</f>
        <v>999.63804659999994</v>
      </c>
      <c r="J116" s="39">
        <f>DGDG!$S$35</f>
        <v>967.6903466</v>
      </c>
      <c r="K116" s="39">
        <f>DGDG!$T$35</f>
        <v>959.66761199999985</v>
      </c>
      <c r="L116" s="39">
        <f>DGDG!$U$35</f>
        <v>1005.6731065999999</v>
      </c>
      <c r="M116" s="39">
        <f>DGDG!$V$35</f>
        <v>1019.6887565999999</v>
      </c>
      <c r="N116" s="39">
        <f>DGDG!$W$35</f>
        <v>995.64318959999991</v>
      </c>
    </row>
    <row r="117" spans="1:14" x14ac:dyDescent="0.25">
      <c r="A117" s="40" t="s">
        <v>381</v>
      </c>
      <c r="B117" s="40" t="str">
        <f>DGDG!$A$36</f>
        <v>DGDG 37:0</v>
      </c>
      <c r="C117" s="39" t="str">
        <f>DGDG!$L$36</f>
        <v>C52H98O15</v>
      </c>
      <c r="D117" s="39">
        <f>DGDG!$M$36</f>
        <v>962.69053580000002</v>
      </c>
      <c r="E117" s="39">
        <f>DGDG!$N$36</f>
        <v>963.69781040000009</v>
      </c>
      <c r="F117" s="39">
        <f>DGDG!$O$36</f>
        <v>945.68669040000009</v>
      </c>
      <c r="G117" s="39">
        <f>DGDG!$P$36</f>
        <v>980.72435580000001</v>
      </c>
      <c r="H117" s="39">
        <f>DGDG!$Q$36</f>
        <v>985.67975580000007</v>
      </c>
      <c r="I117" s="39">
        <f>DGDG!$R$36</f>
        <v>1001.6536958</v>
      </c>
      <c r="J117" s="39">
        <f>DGDG!$S$36</f>
        <v>969.7059958000001</v>
      </c>
      <c r="K117" s="39">
        <f>DGDG!$T$36</f>
        <v>961.68326119999995</v>
      </c>
      <c r="L117" s="39">
        <f>DGDG!$U$36</f>
        <v>1007.6887558</v>
      </c>
      <c r="M117" s="39">
        <f>DGDG!$V$36</f>
        <v>1021.7044058</v>
      </c>
      <c r="N117" s="39">
        <f>DGDG!$W$36</f>
        <v>997.65883880000001</v>
      </c>
    </row>
    <row r="118" spans="1:14" x14ac:dyDescent="0.25">
      <c r="A118" s="40" t="s">
        <v>381</v>
      </c>
      <c r="B118" s="40" t="str">
        <f>DGDG!$A$37</f>
        <v>DGDG 38:2</v>
      </c>
      <c r="C118" s="39" t="str">
        <f>DGDG!$L$37</f>
        <v>C53H96O15</v>
      </c>
      <c r="D118" s="39">
        <f>DGDG!$M$37</f>
        <v>972.67488659999992</v>
      </c>
      <c r="E118" s="39">
        <f>DGDG!$N$37</f>
        <v>973.6821612</v>
      </c>
      <c r="F118" s="39">
        <f>DGDG!$O$37</f>
        <v>955.67104119999999</v>
      </c>
      <c r="G118" s="39">
        <f>DGDG!$P$37</f>
        <v>990.70870659999991</v>
      </c>
      <c r="H118" s="39">
        <f>DGDG!$Q$37</f>
        <v>995.66410659999997</v>
      </c>
      <c r="I118" s="39">
        <f>DGDG!$R$37</f>
        <v>1011.6380465999999</v>
      </c>
      <c r="J118" s="39">
        <f>DGDG!$S$37</f>
        <v>979.6903466</v>
      </c>
      <c r="K118" s="39">
        <f>DGDG!$T$37</f>
        <v>971.66761199999985</v>
      </c>
      <c r="L118" s="39">
        <f>DGDG!$U$37</f>
        <v>1017.6731065999999</v>
      </c>
      <c r="M118" s="39">
        <f>DGDG!$V$37</f>
        <v>1031.6887565999998</v>
      </c>
      <c r="N118" s="39">
        <f>DGDG!$W$37</f>
        <v>1007.6431895999999</v>
      </c>
    </row>
    <row r="119" spans="1:14" x14ac:dyDescent="0.25">
      <c r="A119" s="40" t="s">
        <v>381</v>
      </c>
      <c r="B119" s="40" t="str">
        <f>DGDG!$A$38</f>
        <v>DGDG 38:1</v>
      </c>
      <c r="C119" s="39" t="str">
        <f>DGDG!$L$38</f>
        <v>C53H98O15</v>
      </c>
      <c r="D119" s="39">
        <f>DGDG!$M$38</f>
        <v>974.69053580000002</v>
      </c>
      <c r="E119" s="39">
        <f>DGDG!$N$38</f>
        <v>975.69781040000009</v>
      </c>
      <c r="F119" s="39">
        <f>DGDG!$O$38</f>
        <v>957.68669040000009</v>
      </c>
      <c r="G119" s="39">
        <f>DGDG!$P$38</f>
        <v>992.72435580000001</v>
      </c>
      <c r="H119" s="39">
        <f>DGDG!$Q$38</f>
        <v>997.67975580000007</v>
      </c>
      <c r="I119" s="39">
        <f>DGDG!$R$38</f>
        <v>1013.6536958</v>
      </c>
      <c r="J119" s="39">
        <f>DGDG!$S$38</f>
        <v>981.7059958000001</v>
      </c>
      <c r="K119" s="39">
        <f>DGDG!$T$38</f>
        <v>973.68326119999995</v>
      </c>
      <c r="L119" s="39">
        <f>DGDG!$U$38</f>
        <v>1019.6887558</v>
      </c>
      <c r="M119" s="39">
        <f>DGDG!$V$38</f>
        <v>1033.7044057999999</v>
      </c>
      <c r="N119" s="39">
        <f>DGDG!$W$38</f>
        <v>1009.6588388</v>
      </c>
    </row>
    <row r="120" spans="1:14" x14ac:dyDescent="0.25">
      <c r="A120" s="40" t="s">
        <v>381</v>
      </c>
      <c r="B120" s="40" t="str">
        <f>DGDG!$A$39</f>
        <v>DGDG 38:0</v>
      </c>
      <c r="C120" s="39" t="str">
        <f>DGDG!$L$39</f>
        <v>C53H100O15</v>
      </c>
      <c r="D120" s="39">
        <f>DGDG!$M$39</f>
        <v>976.706185</v>
      </c>
      <c r="E120" s="39">
        <f>DGDG!$N$39</f>
        <v>977.71345960000008</v>
      </c>
      <c r="F120" s="39">
        <f>DGDG!$O$39</f>
        <v>959.70233960000007</v>
      </c>
      <c r="G120" s="39">
        <f>DGDG!$P$39</f>
        <v>994.740005</v>
      </c>
      <c r="H120" s="39">
        <f>DGDG!$Q$39</f>
        <v>999.69540500000005</v>
      </c>
      <c r="I120" s="39">
        <f>DGDG!$R$39</f>
        <v>1015.669345</v>
      </c>
      <c r="J120" s="39">
        <f>DGDG!$S$39</f>
        <v>983.72164500000008</v>
      </c>
      <c r="K120" s="39">
        <f>DGDG!$T$39</f>
        <v>975.69891039999993</v>
      </c>
      <c r="L120" s="39">
        <f>DGDG!$U$39</f>
        <v>1021.704405</v>
      </c>
      <c r="M120" s="39">
        <f>DGDG!$V$39</f>
        <v>1035.720055</v>
      </c>
      <c r="N120" s="39">
        <f>DGDG!$W$39</f>
        <v>1011.674488</v>
      </c>
    </row>
    <row r="121" spans="1:14" x14ac:dyDescent="0.25">
      <c r="A121" s="40" t="s">
        <v>381</v>
      </c>
      <c r="B121" s="40" t="str">
        <f>DGDG!$A$40</f>
        <v>DGDG 39:0</v>
      </c>
      <c r="C121" s="39" t="str">
        <f>DGDG!$L$40</f>
        <v>C54H102O15</v>
      </c>
      <c r="D121" s="39">
        <f>DGDG!$M$40</f>
        <v>990.72183419999999</v>
      </c>
      <c r="E121" s="39">
        <f>DGDG!$N$40</f>
        <v>991.72910880000006</v>
      </c>
      <c r="F121" s="39">
        <f>DGDG!$O$40</f>
        <v>973.71798880000006</v>
      </c>
      <c r="G121" s="39">
        <f>DGDG!$P$40</f>
        <v>1008.7556542</v>
      </c>
      <c r="H121" s="39">
        <f>DGDG!$Q$40</f>
        <v>1013.7110542</v>
      </c>
      <c r="I121" s="39">
        <f>DGDG!$R$40</f>
        <v>1029.6849942000001</v>
      </c>
      <c r="J121" s="39">
        <f>DGDG!$S$40</f>
        <v>997.73729420000006</v>
      </c>
      <c r="K121" s="39">
        <f>DGDG!$T$40</f>
        <v>989.71455959999992</v>
      </c>
      <c r="L121" s="39">
        <f>DGDG!$U$40</f>
        <v>1035.7200542</v>
      </c>
      <c r="M121" s="39">
        <f>DGDG!$V$40</f>
        <v>1049.7357041999999</v>
      </c>
      <c r="N121" s="39">
        <f>DGDG!$W$40</f>
        <v>1025.6901372</v>
      </c>
    </row>
    <row r="122" spans="1:14" x14ac:dyDescent="0.25">
      <c r="A122" s="40" t="s">
        <v>381</v>
      </c>
      <c r="B122" s="40">
        <f>DGDG!$A$41</f>
        <v>0</v>
      </c>
      <c r="C122" s="39">
        <f>DGDG!$L$41</f>
        <v>0</v>
      </c>
      <c r="D122" s="39">
        <f>DGDG!$M$41</f>
        <v>0</v>
      </c>
      <c r="E122" s="39">
        <f>DGDG!$N$41</f>
        <v>0</v>
      </c>
      <c r="F122" s="39">
        <f>DGDG!$O$41</f>
        <v>0</v>
      </c>
      <c r="G122" s="39">
        <f>DGDG!$P$41</f>
        <v>0</v>
      </c>
      <c r="H122" s="39">
        <f>DGDG!$Q$41</f>
        <v>0</v>
      </c>
      <c r="I122" s="39">
        <f>DGDG!$R$41</f>
        <v>0</v>
      </c>
      <c r="J122" s="39">
        <f>DGDG!$S$41</f>
        <v>0</v>
      </c>
      <c r="K122" s="39">
        <f>DGDG!$T$41</f>
        <v>0</v>
      </c>
      <c r="L122" s="39">
        <f>DGDG!$U$41</f>
        <v>0</v>
      </c>
      <c r="M122" s="39">
        <f>DGDG!$V$41</f>
        <v>0</v>
      </c>
      <c r="N122" s="39">
        <f>DGDG!$W$41</f>
        <v>0</v>
      </c>
    </row>
    <row r="123" spans="1:14" x14ac:dyDescent="0.25">
      <c r="A123" s="40" t="s">
        <v>381</v>
      </c>
      <c r="B123" s="40">
        <f>DGDG!$A$42</f>
        <v>0</v>
      </c>
      <c r="C123" s="39">
        <f>DGDG!$L$42</f>
        <v>0</v>
      </c>
      <c r="D123" s="39">
        <f>DGDG!$M$42</f>
        <v>0</v>
      </c>
      <c r="E123" s="39">
        <f>DGDG!$N$42</f>
        <v>0</v>
      </c>
      <c r="F123" s="39">
        <f>DGDG!$O$42</f>
        <v>0</v>
      </c>
      <c r="G123" s="39">
        <f>DGDG!$P$42</f>
        <v>0</v>
      </c>
      <c r="H123" s="39">
        <f>DGDG!$Q$42</f>
        <v>0</v>
      </c>
      <c r="I123" s="39">
        <f>DGDG!$R$42</f>
        <v>0</v>
      </c>
      <c r="J123" s="39">
        <f>DGDG!$S$42</f>
        <v>0</v>
      </c>
      <c r="K123" s="39">
        <f>DGDG!$T$42</f>
        <v>0</v>
      </c>
      <c r="L123" s="39">
        <f>DGDG!$U$42</f>
        <v>0</v>
      </c>
      <c r="M123" s="39">
        <f>DGDG!$V$42</f>
        <v>0</v>
      </c>
      <c r="N123" s="39">
        <f>DGDG!$W$42</f>
        <v>0</v>
      </c>
    </row>
    <row r="124" spans="1:14" x14ac:dyDescent="0.25">
      <c r="A124" s="40" t="s">
        <v>381</v>
      </c>
      <c r="B124" s="40">
        <f>DGDG!$A$43</f>
        <v>0</v>
      </c>
      <c r="C124" s="39">
        <f>DGDG!$L$43</f>
        <v>0</v>
      </c>
      <c r="D124" s="39">
        <f>DGDG!$M$43</f>
        <v>0</v>
      </c>
      <c r="E124" s="39">
        <f>DGDG!$N$43</f>
        <v>0</v>
      </c>
      <c r="F124" s="39">
        <f>DGDG!$O$43</f>
        <v>0</v>
      </c>
      <c r="G124" s="39">
        <f>DGDG!$P$43</f>
        <v>0</v>
      </c>
      <c r="H124" s="39">
        <f>DGDG!$Q$43</f>
        <v>0</v>
      </c>
      <c r="I124" s="39">
        <f>DGDG!$R$43</f>
        <v>0</v>
      </c>
      <c r="J124" s="39">
        <f>DGDG!$S$43</f>
        <v>0</v>
      </c>
      <c r="K124" s="39">
        <f>DGDG!$T$43</f>
        <v>0</v>
      </c>
      <c r="L124" s="39">
        <f>DGDG!$U$43</f>
        <v>0</v>
      </c>
      <c r="M124" s="39">
        <f>DGDG!$V$43</f>
        <v>0</v>
      </c>
      <c r="N124" s="39">
        <f>DGDG!$W$43</f>
        <v>0</v>
      </c>
    </row>
    <row r="125" spans="1:14" x14ac:dyDescent="0.25">
      <c r="A125" s="40" t="s">
        <v>381</v>
      </c>
      <c r="B125" s="40">
        <f>DGDG!$A$44</f>
        <v>0</v>
      </c>
      <c r="C125" s="39">
        <f>DGDG!$L$44</f>
        <v>0</v>
      </c>
      <c r="D125" s="39">
        <f>DGDG!$M$44</f>
        <v>0</v>
      </c>
      <c r="E125" s="39">
        <f>DGDG!$N$44</f>
        <v>0</v>
      </c>
      <c r="F125" s="39">
        <f>DGDG!$O$44</f>
        <v>0</v>
      </c>
      <c r="G125" s="39">
        <f>DGDG!$P$44</f>
        <v>0</v>
      </c>
      <c r="H125" s="39">
        <f>DGDG!$Q$44</f>
        <v>0</v>
      </c>
      <c r="I125" s="39">
        <f>DGDG!$R$44</f>
        <v>0</v>
      </c>
      <c r="J125" s="39">
        <f>DGDG!$S$44</f>
        <v>0</v>
      </c>
      <c r="K125" s="39">
        <f>DGDG!$T$44</f>
        <v>0</v>
      </c>
      <c r="L125" s="39">
        <f>DGDG!$U$44</f>
        <v>0</v>
      </c>
      <c r="M125" s="39">
        <f>DGDG!$V$44</f>
        <v>0</v>
      </c>
      <c r="N125" s="39">
        <f>DGDG!$W$44</f>
        <v>0</v>
      </c>
    </row>
    <row r="126" spans="1:14" x14ac:dyDescent="0.25">
      <c r="A126" s="40" t="s">
        <v>381</v>
      </c>
      <c r="B126" s="40">
        <f>DGDG!$A$45</f>
        <v>0</v>
      </c>
      <c r="C126" s="39">
        <f>DGDG!$L$45</f>
        <v>0</v>
      </c>
      <c r="D126" s="39">
        <f>DGDG!$M$45</f>
        <v>0</v>
      </c>
      <c r="E126" s="39">
        <f>DGDG!$N$45</f>
        <v>0</v>
      </c>
      <c r="F126" s="39">
        <f>DGDG!$O$45</f>
        <v>0</v>
      </c>
      <c r="G126" s="39">
        <f>DGDG!$P$45</f>
        <v>0</v>
      </c>
      <c r="H126" s="39">
        <f>DGDG!$Q$45</f>
        <v>0</v>
      </c>
      <c r="I126" s="39">
        <f>DGDG!$R$45</f>
        <v>0</v>
      </c>
      <c r="J126" s="39">
        <f>DGDG!$S$45</f>
        <v>0</v>
      </c>
      <c r="K126" s="39">
        <f>DGDG!$T$45</f>
        <v>0</v>
      </c>
      <c r="L126" s="39">
        <f>DGDG!$U$45</f>
        <v>0</v>
      </c>
      <c r="M126" s="39">
        <f>DGDG!$V$45</f>
        <v>0</v>
      </c>
      <c r="N126" s="39">
        <f>DGDG!$W$45</f>
        <v>0</v>
      </c>
    </row>
    <row r="127" spans="1:14" x14ac:dyDescent="0.25">
      <c r="A127" s="40" t="s">
        <v>381</v>
      </c>
      <c r="B127" s="40">
        <f>DGDG!$A$46</f>
        <v>0</v>
      </c>
      <c r="C127" s="39">
        <f>DGDG!$L$46</f>
        <v>0</v>
      </c>
      <c r="D127" s="39">
        <f>DGDG!$M$46</f>
        <v>0</v>
      </c>
      <c r="E127" s="39">
        <f>DGDG!$N$46</f>
        <v>0</v>
      </c>
      <c r="F127" s="39">
        <f>DGDG!$O$46</f>
        <v>0</v>
      </c>
      <c r="G127" s="39">
        <f>DGDG!$P$46</f>
        <v>0</v>
      </c>
      <c r="H127" s="39">
        <f>DGDG!$Q$46</f>
        <v>0</v>
      </c>
      <c r="I127" s="39">
        <f>DGDG!$R$46</f>
        <v>0</v>
      </c>
      <c r="J127" s="39">
        <f>DGDG!$S$46</f>
        <v>0</v>
      </c>
      <c r="K127" s="39">
        <f>DGDG!$T$46</f>
        <v>0</v>
      </c>
      <c r="L127" s="39">
        <f>DGDG!$U$46</f>
        <v>0</v>
      </c>
      <c r="M127" s="39">
        <f>DGDG!$V$46</f>
        <v>0</v>
      </c>
      <c r="N127" s="39">
        <f>DGDG!$W$46</f>
        <v>0</v>
      </c>
    </row>
    <row r="128" spans="1:14" x14ac:dyDescent="0.25">
      <c r="A128" s="40" t="s">
        <v>381</v>
      </c>
      <c r="B128" s="40">
        <f>DGDG!$A$47</f>
        <v>0</v>
      </c>
      <c r="C128" s="39">
        <f>DGDG!$L$47</f>
        <v>0</v>
      </c>
      <c r="D128" s="39">
        <f>DGDG!$M$47</f>
        <v>0</v>
      </c>
      <c r="E128" s="39">
        <f>DGDG!$N$47</f>
        <v>0</v>
      </c>
      <c r="F128" s="39">
        <f>DGDG!$O$47</f>
        <v>0</v>
      </c>
      <c r="G128" s="39">
        <f>DGDG!$P$47</f>
        <v>0</v>
      </c>
      <c r="H128" s="39">
        <f>DGDG!$Q$47</f>
        <v>0</v>
      </c>
      <c r="I128" s="39">
        <f>DGDG!$R$47</f>
        <v>0</v>
      </c>
      <c r="J128" s="39">
        <f>DGDG!$S$47</f>
        <v>0</v>
      </c>
      <c r="K128" s="39">
        <f>DGDG!$T$47</f>
        <v>0</v>
      </c>
      <c r="L128" s="39">
        <f>DGDG!$U$47</f>
        <v>0</v>
      </c>
      <c r="M128" s="39">
        <f>DGDG!$V$47</f>
        <v>0</v>
      </c>
      <c r="N128" s="39">
        <f>DGDG!$W$47</f>
        <v>0</v>
      </c>
    </row>
    <row r="129" spans="1:14" x14ac:dyDescent="0.25">
      <c r="A129" s="40" t="s">
        <v>381</v>
      </c>
      <c r="B129" s="40">
        <f>DGDG!$A$48</f>
        <v>0</v>
      </c>
      <c r="C129" s="39">
        <f>DGDG!$L$48</f>
        <v>0</v>
      </c>
      <c r="D129" s="39">
        <f>DGDG!$M$48</f>
        <v>0</v>
      </c>
      <c r="E129" s="39">
        <f>DGDG!$N$48</f>
        <v>0</v>
      </c>
      <c r="F129" s="39">
        <f>DGDG!$O$48</f>
        <v>0</v>
      </c>
      <c r="G129" s="39">
        <f>DGDG!$P$48</f>
        <v>0</v>
      </c>
      <c r="H129" s="39">
        <f>DGDG!$Q$48</f>
        <v>0</v>
      </c>
      <c r="I129" s="39">
        <f>DGDG!$R$48</f>
        <v>0</v>
      </c>
      <c r="J129" s="39">
        <f>DGDG!$S$48</f>
        <v>0</v>
      </c>
      <c r="K129" s="39">
        <f>DGDG!$T$48</f>
        <v>0</v>
      </c>
      <c r="L129" s="39">
        <f>DGDG!$U$48</f>
        <v>0</v>
      </c>
      <c r="M129" s="39">
        <f>DGDG!$V$48</f>
        <v>0</v>
      </c>
      <c r="N129" s="39">
        <f>DGDG!$W$48</f>
        <v>0</v>
      </c>
    </row>
    <row r="130" spans="1:14" x14ac:dyDescent="0.25">
      <c r="A130" s="40" t="s">
        <v>381</v>
      </c>
      <c r="B130" s="40">
        <f>DGDG!$A$49</f>
        <v>0</v>
      </c>
      <c r="C130" s="39">
        <f>DGDG!$L$49</f>
        <v>0</v>
      </c>
      <c r="D130" s="39">
        <f>DGDG!$M$49</f>
        <v>0</v>
      </c>
      <c r="E130" s="39">
        <f>DGDG!$N$49</f>
        <v>0</v>
      </c>
      <c r="F130" s="39">
        <f>DGDG!$O$49</f>
        <v>0</v>
      </c>
      <c r="G130" s="39">
        <f>DGDG!$P$49</f>
        <v>0</v>
      </c>
      <c r="H130" s="39">
        <f>DGDG!$Q$49</f>
        <v>0</v>
      </c>
      <c r="I130" s="39">
        <f>DGDG!$R$49</f>
        <v>0</v>
      </c>
      <c r="J130" s="39">
        <f>DGDG!$S$49</f>
        <v>0</v>
      </c>
      <c r="K130" s="39">
        <f>DGDG!$T$49</f>
        <v>0</v>
      </c>
      <c r="L130" s="39">
        <f>DGDG!$U$49</f>
        <v>0</v>
      </c>
      <c r="M130" s="39">
        <f>DGDG!$V$49</f>
        <v>0</v>
      </c>
      <c r="N130" s="39">
        <f>DGDG!$W$49</f>
        <v>0</v>
      </c>
    </row>
    <row r="131" spans="1:14" x14ac:dyDescent="0.25">
      <c r="A131" s="40" t="s">
        <v>381</v>
      </c>
      <c r="B131" s="40">
        <f>DGDG!$A$50</f>
        <v>0</v>
      </c>
      <c r="C131" s="39">
        <f>DGDG!$L$50</f>
        <v>0</v>
      </c>
      <c r="D131" s="39">
        <f>DGDG!$M$50</f>
        <v>0</v>
      </c>
      <c r="E131" s="39">
        <f>DGDG!$N$50</f>
        <v>0</v>
      </c>
      <c r="F131" s="39">
        <f>DGDG!$O$50</f>
        <v>0</v>
      </c>
      <c r="G131" s="39">
        <f>DGDG!$P$50</f>
        <v>0</v>
      </c>
      <c r="H131" s="39">
        <f>DGDG!$Q$50</f>
        <v>0</v>
      </c>
      <c r="I131" s="39">
        <f>DGDG!$R$50</f>
        <v>0</v>
      </c>
      <c r="J131" s="39">
        <f>DGDG!$S$50</f>
        <v>0</v>
      </c>
      <c r="K131" s="39">
        <f>DGDG!$T$50</f>
        <v>0</v>
      </c>
      <c r="L131" s="39">
        <f>DGDG!$U$50</f>
        <v>0</v>
      </c>
      <c r="M131" s="39">
        <f>DGDG!$V$50</f>
        <v>0</v>
      </c>
      <c r="N131" s="39">
        <f>DGDG!$W$50</f>
        <v>0</v>
      </c>
    </row>
    <row r="132" spans="1:14" x14ac:dyDescent="0.25">
      <c r="A132" s="40" t="s">
        <v>381</v>
      </c>
      <c r="B132" s="40">
        <f>DGDG!$A$51</f>
        <v>0</v>
      </c>
      <c r="C132" s="39">
        <f>DGDG!$L$51</f>
        <v>0</v>
      </c>
      <c r="D132" s="39">
        <f>DGDG!$M$51</f>
        <v>0</v>
      </c>
      <c r="E132" s="39">
        <f>DGDG!$N$51</f>
        <v>0</v>
      </c>
      <c r="F132" s="39">
        <f>DGDG!$O$51</f>
        <v>0</v>
      </c>
      <c r="G132" s="39">
        <f>DGDG!$P$51</f>
        <v>0</v>
      </c>
      <c r="H132" s="39">
        <f>DGDG!$Q$51</f>
        <v>0</v>
      </c>
      <c r="I132" s="39">
        <f>DGDG!$R$51</f>
        <v>0</v>
      </c>
      <c r="J132" s="39">
        <f>DGDG!$S$51</f>
        <v>0</v>
      </c>
      <c r="K132" s="39">
        <f>DGDG!$T$51</f>
        <v>0</v>
      </c>
      <c r="L132" s="39">
        <f>DGDG!$U$51</f>
        <v>0</v>
      </c>
      <c r="M132" s="39">
        <f>DGDG!$V$51</f>
        <v>0</v>
      </c>
      <c r="N132" s="39">
        <f>DGDG!$W$51</f>
        <v>0</v>
      </c>
    </row>
    <row r="133" spans="1:14" x14ac:dyDescent="0.25">
      <c r="A133" s="40" t="s">
        <v>381</v>
      </c>
      <c r="B133" s="40">
        <f>DGDG!$A$52</f>
        <v>0</v>
      </c>
      <c r="C133" s="39">
        <f>DGDG!$L$52</f>
        <v>0</v>
      </c>
      <c r="D133" s="39">
        <f>DGDG!$M$52</f>
        <v>0</v>
      </c>
      <c r="E133" s="39">
        <f>DGDG!$N$52</f>
        <v>0</v>
      </c>
      <c r="F133" s="39">
        <f>DGDG!$O$52</f>
        <v>0</v>
      </c>
      <c r="G133" s="39">
        <f>DGDG!$P$52</f>
        <v>0</v>
      </c>
      <c r="H133" s="39">
        <f>DGDG!$Q$52</f>
        <v>0</v>
      </c>
      <c r="I133" s="39">
        <f>DGDG!$R$52</f>
        <v>0</v>
      </c>
      <c r="J133" s="39">
        <f>DGDG!$S$52</f>
        <v>0</v>
      </c>
      <c r="K133" s="39">
        <f>DGDG!$T$52</f>
        <v>0</v>
      </c>
      <c r="L133" s="39">
        <f>DGDG!$U$52</f>
        <v>0</v>
      </c>
      <c r="M133" s="39">
        <f>DGDG!$V$52</f>
        <v>0</v>
      </c>
      <c r="N133" s="39">
        <f>DGDG!$W$52</f>
        <v>0</v>
      </c>
    </row>
    <row r="134" spans="1:14" x14ac:dyDescent="0.25">
      <c r="A134" s="40" t="s">
        <v>381</v>
      </c>
      <c r="B134" s="40">
        <f>DGDG!$A$53</f>
        <v>0</v>
      </c>
      <c r="C134" s="39">
        <f>DGDG!$L$53</f>
        <v>0</v>
      </c>
      <c r="D134" s="39">
        <f>DGDG!$M$53</f>
        <v>0</v>
      </c>
      <c r="E134" s="39">
        <f>DGDG!$N$53</f>
        <v>0</v>
      </c>
      <c r="F134" s="39">
        <f>DGDG!$O$53</f>
        <v>0</v>
      </c>
      <c r="G134" s="39">
        <f>DGDG!$P$53</f>
        <v>0</v>
      </c>
      <c r="H134" s="39">
        <f>DGDG!$Q$53</f>
        <v>0</v>
      </c>
      <c r="I134" s="39">
        <f>DGDG!$R$53</f>
        <v>0</v>
      </c>
      <c r="J134" s="39">
        <f>DGDG!$S$53</f>
        <v>0</v>
      </c>
      <c r="K134" s="39">
        <f>DGDG!$T$53</f>
        <v>0</v>
      </c>
      <c r="L134" s="39">
        <f>DGDG!$U$53</f>
        <v>0</v>
      </c>
      <c r="M134" s="39">
        <f>DGDG!$V$53</f>
        <v>0</v>
      </c>
      <c r="N134" s="39">
        <f>DGDG!$W$53</f>
        <v>0</v>
      </c>
    </row>
    <row r="135" spans="1:14" x14ac:dyDescent="0.25">
      <c r="A135" s="40" t="s">
        <v>381</v>
      </c>
      <c r="B135" s="40">
        <f>DGDG!$A$54</f>
        <v>0</v>
      </c>
      <c r="C135" s="39">
        <f>DGDG!$L$54</f>
        <v>0</v>
      </c>
      <c r="D135" s="39">
        <f>DGDG!$M$54</f>
        <v>0</v>
      </c>
      <c r="E135" s="39">
        <f>DGDG!$N$54</f>
        <v>0</v>
      </c>
      <c r="F135" s="39">
        <f>DGDG!$O$54</f>
        <v>0</v>
      </c>
      <c r="G135" s="39">
        <f>DGDG!$P$54</f>
        <v>0</v>
      </c>
      <c r="H135" s="39">
        <f>DGDG!$Q$54</f>
        <v>0</v>
      </c>
      <c r="I135" s="39">
        <f>DGDG!$R$54</f>
        <v>0</v>
      </c>
      <c r="J135" s="39">
        <f>DGDG!$S$54</f>
        <v>0</v>
      </c>
      <c r="K135" s="39">
        <f>DGDG!$T$54</f>
        <v>0</v>
      </c>
      <c r="L135" s="39">
        <f>DGDG!$U$54</f>
        <v>0</v>
      </c>
      <c r="M135" s="39">
        <f>DGDG!$V$54</f>
        <v>0</v>
      </c>
      <c r="N135" s="39">
        <f>DGDG!$W$54</f>
        <v>0</v>
      </c>
    </row>
    <row r="136" spans="1:14" x14ac:dyDescent="0.25">
      <c r="A136" s="40" t="s">
        <v>50</v>
      </c>
      <c r="B136" s="40" t="str">
        <f>PG!$A$3</f>
        <v>PG 24:0</v>
      </c>
      <c r="C136" s="39" t="str">
        <f>PG!$L$3</f>
        <v>C30H59O10P1</v>
      </c>
      <c r="D136" s="39">
        <f>PG!$M$3</f>
        <v>610.38456439999993</v>
      </c>
      <c r="E136" s="39">
        <f>PG!$N$3</f>
        <v>611.391839</v>
      </c>
      <c r="F136" s="39">
        <f>PG!$O$3</f>
        <v>593.380719</v>
      </c>
      <c r="G136" s="39">
        <f>PG!$P$3</f>
        <v>628.41838439999992</v>
      </c>
      <c r="H136" s="39">
        <f>PG!$Q$3</f>
        <v>633.37378439999998</v>
      </c>
      <c r="I136" s="39">
        <f>PG!$R$3</f>
        <v>649.34772439999995</v>
      </c>
      <c r="J136" s="39">
        <f>PG!$S$3</f>
        <v>617.40002440000001</v>
      </c>
      <c r="K136" s="39">
        <f>PG!$T$3</f>
        <v>609.37728979999986</v>
      </c>
      <c r="L136" s="39">
        <f>PG!$U$3</f>
        <v>591.36671979999983</v>
      </c>
      <c r="M136" s="39">
        <f>PG!$V$3</f>
        <v>655.38278439999988</v>
      </c>
      <c r="N136" s="39">
        <f>PG!$W$3</f>
        <v>669.39843439999993</v>
      </c>
    </row>
    <row r="137" spans="1:14" x14ac:dyDescent="0.25">
      <c r="A137" s="40" t="s">
        <v>50</v>
      </c>
      <c r="B137" s="40" t="str">
        <f>PG!$A$4</f>
        <v>PG 25:0</v>
      </c>
      <c r="C137" s="39" t="str">
        <f>PG!$L$4</f>
        <v>C31H61O10P1</v>
      </c>
      <c r="D137" s="39">
        <f>PG!$M$4</f>
        <v>624.40021359999992</v>
      </c>
      <c r="E137" s="39">
        <f>PG!$N$4</f>
        <v>625.40748819999999</v>
      </c>
      <c r="F137" s="39">
        <f>PG!$O$4</f>
        <v>607.39636819999998</v>
      </c>
      <c r="G137" s="39">
        <f>PG!$P$4</f>
        <v>642.43403359999991</v>
      </c>
      <c r="H137" s="39">
        <f>PG!$Q$4</f>
        <v>647.38943359999996</v>
      </c>
      <c r="I137" s="39">
        <f>PG!$R$4</f>
        <v>663.36337359999993</v>
      </c>
      <c r="J137" s="39">
        <f>PG!$S$4</f>
        <v>631.41567359999999</v>
      </c>
      <c r="K137" s="39">
        <f>PG!$T$4</f>
        <v>623.39293899999984</v>
      </c>
      <c r="L137" s="39">
        <f>PG!$U$4</f>
        <v>605.38236899999981</v>
      </c>
      <c r="M137" s="39">
        <f>PG!$V$4</f>
        <v>669.39843359999986</v>
      </c>
      <c r="N137" s="39">
        <f>PG!$W$4</f>
        <v>683.41408359999991</v>
      </c>
    </row>
    <row r="138" spans="1:14" x14ac:dyDescent="0.25">
      <c r="A138" s="40" t="s">
        <v>50</v>
      </c>
      <c r="B138" s="40" t="str">
        <f>PG!$A$5</f>
        <v>PG 26:0</v>
      </c>
      <c r="C138" s="39" t="str">
        <f>PG!$L$5</f>
        <v>C32H63O10P1</v>
      </c>
      <c r="D138" s="39">
        <f>PG!$M$5</f>
        <v>638.41586280000001</v>
      </c>
      <c r="E138" s="39">
        <f>PG!$N$5</f>
        <v>639.42313740000009</v>
      </c>
      <c r="F138" s="39">
        <f>PG!$O$5</f>
        <v>621.41201740000008</v>
      </c>
      <c r="G138" s="39">
        <f>PG!$P$5</f>
        <v>656.44968280000001</v>
      </c>
      <c r="H138" s="39">
        <f>PG!$Q$5</f>
        <v>661.40508280000006</v>
      </c>
      <c r="I138" s="39">
        <f>PG!$R$5</f>
        <v>677.37902280000003</v>
      </c>
      <c r="J138" s="39">
        <f>PG!$S$5</f>
        <v>645.43132280000009</v>
      </c>
      <c r="K138" s="39">
        <f>PG!$T$5</f>
        <v>637.40858819999994</v>
      </c>
      <c r="L138" s="39">
        <f>PG!$U$5</f>
        <v>619.39801819999991</v>
      </c>
      <c r="M138" s="39">
        <f>PG!$V$5</f>
        <v>683.41408279999996</v>
      </c>
      <c r="N138" s="39">
        <f>PG!$W$5</f>
        <v>697.42973280000001</v>
      </c>
    </row>
    <row r="139" spans="1:14" x14ac:dyDescent="0.25">
      <c r="A139" s="40" t="s">
        <v>50</v>
      </c>
      <c r="B139" s="40" t="str">
        <f>PG!$A$6</f>
        <v>PG 27:0</v>
      </c>
      <c r="C139" s="39" t="str">
        <f>PG!$L$6</f>
        <v>C33H65O10P1</v>
      </c>
      <c r="D139" s="39">
        <f>PG!$M$6</f>
        <v>652.431512</v>
      </c>
      <c r="E139" s="39">
        <f>PG!$N$6</f>
        <v>653.43878660000007</v>
      </c>
      <c r="F139" s="39">
        <f>PG!$O$6</f>
        <v>635.42766660000007</v>
      </c>
      <c r="G139" s="39">
        <f>PG!$P$6</f>
        <v>670.46533199999999</v>
      </c>
      <c r="H139" s="39">
        <f>PG!$Q$6</f>
        <v>675.42073200000004</v>
      </c>
      <c r="I139" s="39">
        <f>PG!$R$6</f>
        <v>691.39467200000001</v>
      </c>
      <c r="J139" s="39">
        <f>PG!$S$6</f>
        <v>659.44697200000007</v>
      </c>
      <c r="K139" s="39">
        <f>PG!$T$6</f>
        <v>651.42423739999992</v>
      </c>
      <c r="L139" s="39">
        <f>PG!$U$6</f>
        <v>633.41366739999989</v>
      </c>
      <c r="M139" s="39">
        <f>PG!$V$6</f>
        <v>697.42973199999994</v>
      </c>
      <c r="N139" s="39">
        <f>PG!$W$6</f>
        <v>711.445382</v>
      </c>
    </row>
    <row r="140" spans="1:14" x14ac:dyDescent="0.25">
      <c r="A140" s="40" t="s">
        <v>50</v>
      </c>
      <c r="B140" s="40" t="str">
        <f>PG!$A$7</f>
        <v>PG 28:1</v>
      </c>
      <c r="C140" s="39" t="str">
        <f>PG!$L$7</f>
        <v>C34H65O10P1</v>
      </c>
      <c r="D140" s="39">
        <f>PG!$M$7</f>
        <v>664.431512</v>
      </c>
      <c r="E140" s="39">
        <f>PG!$N$7</f>
        <v>665.43878660000007</v>
      </c>
      <c r="F140" s="39">
        <f>PG!$O$7</f>
        <v>647.42766660000007</v>
      </c>
      <c r="G140" s="39">
        <f>PG!$P$7</f>
        <v>682.46533199999999</v>
      </c>
      <c r="H140" s="39">
        <f>PG!$Q$7</f>
        <v>687.42073200000004</v>
      </c>
      <c r="I140" s="39">
        <f>PG!$R$7</f>
        <v>703.39467200000001</v>
      </c>
      <c r="J140" s="39">
        <f>PG!$S$7</f>
        <v>671.44697200000007</v>
      </c>
      <c r="K140" s="39">
        <f>PG!$T$7</f>
        <v>663.42423739999992</v>
      </c>
      <c r="L140" s="39">
        <f>PG!$U$7</f>
        <v>0</v>
      </c>
      <c r="M140" s="39">
        <f>PG!$V$7</f>
        <v>709.42973199999994</v>
      </c>
      <c r="N140" s="39">
        <f>PG!$W$7</f>
        <v>723.445382</v>
      </c>
    </row>
    <row r="141" spans="1:14" x14ac:dyDescent="0.25">
      <c r="A141" s="40" t="s">
        <v>50</v>
      </c>
      <c r="B141" s="40" t="str">
        <f>PG!$A$8</f>
        <v>PG 28:0</v>
      </c>
      <c r="C141" s="39" t="str">
        <f>PG!$L$8</f>
        <v>C34H67O10P1</v>
      </c>
      <c r="D141" s="39">
        <f>PG!$M$8</f>
        <v>666.44716119999998</v>
      </c>
      <c r="E141" s="39">
        <f>PG!$N$8</f>
        <v>667.45443580000006</v>
      </c>
      <c r="F141" s="39">
        <f>PG!$O$8</f>
        <v>649.44331580000005</v>
      </c>
      <c r="G141" s="39">
        <f>PG!$P$8</f>
        <v>684.48098119999997</v>
      </c>
      <c r="H141" s="39">
        <f>PG!$Q$8</f>
        <v>689.43638120000003</v>
      </c>
      <c r="I141" s="39">
        <f>PG!$R$8</f>
        <v>705.4103212</v>
      </c>
      <c r="J141" s="39">
        <f>PG!$S$8</f>
        <v>673.46262120000006</v>
      </c>
      <c r="K141" s="39">
        <f>PG!$T$8</f>
        <v>665.43988659999991</v>
      </c>
      <c r="L141" s="39">
        <f>PG!$U$8</f>
        <v>647.42931659999988</v>
      </c>
      <c r="M141" s="39">
        <f>PG!$V$8</f>
        <v>711.44538119999993</v>
      </c>
      <c r="N141" s="39">
        <f>PG!$W$8</f>
        <v>725.46103119999998</v>
      </c>
    </row>
    <row r="142" spans="1:14" x14ac:dyDescent="0.25">
      <c r="A142" s="40" t="s">
        <v>50</v>
      </c>
      <c r="B142" s="40" t="str">
        <f>PG!$A$9</f>
        <v>PG 29:3</v>
      </c>
      <c r="C142" s="39" t="str">
        <f>PG!$L$9</f>
        <v>C35H63O10P1</v>
      </c>
      <c r="D142" s="39">
        <f>PG!$M$9</f>
        <v>674.41586280000001</v>
      </c>
      <c r="E142" s="39">
        <f>PG!$N$9</f>
        <v>675.42313740000009</v>
      </c>
      <c r="F142" s="39">
        <f>PG!$O$9</f>
        <v>657.41201740000008</v>
      </c>
      <c r="G142" s="39">
        <f>PG!$P$9</f>
        <v>692.44968280000001</v>
      </c>
      <c r="H142" s="39">
        <f>PG!$Q$9</f>
        <v>697.40508280000006</v>
      </c>
      <c r="I142" s="39">
        <f>PG!$R$9</f>
        <v>713.37902280000003</v>
      </c>
      <c r="J142" s="39">
        <f>PG!$S$9</f>
        <v>681.43132280000009</v>
      </c>
      <c r="K142" s="39">
        <f>PG!$T$9</f>
        <v>673.40858819999994</v>
      </c>
      <c r="L142" s="39">
        <f>PG!$U$9</f>
        <v>655.39801819999991</v>
      </c>
      <c r="M142" s="39">
        <f>PG!$V$9</f>
        <v>719.41408279999996</v>
      </c>
      <c r="N142" s="39">
        <f>PG!$W$9</f>
        <v>733.42973280000001</v>
      </c>
    </row>
    <row r="143" spans="1:14" x14ac:dyDescent="0.25">
      <c r="A143" s="40" t="s">
        <v>50</v>
      </c>
      <c r="B143" s="40" t="str">
        <f>PG!$A$10</f>
        <v>PG 29:2</v>
      </c>
      <c r="C143" s="39" t="str">
        <f>PG!$L$10</f>
        <v>C35H65O10P1</v>
      </c>
      <c r="D143" s="39">
        <f>PG!$M$10</f>
        <v>676.431512</v>
      </c>
      <c r="E143" s="39">
        <f>PG!$N$10</f>
        <v>677.43878660000007</v>
      </c>
      <c r="F143" s="39">
        <f>PG!$O$10</f>
        <v>659.42766660000007</v>
      </c>
      <c r="G143" s="39">
        <f>PG!$P$10</f>
        <v>694.46533199999999</v>
      </c>
      <c r="H143" s="39">
        <f>PG!$Q$10</f>
        <v>699.42073200000004</v>
      </c>
      <c r="I143" s="39">
        <f>PG!$R$10</f>
        <v>715.39467200000001</v>
      </c>
      <c r="J143" s="39">
        <f>PG!$S$10</f>
        <v>683.44697200000007</v>
      </c>
      <c r="K143" s="39">
        <f>PG!$T$10</f>
        <v>675.42423739999992</v>
      </c>
      <c r="L143" s="39">
        <f>PG!$U$10</f>
        <v>657.41366739999989</v>
      </c>
      <c r="M143" s="39">
        <f>PG!$V$10</f>
        <v>721.42973199999994</v>
      </c>
      <c r="N143" s="39">
        <f>PG!$W$10</f>
        <v>735.445382</v>
      </c>
    </row>
    <row r="144" spans="1:14" x14ac:dyDescent="0.25">
      <c r="A144" s="40" t="s">
        <v>50</v>
      </c>
      <c r="B144" s="40" t="str">
        <f>PG!$A$11</f>
        <v>PG 29:1</v>
      </c>
      <c r="C144" s="39" t="str">
        <f>PG!$L$11</f>
        <v>C35H67O10P1</v>
      </c>
      <c r="D144" s="39">
        <f>PG!$M$11</f>
        <v>678.44716119999998</v>
      </c>
      <c r="E144" s="39">
        <f>PG!$N$11</f>
        <v>679.45443580000006</v>
      </c>
      <c r="F144" s="39">
        <f>PG!$O$11</f>
        <v>661.44331580000005</v>
      </c>
      <c r="G144" s="39">
        <f>PG!$P$11</f>
        <v>696.48098119999997</v>
      </c>
      <c r="H144" s="39">
        <f>PG!$Q$11</f>
        <v>701.43638120000003</v>
      </c>
      <c r="I144" s="39">
        <f>PG!$R$11</f>
        <v>717.4103212</v>
      </c>
      <c r="J144" s="39">
        <f>PG!$S$11</f>
        <v>685.46262120000006</v>
      </c>
      <c r="K144" s="39">
        <f>PG!$T$11</f>
        <v>677.43988659999991</v>
      </c>
      <c r="L144" s="39">
        <f>PG!$U$11</f>
        <v>659.42931659999988</v>
      </c>
      <c r="M144" s="39">
        <f>PG!$V$11</f>
        <v>723.44538119999993</v>
      </c>
      <c r="N144" s="39">
        <f>PG!$W$11</f>
        <v>737.46103119999998</v>
      </c>
    </row>
    <row r="145" spans="1:14" x14ac:dyDescent="0.25">
      <c r="A145" s="40" t="s">
        <v>50</v>
      </c>
      <c r="B145" s="40" t="str">
        <f>PG!$A$12</f>
        <v>PG 29:0</v>
      </c>
      <c r="C145" s="39" t="str">
        <f>PG!$L$12</f>
        <v>C35H69O10P1</v>
      </c>
      <c r="D145" s="39">
        <f>PG!$M$12</f>
        <v>680.46281039999997</v>
      </c>
      <c r="E145" s="39">
        <f>PG!$N$12</f>
        <v>681.47008500000004</v>
      </c>
      <c r="F145" s="39">
        <f>PG!$O$12</f>
        <v>663.45896500000003</v>
      </c>
      <c r="G145" s="39">
        <f>PG!$P$12</f>
        <v>698.49663039999996</v>
      </c>
      <c r="H145" s="39">
        <f>PG!$Q$12</f>
        <v>703.45203040000001</v>
      </c>
      <c r="I145" s="39">
        <f>PG!$R$12</f>
        <v>719.42597039999998</v>
      </c>
      <c r="J145" s="39">
        <f>PG!$S$12</f>
        <v>687.47827040000004</v>
      </c>
      <c r="K145" s="39">
        <f>PG!$T$12</f>
        <v>679.45553579999989</v>
      </c>
      <c r="L145" s="39">
        <f>PG!$U$12</f>
        <v>661.44496579999986</v>
      </c>
      <c r="M145" s="39">
        <f>PG!$V$12</f>
        <v>725.46103039999991</v>
      </c>
      <c r="N145" s="39">
        <f>PG!$W$12</f>
        <v>739.47668039999996</v>
      </c>
    </row>
    <row r="146" spans="1:14" x14ac:dyDescent="0.25">
      <c r="A146" s="40" t="s">
        <v>50</v>
      </c>
      <c r="B146" s="40" t="str">
        <f>PG!$A$13</f>
        <v>PG 30:3</v>
      </c>
      <c r="C146" s="39" t="str">
        <f>PG!$L$13</f>
        <v>C36H65O10P1</v>
      </c>
      <c r="D146" s="39">
        <f>PG!$M$13</f>
        <v>688.431512</v>
      </c>
      <c r="E146" s="39">
        <f>PG!$N$13</f>
        <v>689.43878660000007</v>
      </c>
      <c r="F146" s="39">
        <f>PG!$O$13</f>
        <v>671.42766660000007</v>
      </c>
      <c r="G146" s="39">
        <f>PG!$P$13</f>
        <v>706.46533199999999</v>
      </c>
      <c r="H146" s="39">
        <f>PG!$Q$13</f>
        <v>711.42073200000004</v>
      </c>
      <c r="I146" s="39">
        <f>PG!$R$13</f>
        <v>727.39467200000001</v>
      </c>
      <c r="J146" s="39">
        <f>PG!$S$13</f>
        <v>695.44697200000007</v>
      </c>
      <c r="K146" s="39">
        <f>PG!$T$13</f>
        <v>687.42423739999992</v>
      </c>
      <c r="L146" s="39">
        <f>PG!$U$13</f>
        <v>669.41366739999989</v>
      </c>
      <c r="M146" s="39">
        <f>PG!$V$13</f>
        <v>733.42973199999994</v>
      </c>
      <c r="N146" s="39">
        <f>PG!$W$13</f>
        <v>747.445382</v>
      </c>
    </row>
    <row r="147" spans="1:14" x14ac:dyDescent="0.25">
      <c r="A147" s="40" t="s">
        <v>50</v>
      </c>
      <c r="B147" s="40" t="str">
        <f>PG!$A$14</f>
        <v>PG 30:2</v>
      </c>
      <c r="C147" s="39" t="str">
        <f>PG!$L$14</f>
        <v>C36H67O10P1</v>
      </c>
      <c r="D147" s="39">
        <f>PG!$M$14</f>
        <v>690.44716119999998</v>
      </c>
      <c r="E147" s="39">
        <f>PG!$N$14</f>
        <v>691.45443580000006</v>
      </c>
      <c r="F147" s="39">
        <f>PG!$O$14</f>
        <v>673.44331580000005</v>
      </c>
      <c r="G147" s="39">
        <f>PG!$P$14</f>
        <v>708.48098119999997</v>
      </c>
      <c r="H147" s="39">
        <f>PG!$Q$14</f>
        <v>713.43638120000003</v>
      </c>
      <c r="I147" s="39">
        <f>PG!$R$14</f>
        <v>729.4103212</v>
      </c>
      <c r="J147" s="39">
        <f>PG!$S$14</f>
        <v>697.46262120000006</v>
      </c>
      <c r="K147" s="39">
        <f>PG!$T$14</f>
        <v>689.43988659999991</v>
      </c>
      <c r="L147" s="39">
        <f>PG!$U$14</f>
        <v>671.42931659999988</v>
      </c>
      <c r="M147" s="39">
        <f>PG!$V$14</f>
        <v>735.44538119999993</v>
      </c>
      <c r="N147" s="39">
        <f>PG!$W$14</f>
        <v>749.46103119999998</v>
      </c>
    </row>
    <row r="148" spans="1:14" x14ac:dyDescent="0.25">
      <c r="A148" s="40" t="s">
        <v>50</v>
      </c>
      <c r="B148" s="40" t="str">
        <f>PG!$A$15</f>
        <v>PG 30:1</v>
      </c>
      <c r="C148" s="39" t="str">
        <f>PG!$L$15</f>
        <v>C36H69O10P1</v>
      </c>
      <c r="D148" s="39">
        <f>PG!$M$15</f>
        <v>692.46281039999997</v>
      </c>
      <c r="E148" s="39">
        <f>PG!$N$15</f>
        <v>693.47008500000004</v>
      </c>
      <c r="F148" s="39">
        <f>PG!$O$15</f>
        <v>675.45896500000003</v>
      </c>
      <c r="G148" s="39">
        <f>PG!$P$15</f>
        <v>710.49663039999996</v>
      </c>
      <c r="H148" s="39">
        <f>PG!$Q$15</f>
        <v>715.45203040000001</v>
      </c>
      <c r="I148" s="39">
        <f>PG!$R$15</f>
        <v>731.42597039999998</v>
      </c>
      <c r="J148" s="39">
        <f>PG!$S$15</f>
        <v>699.47827040000004</v>
      </c>
      <c r="K148" s="39">
        <f>PG!$T$15</f>
        <v>691.45553579999989</v>
      </c>
      <c r="L148" s="39">
        <f>PG!$U$15</f>
        <v>673.44496579999986</v>
      </c>
      <c r="M148" s="39">
        <f>PG!$V$15</f>
        <v>737.46103039999991</v>
      </c>
      <c r="N148" s="39">
        <f>PG!$W$15</f>
        <v>751.47668039999996</v>
      </c>
    </row>
    <row r="149" spans="1:14" x14ac:dyDescent="0.25">
      <c r="A149" s="40" t="s">
        <v>50</v>
      </c>
      <c r="B149" s="40" t="str">
        <f>PG!$A$16</f>
        <v>PG 30:0</v>
      </c>
      <c r="C149" s="39" t="str">
        <f>PG!$L$16</f>
        <v>C36H71O10P1</v>
      </c>
      <c r="D149" s="39">
        <f>PG!$M$16</f>
        <v>694.47845959999995</v>
      </c>
      <c r="E149" s="39">
        <f>PG!$N$16</f>
        <v>695.48573420000002</v>
      </c>
      <c r="F149" s="39">
        <f>PG!$O$16</f>
        <v>677.47461420000002</v>
      </c>
      <c r="G149" s="39">
        <f>PG!$P$16</f>
        <v>712.51227959999994</v>
      </c>
      <c r="H149" s="39">
        <f>PG!$Q$16</f>
        <v>717.4676796</v>
      </c>
      <c r="I149" s="39">
        <f>PG!$R$16</f>
        <v>733.44161959999997</v>
      </c>
      <c r="J149" s="39">
        <f>PG!$S$16</f>
        <v>701.49391960000003</v>
      </c>
      <c r="K149" s="39">
        <f>PG!$T$16</f>
        <v>693.47118499999988</v>
      </c>
      <c r="L149" s="39">
        <f>PG!$U$16</f>
        <v>675.46061499999985</v>
      </c>
      <c r="M149" s="39">
        <f>PG!$V$16</f>
        <v>739.4766795999999</v>
      </c>
      <c r="N149" s="39">
        <f>PG!$W$16</f>
        <v>753.49232959999995</v>
      </c>
    </row>
    <row r="150" spans="1:14" x14ac:dyDescent="0.25">
      <c r="A150" s="40" t="s">
        <v>50</v>
      </c>
      <c r="B150" s="40" t="str">
        <f>PG!$A$17</f>
        <v>PG 31:3</v>
      </c>
      <c r="C150" s="39" t="str">
        <f>PG!$L$17</f>
        <v>C37H67O10P1</v>
      </c>
      <c r="D150" s="39">
        <f>PG!$M$17</f>
        <v>702.44716119999998</v>
      </c>
      <c r="E150" s="39">
        <f>PG!$N$17</f>
        <v>703.45443580000006</v>
      </c>
      <c r="F150" s="39">
        <f>PG!$O$17</f>
        <v>685.44331580000005</v>
      </c>
      <c r="G150" s="39">
        <f>PG!$P$17</f>
        <v>720.48098119999997</v>
      </c>
      <c r="H150" s="39">
        <f>PG!$Q$17</f>
        <v>725.43638120000003</v>
      </c>
      <c r="I150" s="39">
        <f>PG!$R$17</f>
        <v>741.4103212</v>
      </c>
      <c r="J150" s="39">
        <f>PG!$S$17</f>
        <v>709.46262120000006</v>
      </c>
      <c r="K150" s="39">
        <f>PG!$T$17</f>
        <v>701.43988659999991</v>
      </c>
      <c r="L150" s="39">
        <f>PG!$U$17</f>
        <v>683.42931659999988</v>
      </c>
      <c r="M150" s="39">
        <f>PG!$V$17</f>
        <v>747.44538119999993</v>
      </c>
      <c r="N150" s="39">
        <f>PG!$W$17</f>
        <v>761.46103119999998</v>
      </c>
    </row>
    <row r="151" spans="1:14" x14ac:dyDescent="0.25">
      <c r="A151" s="40" t="s">
        <v>50</v>
      </c>
      <c r="B151" s="40" t="str">
        <f>PG!$A$18</f>
        <v>PG 31:2</v>
      </c>
      <c r="C151" s="39" t="str">
        <f>PG!$L$18</f>
        <v>C37H69O10P1</v>
      </c>
      <c r="D151" s="39">
        <f>PG!$M$18</f>
        <v>704.46281039999997</v>
      </c>
      <c r="E151" s="39">
        <f>PG!$N$18</f>
        <v>705.47008500000004</v>
      </c>
      <c r="F151" s="39">
        <f>PG!$O$18</f>
        <v>687.45896500000003</v>
      </c>
      <c r="G151" s="39">
        <f>PG!$P$18</f>
        <v>722.49663039999996</v>
      </c>
      <c r="H151" s="39">
        <f>PG!$Q$18</f>
        <v>727.45203040000001</v>
      </c>
      <c r="I151" s="39">
        <f>PG!$R$18</f>
        <v>743.42597039999998</v>
      </c>
      <c r="J151" s="39">
        <f>PG!$S$18</f>
        <v>711.47827040000004</v>
      </c>
      <c r="K151" s="39">
        <f>PG!$T$18</f>
        <v>703.45553579999989</v>
      </c>
      <c r="L151" s="39">
        <f>PG!$U$18</f>
        <v>685.44496579999986</v>
      </c>
      <c r="M151" s="39">
        <f>PG!$V$18</f>
        <v>749.46103039999991</v>
      </c>
      <c r="N151" s="39">
        <f>PG!$W$18</f>
        <v>763.47668039999996</v>
      </c>
    </row>
    <row r="152" spans="1:14" x14ac:dyDescent="0.25">
      <c r="A152" s="40" t="s">
        <v>50</v>
      </c>
      <c r="B152" s="40" t="str">
        <f>PG!$A$19</f>
        <v>PG 31:1</v>
      </c>
      <c r="C152" s="39" t="str">
        <f>PG!$L$19</f>
        <v>C37H71O10P1</v>
      </c>
      <c r="D152" s="39">
        <f>PG!$M$19</f>
        <v>706.47845959999995</v>
      </c>
      <c r="E152" s="39">
        <f>PG!$N$19</f>
        <v>707.48573420000002</v>
      </c>
      <c r="F152" s="39">
        <f>PG!$O$19</f>
        <v>689.47461420000002</v>
      </c>
      <c r="G152" s="39">
        <f>PG!$P$19</f>
        <v>724.51227959999994</v>
      </c>
      <c r="H152" s="39">
        <f>PG!$Q$19</f>
        <v>729.4676796</v>
      </c>
      <c r="I152" s="39">
        <f>PG!$R$19</f>
        <v>745.44161959999997</v>
      </c>
      <c r="J152" s="39">
        <f>PG!$S$19</f>
        <v>713.49391960000003</v>
      </c>
      <c r="K152" s="39">
        <f>PG!$T$19</f>
        <v>705.47118499999988</v>
      </c>
      <c r="L152" s="39">
        <f>PG!$U$19</f>
        <v>687.46061499999985</v>
      </c>
      <c r="M152" s="39">
        <f>PG!$V$19</f>
        <v>751.4766795999999</v>
      </c>
      <c r="N152" s="39">
        <f>PG!$W$19</f>
        <v>765.49232959999995</v>
      </c>
    </row>
    <row r="153" spans="1:14" x14ac:dyDescent="0.25">
      <c r="A153" s="40" t="s">
        <v>50</v>
      </c>
      <c r="B153" s="40" t="str">
        <f>PG!$A$20</f>
        <v>PG 31:0</v>
      </c>
      <c r="C153" s="39" t="str">
        <f>PG!$L$20</f>
        <v>C37H73O10P1</v>
      </c>
      <c r="D153" s="39">
        <f>PG!$M$20</f>
        <v>708.49410879999994</v>
      </c>
      <c r="E153" s="39">
        <f>PG!$N$20</f>
        <v>709.50138340000001</v>
      </c>
      <c r="F153" s="39">
        <f>PG!$O$20</f>
        <v>691.4902634</v>
      </c>
      <c r="G153" s="39">
        <f>PG!$P$20</f>
        <v>726.52792879999993</v>
      </c>
      <c r="H153" s="39">
        <f>PG!$Q$20</f>
        <v>731.48332879999998</v>
      </c>
      <c r="I153" s="39">
        <f>PG!$R$20</f>
        <v>747.45726879999995</v>
      </c>
      <c r="J153" s="39">
        <f>PG!$S$20</f>
        <v>715.50956880000001</v>
      </c>
      <c r="K153" s="39">
        <f>PG!$T$20</f>
        <v>707.48683419999986</v>
      </c>
      <c r="L153" s="39">
        <f>PG!$U$20</f>
        <v>689.47626419999983</v>
      </c>
      <c r="M153" s="39">
        <f>PG!$V$20</f>
        <v>753.49232879999988</v>
      </c>
      <c r="N153" s="39">
        <f>PG!$W$20</f>
        <v>767.50797879999993</v>
      </c>
    </row>
    <row r="154" spans="1:14" x14ac:dyDescent="0.25">
      <c r="A154" s="40" t="s">
        <v>50</v>
      </c>
      <c r="B154" s="40" t="str">
        <f>PG!$A$21</f>
        <v>PG 32:2</v>
      </c>
      <c r="C154" s="39" t="str">
        <f>PG!$L$21</f>
        <v>C38H71O10P1</v>
      </c>
      <c r="D154" s="39">
        <f>PG!$M$21</f>
        <v>718.47845959999995</v>
      </c>
      <c r="E154" s="39">
        <f>PG!$N$21</f>
        <v>719.48573420000002</v>
      </c>
      <c r="F154" s="39">
        <f>PG!$O$21</f>
        <v>701.47461420000002</v>
      </c>
      <c r="G154" s="39">
        <f>PG!$P$21</f>
        <v>736.51227959999994</v>
      </c>
      <c r="H154" s="39">
        <f>PG!$Q$21</f>
        <v>741.4676796</v>
      </c>
      <c r="I154" s="39">
        <f>PG!$R$21</f>
        <v>757.44161959999997</v>
      </c>
      <c r="J154" s="39">
        <f>PG!$S$21</f>
        <v>725.49391960000003</v>
      </c>
      <c r="K154" s="39">
        <f>PG!$T$21</f>
        <v>717.47118499999988</v>
      </c>
      <c r="L154" s="39">
        <f>PG!$U$21</f>
        <v>699.46061499999985</v>
      </c>
      <c r="M154" s="39">
        <f>PG!$V$21</f>
        <v>763.4766795999999</v>
      </c>
      <c r="N154" s="39">
        <f>PG!$W$21</f>
        <v>777.49232959999995</v>
      </c>
    </row>
    <row r="155" spans="1:14" x14ac:dyDescent="0.25">
      <c r="A155" s="40" t="s">
        <v>50</v>
      </c>
      <c r="B155" s="40" t="str">
        <f>PG!$A$22</f>
        <v>PG 32:1</v>
      </c>
      <c r="C155" s="39" t="str">
        <f>PG!$L$22</f>
        <v>C38H73O10P1</v>
      </c>
      <c r="D155" s="39">
        <f>PG!$M$22</f>
        <v>720.49410879999994</v>
      </c>
      <c r="E155" s="39">
        <f>PG!$N$22</f>
        <v>721.50138340000001</v>
      </c>
      <c r="F155" s="39">
        <f>PG!$O$22</f>
        <v>703.4902634</v>
      </c>
      <c r="G155" s="39">
        <f>PG!$P$22</f>
        <v>738.52792879999993</v>
      </c>
      <c r="H155" s="39">
        <f>PG!$Q$22</f>
        <v>743.48332879999998</v>
      </c>
      <c r="I155" s="39">
        <f>PG!$R$22</f>
        <v>759.45726879999995</v>
      </c>
      <c r="J155" s="39">
        <f>PG!$S$22</f>
        <v>727.50956880000001</v>
      </c>
      <c r="K155" s="39">
        <f>PG!$T$22</f>
        <v>719.48683419999986</v>
      </c>
      <c r="L155" s="39">
        <f>PG!$U$22</f>
        <v>701.47626419999983</v>
      </c>
      <c r="M155" s="39">
        <f>PG!$V$22</f>
        <v>765.49232879999988</v>
      </c>
      <c r="N155" s="39">
        <f>PG!$W$22</f>
        <v>779.50797879999993</v>
      </c>
    </row>
    <row r="156" spans="1:14" x14ac:dyDescent="0.25">
      <c r="A156" s="40" t="s">
        <v>50</v>
      </c>
      <c r="B156" s="40" t="str">
        <f>PG!$A$23</f>
        <v>PG 32:0</v>
      </c>
      <c r="C156" s="39" t="str">
        <f>PG!$L$23</f>
        <v>C38H75O10P1</v>
      </c>
      <c r="D156" s="39">
        <f>PG!$M$23</f>
        <v>722.50975800000003</v>
      </c>
      <c r="E156" s="39">
        <f>PG!$N$23</f>
        <v>723.51703260000011</v>
      </c>
      <c r="F156" s="39">
        <f>PG!$O$23</f>
        <v>705.5059126000001</v>
      </c>
      <c r="G156" s="39">
        <f>PG!$P$23</f>
        <v>740.54357800000002</v>
      </c>
      <c r="H156" s="39">
        <f>PG!$Q$23</f>
        <v>745.49897800000008</v>
      </c>
      <c r="I156" s="39">
        <f>PG!$R$23</f>
        <v>761.47291800000005</v>
      </c>
      <c r="J156" s="39">
        <f>PG!$S$23</f>
        <v>729.52521800000011</v>
      </c>
      <c r="K156" s="39">
        <f>PG!$T$23</f>
        <v>721.50248339999996</v>
      </c>
      <c r="L156" s="39">
        <f>PG!$U$23</f>
        <v>703.49191339999993</v>
      </c>
      <c r="M156" s="39">
        <f>PG!$V$23</f>
        <v>767.50797799999998</v>
      </c>
      <c r="N156" s="39">
        <f>PG!$W$23</f>
        <v>781.52362800000003</v>
      </c>
    </row>
    <row r="157" spans="1:14" x14ac:dyDescent="0.25">
      <c r="A157" s="40" t="s">
        <v>50</v>
      </c>
      <c r="B157" s="40" t="str">
        <f>PG!$A$24</f>
        <v>PG 33:3</v>
      </c>
      <c r="C157" s="39" t="str">
        <f>PG!$L$24</f>
        <v>C39H71O10P1</v>
      </c>
      <c r="D157" s="39">
        <f>PG!$M$24</f>
        <v>730.47845959999995</v>
      </c>
      <c r="E157" s="39">
        <f>PG!$N$24</f>
        <v>731.48573420000002</v>
      </c>
      <c r="F157" s="39">
        <f>PG!$O$24</f>
        <v>713.47461420000002</v>
      </c>
      <c r="G157" s="39">
        <f>PG!$P$24</f>
        <v>748.51227959999994</v>
      </c>
      <c r="H157" s="39">
        <f>PG!$Q$24</f>
        <v>753.4676796</v>
      </c>
      <c r="I157" s="39">
        <f>PG!$R$24</f>
        <v>769.44161959999997</v>
      </c>
      <c r="J157" s="39">
        <f>PG!$S$24</f>
        <v>737.49391960000003</v>
      </c>
      <c r="K157" s="39">
        <f>PG!$T$24</f>
        <v>729.47118499999988</v>
      </c>
      <c r="L157" s="39">
        <f>PG!$U$24</f>
        <v>711.46061499999985</v>
      </c>
      <c r="M157" s="39">
        <f>PG!$V$24</f>
        <v>775.4766795999999</v>
      </c>
      <c r="N157" s="39">
        <f>PG!$W$24</f>
        <v>789.49232959999995</v>
      </c>
    </row>
    <row r="158" spans="1:14" x14ac:dyDescent="0.25">
      <c r="A158" s="40" t="s">
        <v>50</v>
      </c>
      <c r="B158" s="40" t="str">
        <f>PG!$A$25</f>
        <v>PG 33:2</v>
      </c>
      <c r="C158" s="39" t="str">
        <f>PG!$L$25</f>
        <v>C39H73O10P1</v>
      </c>
      <c r="D158" s="39">
        <f>PG!$M$25</f>
        <v>732.49410879999994</v>
      </c>
      <c r="E158" s="39">
        <f>PG!$N$25</f>
        <v>733.50138340000001</v>
      </c>
      <c r="F158" s="39">
        <f>PG!$O$25</f>
        <v>715.4902634</v>
      </c>
      <c r="G158" s="39">
        <f>PG!$P$25</f>
        <v>750.52792879999993</v>
      </c>
      <c r="H158" s="39">
        <f>PG!$Q$25</f>
        <v>755.48332879999998</v>
      </c>
      <c r="I158" s="39">
        <f>PG!$R$25</f>
        <v>771.45726879999995</v>
      </c>
      <c r="J158" s="39">
        <f>PG!$S$25</f>
        <v>739.50956880000001</v>
      </c>
      <c r="K158" s="39">
        <f>PG!$T$25</f>
        <v>731.48683419999986</v>
      </c>
      <c r="L158" s="39">
        <f>PG!$U$25</f>
        <v>713.47626419999983</v>
      </c>
      <c r="M158" s="39">
        <f>PG!$V$25</f>
        <v>777.49232879999988</v>
      </c>
      <c r="N158" s="39">
        <f>PG!$W$25</f>
        <v>791.50797879999993</v>
      </c>
    </row>
    <row r="159" spans="1:14" x14ac:dyDescent="0.25">
      <c r="A159" s="40" t="s">
        <v>50</v>
      </c>
      <c r="B159" s="40" t="str">
        <f>PG!$A$26</f>
        <v>PG 33:1</v>
      </c>
      <c r="C159" s="39" t="str">
        <f>PG!$L$26</f>
        <v>C39H75O10P1</v>
      </c>
      <c r="D159" s="39">
        <f>PG!$M$26</f>
        <v>734.50975800000003</v>
      </c>
      <c r="E159" s="39">
        <f>PG!$N$26</f>
        <v>735.51703260000011</v>
      </c>
      <c r="F159" s="39">
        <f>PG!$O$26</f>
        <v>717.5059126000001</v>
      </c>
      <c r="G159" s="39">
        <f>PG!$P$26</f>
        <v>752.54357800000002</v>
      </c>
      <c r="H159" s="39">
        <f>PG!$Q$26</f>
        <v>757.49897800000008</v>
      </c>
      <c r="I159" s="39">
        <f>PG!$R$26</f>
        <v>773.47291800000005</v>
      </c>
      <c r="J159" s="39">
        <f>PG!$S$26</f>
        <v>741.52521800000011</v>
      </c>
      <c r="K159" s="39">
        <f>PG!$T$26</f>
        <v>733.50248339999996</v>
      </c>
      <c r="L159" s="39">
        <f>PG!$U$26</f>
        <v>715.49191339999993</v>
      </c>
      <c r="M159" s="39">
        <f>PG!$V$26</f>
        <v>779.50797799999998</v>
      </c>
      <c r="N159" s="39">
        <f>PG!$W$26</f>
        <v>793.52362800000003</v>
      </c>
    </row>
    <row r="160" spans="1:14" x14ac:dyDescent="0.25">
      <c r="A160" s="40" t="s">
        <v>50</v>
      </c>
      <c r="B160" s="40" t="str">
        <f>PG!$A$27</f>
        <v>PG 33:0</v>
      </c>
      <c r="C160" s="39" t="str">
        <f>PG!$L$27</f>
        <v>C39H77O10P1</v>
      </c>
      <c r="D160" s="39">
        <f>PG!$M$27</f>
        <v>736.52540720000002</v>
      </c>
      <c r="E160" s="39">
        <f>PG!$N$27</f>
        <v>737.53268180000009</v>
      </c>
      <c r="F160" s="39">
        <f>PG!$O$27</f>
        <v>719.52156180000009</v>
      </c>
      <c r="G160" s="39">
        <f>PG!$P$27</f>
        <v>754.55922720000001</v>
      </c>
      <c r="H160" s="39">
        <f>PG!$Q$27</f>
        <v>759.51462720000006</v>
      </c>
      <c r="I160" s="39">
        <f>PG!$R$27</f>
        <v>775.48856720000003</v>
      </c>
      <c r="J160" s="39">
        <f>PG!$S$27</f>
        <v>743.54086720000009</v>
      </c>
      <c r="K160" s="39">
        <f>PG!$T$27</f>
        <v>735.51813259999994</v>
      </c>
      <c r="L160" s="39">
        <f>PG!$U$27</f>
        <v>717.50756259999991</v>
      </c>
      <c r="M160" s="39">
        <f>PG!$V$27</f>
        <v>781.52362719999996</v>
      </c>
      <c r="N160" s="39">
        <f>PG!$W$27</f>
        <v>795.53927720000002</v>
      </c>
    </row>
    <row r="161" spans="1:14" x14ac:dyDescent="0.25">
      <c r="A161" s="40" t="s">
        <v>50</v>
      </c>
      <c r="B161" s="40" t="str">
        <f>PG!$A$28</f>
        <v>PG 34:3</v>
      </c>
      <c r="C161" s="39" t="str">
        <f>PG!$L$28</f>
        <v>C40H73O10P1</v>
      </c>
      <c r="D161" s="39">
        <f>PG!$M$28</f>
        <v>744.49410879999994</v>
      </c>
      <c r="E161" s="39">
        <f>PG!$N$28</f>
        <v>745.50138340000001</v>
      </c>
      <c r="F161" s="39">
        <f>PG!$O$28</f>
        <v>727.4902634</v>
      </c>
      <c r="G161" s="39">
        <f>PG!$P$28</f>
        <v>762.52792879999993</v>
      </c>
      <c r="H161" s="39">
        <f>PG!$Q$28</f>
        <v>767.48332879999998</v>
      </c>
      <c r="I161" s="39">
        <f>PG!$R$28</f>
        <v>783.45726879999995</v>
      </c>
      <c r="J161" s="39">
        <f>PG!$S$28</f>
        <v>751.50956880000001</v>
      </c>
      <c r="K161" s="39">
        <f>PG!$T$28</f>
        <v>743.48683419999986</v>
      </c>
      <c r="L161" s="39">
        <f>PG!$U$28</f>
        <v>725.47626419999983</v>
      </c>
      <c r="M161" s="39">
        <f>PG!$V$28</f>
        <v>789.49232879999988</v>
      </c>
      <c r="N161" s="39">
        <f>PG!$W$28</f>
        <v>803.50797879999993</v>
      </c>
    </row>
    <row r="162" spans="1:14" x14ac:dyDescent="0.25">
      <c r="A162" s="40" t="s">
        <v>50</v>
      </c>
      <c r="B162" s="40" t="str">
        <f>PG!$A$29</f>
        <v>PG 34:2</v>
      </c>
      <c r="C162" s="39" t="str">
        <f>PG!$L$29</f>
        <v>C40H75O10P1</v>
      </c>
      <c r="D162" s="39">
        <f>PG!$M$29</f>
        <v>746.50975800000003</v>
      </c>
      <c r="E162" s="39">
        <f>PG!$N$29</f>
        <v>747.51703260000011</v>
      </c>
      <c r="F162" s="39">
        <f>PG!$O$29</f>
        <v>729.5059126000001</v>
      </c>
      <c r="G162" s="39">
        <f>PG!$P$29</f>
        <v>764.54357800000002</v>
      </c>
      <c r="H162" s="39">
        <f>PG!$Q$29</f>
        <v>769.49897800000008</v>
      </c>
      <c r="I162" s="39">
        <f>PG!$R$29</f>
        <v>785.47291800000005</v>
      </c>
      <c r="J162" s="39">
        <f>PG!$S$29</f>
        <v>753.52521800000011</v>
      </c>
      <c r="K162" s="39">
        <f>PG!$T$29</f>
        <v>745.50248339999996</v>
      </c>
      <c r="L162" s="39">
        <f>PG!$U$29</f>
        <v>727.49191339999993</v>
      </c>
      <c r="M162" s="39">
        <f>PG!$V$29</f>
        <v>791.50797799999998</v>
      </c>
      <c r="N162" s="39">
        <f>PG!$W$29</f>
        <v>805.52362800000003</v>
      </c>
    </row>
    <row r="163" spans="1:14" x14ac:dyDescent="0.25">
      <c r="A163" s="40" t="s">
        <v>50</v>
      </c>
      <c r="B163" s="40" t="str">
        <f>PG!$A$30</f>
        <v>PG 34:1</v>
      </c>
      <c r="C163" s="39" t="str">
        <f>PG!$L$30</f>
        <v>C40H77O10P1</v>
      </c>
      <c r="D163" s="39">
        <f>PG!$M$30</f>
        <v>748.52540720000002</v>
      </c>
      <c r="E163" s="39">
        <f>PG!$N$30</f>
        <v>749.53268180000009</v>
      </c>
      <c r="F163" s="39">
        <f>PG!$O$30</f>
        <v>731.52156180000009</v>
      </c>
      <c r="G163" s="39">
        <f>PG!$P$30</f>
        <v>766.55922720000001</v>
      </c>
      <c r="H163" s="39">
        <f>PG!$Q$30</f>
        <v>771.51462720000006</v>
      </c>
      <c r="I163" s="39">
        <f>PG!$R$30</f>
        <v>787.48856720000003</v>
      </c>
      <c r="J163" s="39">
        <f>PG!$S$30</f>
        <v>755.54086720000009</v>
      </c>
      <c r="K163" s="39">
        <f>PG!$T$30</f>
        <v>747.51813259999994</v>
      </c>
      <c r="L163" s="39">
        <f>PG!$U$30</f>
        <v>729.50756259999991</v>
      </c>
      <c r="M163" s="39">
        <f>PG!$V$30</f>
        <v>793.52362719999996</v>
      </c>
      <c r="N163" s="39">
        <f>PG!$W$30</f>
        <v>807.53927720000002</v>
      </c>
    </row>
    <row r="164" spans="1:14" x14ac:dyDescent="0.25">
      <c r="A164" s="40" t="s">
        <v>50</v>
      </c>
      <c r="B164" s="40" t="str">
        <f>PG!$A$31</f>
        <v>PG 34:0</v>
      </c>
      <c r="C164" s="39" t="str">
        <f>PG!$L$31</f>
        <v>C40H79O10P1</v>
      </c>
      <c r="D164" s="39">
        <f>PG!$M$31</f>
        <v>750.5410564</v>
      </c>
      <c r="E164" s="39">
        <f>PG!$N$31</f>
        <v>751.54833100000008</v>
      </c>
      <c r="F164" s="39">
        <f>PG!$O$31</f>
        <v>733.53721100000007</v>
      </c>
      <c r="G164" s="39">
        <f>PG!$P$31</f>
        <v>768.57487639999999</v>
      </c>
      <c r="H164" s="39">
        <f>PG!$Q$31</f>
        <v>773.53027640000005</v>
      </c>
      <c r="I164" s="39">
        <f>PG!$R$31</f>
        <v>789.50421640000002</v>
      </c>
      <c r="J164" s="39">
        <f>PG!$S$31</f>
        <v>757.55651640000008</v>
      </c>
      <c r="K164" s="39">
        <f>PG!$T$31</f>
        <v>749.53378179999993</v>
      </c>
      <c r="L164" s="39">
        <f>PG!$U$31</f>
        <v>731.5232117999999</v>
      </c>
      <c r="M164" s="39">
        <f>PG!$V$31</f>
        <v>795.53927639999995</v>
      </c>
      <c r="N164" s="39">
        <f>PG!$W$31</f>
        <v>809.5549264</v>
      </c>
    </row>
    <row r="165" spans="1:14" x14ac:dyDescent="0.25">
      <c r="A165" s="40" t="s">
        <v>50</v>
      </c>
      <c r="B165" s="40" t="str">
        <f>PG!$A$32</f>
        <v>PG 35:3</v>
      </c>
      <c r="C165" s="39" t="str">
        <f>PG!$L$32</f>
        <v>C41H75O10P1</v>
      </c>
      <c r="D165" s="39">
        <f>PG!$M$32</f>
        <v>758.50975800000003</v>
      </c>
      <c r="E165" s="39">
        <f>PG!$N$32</f>
        <v>759.51703260000011</v>
      </c>
      <c r="F165" s="39">
        <f>PG!$O$32</f>
        <v>741.5059126000001</v>
      </c>
      <c r="G165" s="39">
        <f>PG!$P$32</f>
        <v>776.54357800000002</v>
      </c>
      <c r="H165" s="39">
        <f>PG!$Q$32</f>
        <v>781.49897800000008</v>
      </c>
      <c r="I165" s="39">
        <f>PG!$R$32</f>
        <v>797.47291800000005</v>
      </c>
      <c r="J165" s="39">
        <f>PG!$S$32</f>
        <v>765.52521800000011</v>
      </c>
      <c r="K165" s="39">
        <f>PG!$T$32</f>
        <v>757.50248339999996</v>
      </c>
      <c r="L165" s="39">
        <f>PG!$U$32</f>
        <v>739.49191339999993</v>
      </c>
      <c r="M165" s="39">
        <f>PG!$V$32</f>
        <v>803.50797799999998</v>
      </c>
      <c r="N165" s="39">
        <f>PG!$W$32</f>
        <v>817.52362800000003</v>
      </c>
    </row>
    <row r="166" spans="1:14" x14ac:dyDescent="0.25">
      <c r="A166" s="40" t="s">
        <v>50</v>
      </c>
      <c r="B166" s="40" t="str">
        <f>PG!$A$33</f>
        <v>PG 35:2</v>
      </c>
      <c r="C166" s="39" t="str">
        <f>PG!$L$33</f>
        <v>C41H77O10P1</v>
      </c>
      <c r="D166" s="39">
        <f>PG!$M$33</f>
        <v>760.52540720000002</v>
      </c>
      <c r="E166" s="39">
        <f>PG!$N$33</f>
        <v>761.53268180000009</v>
      </c>
      <c r="F166" s="39">
        <f>PG!$O$33</f>
        <v>743.52156180000009</v>
      </c>
      <c r="G166" s="39">
        <f>PG!$P$33</f>
        <v>778.55922720000001</v>
      </c>
      <c r="H166" s="39">
        <f>PG!$Q$33</f>
        <v>783.51462720000006</v>
      </c>
      <c r="I166" s="39">
        <f>PG!$R$33</f>
        <v>799.48856720000003</v>
      </c>
      <c r="J166" s="39">
        <f>PG!$S$33</f>
        <v>767.54086720000009</v>
      </c>
      <c r="K166" s="39">
        <f>PG!$T$33</f>
        <v>759.51813259999994</v>
      </c>
      <c r="L166" s="39">
        <f>PG!$U$33</f>
        <v>741.50756259999991</v>
      </c>
      <c r="M166" s="39">
        <f>PG!$V$33</f>
        <v>805.52362719999996</v>
      </c>
      <c r="N166" s="39">
        <f>PG!$W$33</f>
        <v>819.53927720000002</v>
      </c>
    </row>
    <row r="167" spans="1:14" x14ac:dyDescent="0.25">
      <c r="A167" s="40" t="s">
        <v>50</v>
      </c>
      <c r="B167" s="40" t="str">
        <f>PG!$A$34</f>
        <v>PG 35:1</v>
      </c>
      <c r="C167" s="39" t="str">
        <f>PG!$L$34</f>
        <v>C41H79O10P1</v>
      </c>
      <c r="D167" s="39">
        <f>PG!$M$34</f>
        <v>762.5410564</v>
      </c>
      <c r="E167" s="39">
        <f>PG!$N$34</f>
        <v>763.54833100000008</v>
      </c>
      <c r="F167" s="39">
        <f>PG!$O$34</f>
        <v>745.53721100000007</v>
      </c>
      <c r="G167" s="39">
        <f>PG!$P$34</f>
        <v>780.57487639999999</v>
      </c>
      <c r="H167" s="39">
        <f>PG!$Q$34</f>
        <v>785.53027640000005</v>
      </c>
      <c r="I167" s="39">
        <f>PG!$R$34</f>
        <v>801.50421640000002</v>
      </c>
      <c r="J167" s="39">
        <f>PG!$S$34</f>
        <v>769.55651640000008</v>
      </c>
      <c r="K167" s="39">
        <f>PG!$T$34</f>
        <v>761.53378179999993</v>
      </c>
      <c r="L167" s="39">
        <f>PG!$U$34</f>
        <v>743.5232117999999</v>
      </c>
      <c r="M167" s="39">
        <f>PG!$V$34</f>
        <v>807.53927639999995</v>
      </c>
      <c r="N167" s="39">
        <f>PG!$W$34</f>
        <v>821.5549264</v>
      </c>
    </row>
    <row r="168" spans="1:14" x14ac:dyDescent="0.25">
      <c r="A168" s="40" t="s">
        <v>50</v>
      </c>
      <c r="B168" s="40" t="str">
        <f>PG!$A$35</f>
        <v>PG 35:0</v>
      </c>
      <c r="C168" s="39" t="str">
        <f>PG!$L$35</f>
        <v>C41H81O10P1</v>
      </c>
      <c r="D168" s="39">
        <f>PG!$M$35</f>
        <v>764.55670559999999</v>
      </c>
      <c r="E168" s="39">
        <f>PG!$N$35</f>
        <v>765.56398020000006</v>
      </c>
      <c r="F168" s="39">
        <f>PG!$O$35</f>
        <v>747.55286020000005</v>
      </c>
      <c r="G168" s="39">
        <f>PG!$P$35</f>
        <v>782.59052559999998</v>
      </c>
      <c r="H168" s="39">
        <f>PG!$Q$35</f>
        <v>787.54592560000003</v>
      </c>
      <c r="I168" s="39">
        <f>PG!$R$35</f>
        <v>803.5198656</v>
      </c>
      <c r="J168" s="39">
        <f>PG!$S$35</f>
        <v>771.57216560000006</v>
      </c>
      <c r="K168" s="39">
        <f>PG!$T$35</f>
        <v>763.54943099999991</v>
      </c>
      <c r="L168" s="39">
        <f>PG!$U$35</f>
        <v>745.53886099999988</v>
      </c>
      <c r="M168" s="39">
        <f>PG!$V$35</f>
        <v>809.55492559999993</v>
      </c>
      <c r="N168" s="39">
        <f>PG!$W$35</f>
        <v>823.57057559999998</v>
      </c>
    </row>
    <row r="169" spans="1:14" x14ac:dyDescent="0.25">
      <c r="A169" s="40" t="s">
        <v>50</v>
      </c>
      <c r="B169" s="40" t="str">
        <f>PG!$A$36</f>
        <v>PG 36:3</v>
      </c>
      <c r="C169" s="39" t="str">
        <f>PG!$L$36</f>
        <v>C42H77O10P1</v>
      </c>
      <c r="D169" s="39">
        <f>PG!$M$36</f>
        <v>772.52540720000002</v>
      </c>
      <c r="E169" s="39">
        <f>PG!$N$36</f>
        <v>773.53268180000009</v>
      </c>
      <c r="F169" s="39">
        <f>PG!$O$36</f>
        <v>755.52156180000009</v>
      </c>
      <c r="G169" s="39">
        <f>PG!$P$36</f>
        <v>790.55922720000001</v>
      </c>
      <c r="H169" s="39">
        <f>PG!$Q$36</f>
        <v>795.51462720000006</v>
      </c>
      <c r="I169" s="39">
        <f>PG!$R$36</f>
        <v>811.48856720000003</v>
      </c>
      <c r="J169" s="39">
        <f>PG!$S$36</f>
        <v>779.54086720000009</v>
      </c>
      <c r="K169" s="39">
        <f>PG!$T$36</f>
        <v>771.51813259999994</v>
      </c>
      <c r="L169" s="39">
        <f>PG!$U$36</f>
        <v>753.50756259999991</v>
      </c>
      <c r="M169" s="39">
        <f>PG!$V$36</f>
        <v>817.52362719999996</v>
      </c>
      <c r="N169" s="39">
        <f>PG!$W$36</f>
        <v>831.53927720000002</v>
      </c>
    </row>
    <row r="170" spans="1:14" x14ac:dyDescent="0.25">
      <c r="A170" s="40" t="s">
        <v>50</v>
      </c>
      <c r="B170" s="40" t="str">
        <f>PG!$A$37</f>
        <v>PG 36:2</v>
      </c>
      <c r="C170" s="39" t="str">
        <f>PG!$L$37</f>
        <v>C42H79O10P1</v>
      </c>
      <c r="D170" s="39">
        <f>PG!$M$37</f>
        <v>774.5410564</v>
      </c>
      <c r="E170" s="39">
        <f>PG!$N$37</f>
        <v>775.54833100000008</v>
      </c>
      <c r="F170" s="39">
        <f>PG!$O$37</f>
        <v>757.53721100000007</v>
      </c>
      <c r="G170" s="39">
        <f>PG!$P$37</f>
        <v>792.57487639999999</v>
      </c>
      <c r="H170" s="39">
        <f>PG!$Q$37</f>
        <v>797.53027640000005</v>
      </c>
      <c r="I170" s="39">
        <f>PG!$R$37</f>
        <v>813.50421640000002</v>
      </c>
      <c r="J170" s="39">
        <f>PG!$S$37</f>
        <v>781.55651640000008</v>
      </c>
      <c r="K170" s="39">
        <f>PG!$T$37</f>
        <v>773.53378179999993</v>
      </c>
      <c r="L170" s="39">
        <f>PG!$U$37</f>
        <v>755.5232117999999</v>
      </c>
      <c r="M170" s="39">
        <f>PG!$V$37</f>
        <v>819.53927639999995</v>
      </c>
      <c r="N170" s="39">
        <f>PG!$W$37</f>
        <v>833.5549264</v>
      </c>
    </row>
    <row r="171" spans="1:14" x14ac:dyDescent="0.25">
      <c r="A171" s="40" t="s">
        <v>50</v>
      </c>
      <c r="B171" s="40" t="str">
        <f>PG!$A$38</f>
        <v>PG 36:1</v>
      </c>
      <c r="C171" s="39" t="str">
        <f>PG!$L$38</f>
        <v>C42H81O10P1</v>
      </c>
      <c r="D171" s="39">
        <f>PG!$M$38</f>
        <v>776.55670559999999</v>
      </c>
      <c r="E171" s="39">
        <f>PG!$N$38</f>
        <v>777.56398020000006</v>
      </c>
      <c r="F171" s="39">
        <f>PG!$O$38</f>
        <v>759.55286020000005</v>
      </c>
      <c r="G171" s="39">
        <f>PG!$P$38</f>
        <v>794.59052559999998</v>
      </c>
      <c r="H171" s="39">
        <f>PG!$Q$38</f>
        <v>799.54592560000003</v>
      </c>
      <c r="I171" s="39">
        <f>PG!$R$38</f>
        <v>815.5198656</v>
      </c>
      <c r="J171" s="39">
        <f>PG!$S$38</f>
        <v>783.57216560000006</v>
      </c>
      <c r="K171" s="39">
        <f>PG!$T$38</f>
        <v>775.54943099999991</v>
      </c>
      <c r="L171" s="39">
        <f>PG!$U$38</f>
        <v>757.53886099999988</v>
      </c>
      <c r="M171" s="39">
        <f>PG!$V$38</f>
        <v>821.55492559999993</v>
      </c>
      <c r="N171" s="39">
        <f>PG!$W$38</f>
        <v>835.57057559999998</v>
      </c>
    </row>
    <row r="172" spans="1:14" x14ac:dyDescent="0.25">
      <c r="A172" s="40" t="s">
        <v>50</v>
      </c>
      <c r="B172" s="40" t="str">
        <f>PG!$A$39</f>
        <v>PG 36:0</v>
      </c>
      <c r="C172" s="39" t="str">
        <f>PG!$L$39</f>
        <v>C42H83O10P1</v>
      </c>
      <c r="D172" s="39">
        <f>PG!$M$39</f>
        <v>778.57235479999997</v>
      </c>
      <c r="E172" s="39">
        <f>PG!$N$39</f>
        <v>779.57962940000004</v>
      </c>
      <c r="F172" s="39">
        <f>PG!$O$39</f>
        <v>761.56850940000004</v>
      </c>
      <c r="G172" s="39">
        <f>PG!$P$39</f>
        <v>796.60617479999996</v>
      </c>
      <c r="H172" s="39">
        <f>PG!$Q$39</f>
        <v>801.56157480000002</v>
      </c>
      <c r="I172" s="39">
        <f>PG!$R$39</f>
        <v>817.53551479999999</v>
      </c>
      <c r="J172" s="39">
        <f>PG!$S$39</f>
        <v>785.58781480000005</v>
      </c>
      <c r="K172" s="39">
        <f>PG!$T$39</f>
        <v>777.5650801999999</v>
      </c>
      <c r="L172" s="39">
        <f>PG!$U$39</f>
        <v>759.55451019999987</v>
      </c>
      <c r="M172" s="39">
        <f>PG!$V$39</f>
        <v>823.57057479999992</v>
      </c>
      <c r="N172" s="39">
        <f>PG!$W$39</f>
        <v>837.58622479999997</v>
      </c>
    </row>
    <row r="173" spans="1:14" x14ac:dyDescent="0.25">
      <c r="A173" s="40" t="s">
        <v>50</v>
      </c>
      <c r="B173" s="40" t="str">
        <f>PG!$A$40</f>
        <v>PG 37:3</v>
      </c>
      <c r="C173" s="39" t="str">
        <f>PG!$L$40</f>
        <v>C43H79O10P1</v>
      </c>
      <c r="D173" s="39">
        <f>PG!$M$40</f>
        <v>786.5410564</v>
      </c>
      <c r="E173" s="39">
        <f>PG!$N$40</f>
        <v>787.54833100000008</v>
      </c>
      <c r="F173" s="39">
        <f>PG!$O$40</f>
        <v>769.53721100000007</v>
      </c>
      <c r="G173" s="39">
        <f>PG!$P$40</f>
        <v>804.57487639999999</v>
      </c>
      <c r="H173" s="39">
        <f>PG!$Q$40</f>
        <v>809.53027640000005</v>
      </c>
      <c r="I173" s="39">
        <f>PG!$R$40</f>
        <v>825.50421640000002</v>
      </c>
      <c r="J173" s="39">
        <f>PG!$S$40</f>
        <v>793.55651640000008</v>
      </c>
      <c r="K173" s="39">
        <f>PG!$T$40</f>
        <v>785.53378179999993</v>
      </c>
      <c r="L173" s="39">
        <f>PG!$U$40</f>
        <v>767.5232117999999</v>
      </c>
      <c r="M173" s="39">
        <f>PG!$V$40</f>
        <v>831.53927639999995</v>
      </c>
      <c r="N173" s="39">
        <f>PG!$W$40</f>
        <v>845.5549264</v>
      </c>
    </row>
    <row r="174" spans="1:14" x14ac:dyDescent="0.25">
      <c r="A174" s="40" t="s">
        <v>50</v>
      </c>
      <c r="B174" s="40" t="str">
        <f>PG!$A$41</f>
        <v>PG 37:2</v>
      </c>
      <c r="C174" s="39" t="str">
        <f>PG!$L$41</f>
        <v>C43H81O10P1</v>
      </c>
      <c r="D174" s="39">
        <f>PG!$M$41</f>
        <v>788.55670559999999</v>
      </c>
      <c r="E174" s="39">
        <f>PG!$N$41</f>
        <v>789.56398020000006</v>
      </c>
      <c r="F174" s="39">
        <f>PG!$O$41</f>
        <v>771.55286020000005</v>
      </c>
      <c r="G174" s="39">
        <f>PG!$P$41</f>
        <v>806.59052559999998</v>
      </c>
      <c r="H174" s="39">
        <f>PG!$Q$41</f>
        <v>811.54592560000003</v>
      </c>
      <c r="I174" s="39">
        <f>PG!$R$41</f>
        <v>827.5198656</v>
      </c>
      <c r="J174" s="39">
        <f>PG!$S$41</f>
        <v>795.57216560000006</v>
      </c>
      <c r="K174" s="39">
        <f>PG!$T$41</f>
        <v>787.54943099999991</v>
      </c>
      <c r="L174" s="39">
        <f>PG!$U$41</f>
        <v>769.53886099999988</v>
      </c>
      <c r="M174" s="39">
        <f>PG!$V$41</f>
        <v>833.55492559999993</v>
      </c>
      <c r="N174" s="39">
        <f>PG!$W$41</f>
        <v>847.57057559999998</v>
      </c>
    </row>
    <row r="175" spans="1:14" x14ac:dyDescent="0.25">
      <c r="A175" s="40" t="s">
        <v>50</v>
      </c>
      <c r="B175" s="40" t="str">
        <f>PG!$A$42</f>
        <v>PG 37:1</v>
      </c>
      <c r="C175" s="39" t="str">
        <f>PG!$L$42</f>
        <v>C43H83O10P1</v>
      </c>
      <c r="D175" s="39">
        <f>PG!$M$42</f>
        <v>790.57235479999997</v>
      </c>
      <c r="E175" s="39">
        <f>PG!$N$42</f>
        <v>791.57962940000004</v>
      </c>
      <c r="F175" s="39">
        <f>PG!$O$42</f>
        <v>773.56850940000004</v>
      </c>
      <c r="G175" s="39">
        <f>PG!$P$42</f>
        <v>808.60617479999996</v>
      </c>
      <c r="H175" s="39">
        <f>PG!$Q$42</f>
        <v>813.56157480000002</v>
      </c>
      <c r="I175" s="39">
        <f>PG!$R$42</f>
        <v>829.53551479999999</v>
      </c>
      <c r="J175" s="39">
        <f>PG!$S$42</f>
        <v>797.58781480000005</v>
      </c>
      <c r="K175" s="39">
        <f>PG!$T$42</f>
        <v>789.5650801999999</v>
      </c>
      <c r="L175" s="39">
        <f>PG!$U$42</f>
        <v>771.55451019999987</v>
      </c>
      <c r="M175" s="39">
        <f>PG!$V$42</f>
        <v>835.57057479999992</v>
      </c>
      <c r="N175" s="39">
        <f>PG!$W$42</f>
        <v>849.58622479999997</v>
      </c>
    </row>
    <row r="176" spans="1:14" x14ac:dyDescent="0.25">
      <c r="A176" s="40" t="s">
        <v>50</v>
      </c>
      <c r="B176" s="40" t="str">
        <f>PG!$A$43</f>
        <v>PG 37:0</v>
      </c>
      <c r="C176" s="39" t="str">
        <f>PG!$L$43</f>
        <v>C43H85O10P1</v>
      </c>
      <c r="D176" s="39">
        <f>PG!$M$43</f>
        <v>792.58800399999996</v>
      </c>
      <c r="E176" s="39">
        <f>PG!$N$43</f>
        <v>793.59527860000003</v>
      </c>
      <c r="F176" s="39">
        <f>PG!$O$43</f>
        <v>775.58415860000002</v>
      </c>
      <c r="G176" s="39">
        <f>PG!$P$43</f>
        <v>810.62182399999995</v>
      </c>
      <c r="H176" s="39">
        <f>PG!$Q$43</f>
        <v>815.577224</v>
      </c>
      <c r="I176" s="39">
        <f>PG!$R$43</f>
        <v>831.55116399999997</v>
      </c>
      <c r="J176" s="39">
        <f>PG!$S$43</f>
        <v>799.60346400000003</v>
      </c>
      <c r="K176" s="39">
        <f>PG!$T$43</f>
        <v>791.58072939999988</v>
      </c>
      <c r="L176" s="39">
        <f>PG!$U$43</f>
        <v>773.57015939999985</v>
      </c>
      <c r="M176" s="39">
        <f>PG!$V$43</f>
        <v>837.5862239999999</v>
      </c>
      <c r="N176" s="39">
        <f>PG!$W$43</f>
        <v>851.60187399999995</v>
      </c>
    </row>
    <row r="177" spans="1:14" x14ac:dyDescent="0.25">
      <c r="A177" s="40" t="s">
        <v>50</v>
      </c>
      <c r="B177" s="40" t="str">
        <f>PG!$A$44</f>
        <v>PG 38:3</v>
      </c>
      <c r="C177" s="39" t="str">
        <f>PG!$L$44</f>
        <v>C44H81O10P1</v>
      </c>
      <c r="D177" s="39">
        <f>PG!$M$44</f>
        <v>800.55670559999999</v>
      </c>
      <c r="E177" s="39">
        <f>PG!$N$44</f>
        <v>801.56398020000006</v>
      </c>
      <c r="F177" s="39">
        <f>PG!$O$44</f>
        <v>783.55286020000005</v>
      </c>
      <c r="G177" s="39">
        <f>PG!$P$44</f>
        <v>818.59052559999998</v>
      </c>
      <c r="H177" s="39">
        <f>PG!$Q$44</f>
        <v>823.54592560000003</v>
      </c>
      <c r="I177" s="39">
        <f>PG!$R$44</f>
        <v>839.5198656</v>
      </c>
      <c r="J177" s="39">
        <f>PG!$S$44</f>
        <v>807.57216560000006</v>
      </c>
      <c r="K177" s="39">
        <f>PG!$T$44</f>
        <v>799.54943099999991</v>
      </c>
      <c r="L177" s="39">
        <f>PG!$U$44</f>
        <v>781.53886099999988</v>
      </c>
      <c r="M177" s="39">
        <f>PG!$V$44</f>
        <v>845.55492559999993</v>
      </c>
      <c r="N177" s="39">
        <f>PG!$W$44</f>
        <v>859.57057559999998</v>
      </c>
    </row>
    <row r="178" spans="1:14" x14ac:dyDescent="0.25">
      <c r="A178" s="40" t="s">
        <v>50</v>
      </c>
      <c r="B178" s="40" t="str">
        <f>PG!$A$45</f>
        <v>PG 38:2</v>
      </c>
      <c r="C178" s="39" t="str">
        <f>PG!$L$45</f>
        <v>C44H83O10P1</v>
      </c>
      <c r="D178" s="39">
        <f>PG!$M$45</f>
        <v>802.57235479999997</v>
      </c>
      <c r="E178" s="39">
        <f>PG!$N$45</f>
        <v>803.57962940000004</v>
      </c>
      <c r="F178" s="39">
        <f>PG!$O$45</f>
        <v>785.56850940000004</v>
      </c>
      <c r="G178" s="39">
        <f>PG!$P$45</f>
        <v>820.60617479999996</v>
      </c>
      <c r="H178" s="39">
        <f>PG!$Q$45</f>
        <v>825.56157480000002</v>
      </c>
      <c r="I178" s="39">
        <f>PG!$R$45</f>
        <v>841.53551479999999</v>
      </c>
      <c r="J178" s="39">
        <f>PG!$S$45</f>
        <v>809.58781480000005</v>
      </c>
      <c r="K178" s="39">
        <f>PG!$T$45</f>
        <v>801.5650801999999</v>
      </c>
      <c r="L178" s="39">
        <f>PG!$U$45</f>
        <v>783.55451019999987</v>
      </c>
      <c r="M178" s="39">
        <f>PG!$V$45</f>
        <v>847.57057479999992</v>
      </c>
      <c r="N178" s="39">
        <f>PG!$W$45</f>
        <v>861.58622479999997</v>
      </c>
    </row>
    <row r="179" spans="1:14" x14ac:dyDescent="0.25">
      <c r="A179" s="40" t="s">
        <v>50</v>
      </c>
      <c r="B179" s="40" t="str">
        <f>PG!$A$46</f>
        <v>PG 38:1</v>
      </c>
      <c r="C179" s="39" t="str">
        <f>PG!$L$46</f>
        <v>C44H85O10P1</v>
      </c>
      <c r="D179" s="39">
        <f>PG!$M$46</f>
        <v>804.58800399999996</v>
      </c>
      <c r="E179" s="39">
        <f>PG!$N$46</f>
        <v>805.59527860000003</v>
      </c>
      <c r="F179" s="39">
        <f>PG!$O$46</f>
        <v>787.58415860000002</v>
      </c>
      <c r="G179" s="39">
        <f>PG!$P$46</f>
        <v>822.62182399999995</v>
      </c>
      <c r="H179" s="39">
        <f>PG!$Q$46</f>
        <v>827.577224</v>
      </c>
      <c r="I179" s="39">
        <f>PG!$R$46</f>
        <v>843.55116399999997</v>
      </c>
      <c r="J179" s="39">
        <f>PG!$S$46</f>
        <v>811.60346400000003</v>
      </c>
      <c r="K179" s="39">
        <f>PG!$T$46</f>
        <v>803.58072939999988</v>
      </c>
      <c r="L179" s="39">
        <f>PG!$U$46</f>
        <v>785.57015939999985</v>
      </c>
      <c r="M179" s="39">
        <f>PG!$V$46</f>
        <v>849.5862239999999</v>
      </c>
      <c r="N179" s="39">
        <f>PG!$W$46</f>
        <v>863.60187399999995</v>
      </c>
    </row>
    <row r="180" spans="1:14" x14ac:dyDescent="0.25">
      <c r="A180" s="40" t="s">
        <v>50</v>
      </c>
      <c r="B180" s="40" t="str">
        <f>PG!$A$47</f>
        <v>PG 38:0</v>
      </c>
      <c r="C180" s="39" t="str">
        <f>PG!$L$47</f>
        <v>C44H87O10P1</v>
      </c>
      <c r="D180" s="39">
        <f>PG!$M$47</f>
        <v>806.60365319999994</v>
      </c>
      <c r="E180" s="39">
        <f>PG!$N$47</f>
        <v>807.61092780000001</v>
      </c>
      <c r="F180" s="39">
        <f>PG!$O$47</f>
        <v>789.59980780000001</v>
      </c>
      <c r="G180" s="39">
        <f>PG!$P$47</f>
        <v>824.63747319999993</v>
      </c>
      <c r="H180" s="39">
        <f>PG!$Q$47</f>
        <v>829.59287319999999</v>
      </c>
      <c r="I180" s="39">
        <f>PG!$R$47</f>
        <v>845.56681319999996</v>
      </c>
      <c r="J180" s="39">
        <f>PG!$S$47</f>
        <v>813.61911320000002</v>
      </c>
      <c r="K180" s="39">
        <f>PG!$T$47</f>
        <v>805.59637859999987</v>
      </c>
      <c r="L180" s="39">
        <f>PG!$U$47</f>
        <v>787.58580859999984</v>
      </c>
      <c r="M180" s="39">
        <f>PG!$V$47</f>
        <v>851.60187319999989</v>
      </c>
      <c r="N180" s="39">
        <f>PG!$W$47</f>
        <v>865.61752319999994</v>
      </c>
    </row>
    <row r="181" spans="1:14" x14ac:dyDescent="0.25">
      <c r="A181" s="40" t="s">
        <v>50</v>
      </c>
      <c r="B181" s="40">
        <f>PG!$A$48</f>
        <v>0</v>
      </c>
      <c r="C181" s="39">
        <f>PG!$L$48</f>
        <v>0</v>
      </c>
      <c r="D181" s="39">
        <f>PG!$M$48</f>
        <v>0</v>
      </c>
      <c r="E181" s="39">
        <f>PG!$N$48</f>
        <v>0</v>
      </c>
      <c r="F181" s="39">
        <f>PG!$O$48</f>
        <v>0</v>
      </c>
      <c r="G181" s="39">
        <f>PG!$P$48</f>
        <v>0</v>
      </c>
      <c r="H181" s="39">
        <f>PG!$Q$48</f>
        <v>0</v>
      </c>
      <c r="I181" s="39">
        <f>PG!$R$48</f>
        <v>0</v>
      </c>
      <c r="J181" s="39">
        <f>PG!$S$48</f>
        <v>0</v>
      </c>
      <c r="K181" s="39">
        <f>PG!$T$48</f>
        <v>0</v>
      </c>
      <c r="L181" s="39">
        <f>PG!$U$48</f>
        <v>0</v>
      </c>
      <c r="M181" s="39">
        <f>PG!$V$48</f>
        <v>0</v>
      </c>
      <c r="N181" s="39">
        <f>PG!$W$48</f>
        <v>0</v>
      </c>
    </row>
    <row r="182" spans="1:14" x14ac:dyDescent="0.25">
      <c r="A182" s="40" t="s">
        <v>50</v>
      </c>
      <c r="B182" s="40">
        <f>PG!$A$49</f>
        <v>0</v>
      </c>
      <c r="C182" s="39">
        <f>PG!$L$49</f>
        <v>0</v>
      </c>
      <c r="D182" s="39">
        <f>PG!$M$49</f>
        <v>0</v>
      </c>
      <c r="E182" s="39">
        <f>PG!$N$49</f>
        <v>0</v>
      </c>
      <c r="F182" s="39">
        <f>PG!$O$49</f>
        <v>0</v>
      </c>
      <c r="G182" s="39">
        <f>PG!$P$49</f>
        <v>0</v>
      </c>
      <c r="H182" s="39">
        <f>PG!$Q$49</f>
        <v>0</v>
      </c>
      <c r="I182" s="39">
        <f>PG!$R$49</f>
        <v>0</v>
      </c>
      <c r="J182" s="39">
        <f>PG!$S$49</f>
        <v>0</v>
      </c>
      <c r="K182" s="39">
        <f>PG!$T$49</f>
        <v>0</v>
      </c>
      <c r="L182" s="39">
        <f>PG!$U$49</f>
        <v>0</v>
      </c>
      <c r="M182" s="39">
        <f>PG!$V$49</f>
        <v>0</v>
      </c>
      <c r="N182" s="39">
        <f>PG!$W$49</f>
        <v>0</v>
      </c>
    </row>
    <row r="183" spans="1:14" x14ac:dyDescent="0.25">
      <c r="A183" s="40" t="s">
        <v>50</v>
      </c>
      <c r="B183" s="40">
        <f>PG!$A$50</f>
        <v>0</v>
      </c>
      <c r="C183" s="39">
        <f>PG!$L$50</f>
        <v>0</v>
      </c>
      <c r="D183" s="39">
        <f>PG!$M$50</f>
        <v>0</v>
      </c>
      <c r="E183" s="39">
        <f>PG!$N$50</f>
        <v>0</v>
      </c>
      <c r="F183" s="39">
        <f>PG!$O$50</f>
        <v>0</v>
      </c>
      <c r="G183" s="39">
        <f>PG!$P$50</f>
        <v>0</v>
      </c>
      <c r="H183" s="39">
        <f>PG!$Q$50</f>
        <v>0</v>
      </c>
      <c r="I183" s="39">
        <f>PG!$R$50</f>
        <v>0</v>
      </c>
      <c r="J183" s="39">
        <f>PG!$S$50</f>
        <v>0</v>
      </c>
      <c r="K183" s="39">
        <f>PG!$T$50</f>
        <v>0</v>
      </c>
      <c r="L183" s="39">
        <f>PG!$U$50</f>
        <v>0</v>
      </c>
      <c r="M183" s="39">
        <f>PG!$V$50</f>
        <v>0</v>
      </c>
      <c r="N183" s="39">
        <f>PG!$W$50</f>
        <v>0</v>
      </c>
    </row>
    <row r="184" spans="1:14" x14ac:dyDescent="0.25">
      <c r="A184" s="40" t="s">
        <v>50</v>
      </c>
      <c r="B184" s="40">
        <f>PG!$A$51</f>
        <v>0</v>
      </c>
      <c r="C184" s="39">
        <f>PG!$L$51</f>
        <v>0</v>
      </c>
      <c r="D184" s="39">
        <f>PG!$M$51</f>
        <v>0</v>
      </c>
      <c r="E184" s="39">
        <f>PG!$N$51</f>
        <v>0</v>
      </c>
      <c r="F184" s="39">
        <f>PG!$O$51</f>
        <v>0</v>
      </c>
      <c r="G184" s="39">
        <f>PG!$P$51</f>
        <v>0</v>
      </c>
      <c r="H184" s="39">
        <f>PG!$Q$51</f>
        <v>0</v>
      </c>
      <c r="I184" s="39">
        <f>PG!$R$51</f>
        <v>0</v>
      </c>
      <c r="J184" s="39">
        <f>PG!$S$51</f>
        <v>0</v>
      </c>
      <c r="K184" s="39">
        <f>PG!$T$51</f>
        <v>0</v>
      </c>
      <c r="L184" s="39">
        <f>PG!$U$51</f>
        <v>0</v>
      </c>
      <c r="M184" s="39">
        <f>PG!$V$51</f>
        <v>0</v>
      </c>
      <c r="N184" s="39">
        <f>PG!$W$51</f>
        <v>0</v>
      </c>
    </row>
    <row r="185" spans="1:14" x14ac:dyDescent="0.25">
      <c r="A185" s="40" t="s">
        <v>50</v>
      </c>
      <c r="B185" s="40">
        <f>PG!$A$52</f>
        <v>0</v>
      </c>
      <c r="C185" s="39">
        <f>PG!$L$52</f>
        <v>0</v>
      </c>
      <c r="D185" s="39">
        <f>PG!$M$52</f>
        <v>0</v>
      </c>
      <c r="E185" s="39">
        <f>PG!$N$52</f>
        <v>0</v>
      </c>
      <c r="F185" s="39">
        <f>PG!$O$52</f>
        <v>0</v>
      </c>
      <c r="G185" s="39">
        <f>PG!$P$52</f>
        <v>0</v>
      </c>
      <c r="H185" s="39">
        <f>PG!$Q$52</f>
        <v>0</v>
      </c>
      <c r="I185" s="39">
        <f>PG!$R$52</f>
        <v>0</v>
      </c>
      <c r="J185" s="39">
        <f>PG!$S$52</f>
        <v>0</v>
      </c>
      <c r="K185" s="39">
        <f>PG!$T$52</f>
        <v>0</v>
      </c>
      <c r="L185" s="39">
        <f>PG!$U$52</f>
        <v>0</v>
      </c>
      <c r="M185" s="39">
        <f>PG!$V$52</f>
        <v>0</v>
      </c>
      <c r="N185" s="39">
        <f>PG!$W$52</f>
        <v>0</v>
      </c>
    </row>
    <row r="186" spans="1:14" x14ac:dyDescent="0.25">
      <c r="A186" s="40" t="s">
        <v>50</v>
      </c>
      <c r="B186" s="40">
        <f>PG!$A$53</f>
        <v>0</v>
      </c>
      <c r="C186" s="39">
        <f>PG!$L$53</f>
        <v>0</v>
      </c>
      <c r="D186" s="39">
        <f>PG!$M$53</f>
        <v>0</v>
      </c>
      <c r="E186" s="39">
        <f>PG!$N$53</f>
        <v>0</v>
      </c>
      <c r="F186" s="39">
        <f>PG!$O$53</f>
        <v>0</v>
      </c>
      <c r="G186" s="39">
        <f>PG!$P$53</f>
        <v>0</v>
      </c>
      <c r="H186" s="39">
        <f>PG!$Q$53</f>
        <v>0</v>
      </c>
      <c r="I186" s="39">
        <f>PG!$R$53</f>
        <v>0</v>
      </c>
      <c r="J186" s="39">
        <f>PG!$S$53</f>
        <v>0</v>
      </c>
      <c r="K186" s="39">
        <f>PG!$T$53</f>
        <v>0</v>
      </c>
      <c r="L186" s="39">
        <f>PG!$U$53</f>
        <v>0</v>
      </c>
      <c r="M186" s="39">
        <f>PG!$V$53</f>
        <v>0</v>
      </c>
      <c r="N186" s="39">
        <f>PG!$W$53</f>
        <v>0</v>
      </c>
    </row>
    <row r="187" spans="1:14" x14ac:dyDescent="0.25">
      <c r="A187" s="40" t="s">
        <v>382</v>
      </c>
      <c r="B187" s="40" t="str">
        <f>LysylPG!$A$3</f>
        <v>LysylPG 24:0</v>
      </c>
      <c r="C187" s="39" t="str">
        <f>LysylPG!$L$3</f>
        <v>C36H71N2O11P1</v>
      </c>
      <c r="D187" s="39">
        <f>LysylPG!$M$3</f>
        <v>738.4795226</v>
      </c>
      <c r="E187" s="39">
        <f>LysylPG!$N$3</f>
        <v>739.48679720000007</v>
      </c>
      <c r="F187" s="39">
        <f>LysylPG!$O$3</f>
        <v>721.47567720000006</v>
      </c>
      <c r="G187" s="39">
        <f>LysylPG!$P$3</f>
        <v>756.51334259999999</v>
      </c>
      <c r="H187" s="39">
        <f>LysylPG!$Q$3</f>
        <v>761.46874260000004</v>
      </c>
      <c r="I187" s="39">
        <f>LysylPG!$R$3</f>
        <v>777.44268260000001</v>
      </c>
      <c r="J187" s="39">
        <f>LysylPG!$S$3</f>
        <v>745.49498260000007</v>
      </c>
      <c r="K187" s="39">
        <f>LysylPG!$T$3</f>
        <v>737.47224799999992</v>
      </c>
      <c r="L187" s="39">
        <f>LysylPG!$U$3</f>
        <v>783.47774259999994</v>
      </c>
      <c r="M187" s="39">
        <f>LysylPG!$V$3</f>
        <v>797.49339259999999</v>
      </c>
      <c r="N187" s="39">
        <f>LysylPG!$W$3</f>
        <v>773.44782559999999</v>
      </c>
    </row>
    <row r="188" spans="1:14" x14ac:dyDescent="0.25">
      <c r="A188" s="40" t="s">
        <v>382</v>
      </c>
      <c r="B188" s="40" t="str">
        <f>LysylPG!$A$4</f>
        <v>LysylPG 25:0</v>
      </c>
      <c r="C188" s="39" t="str">
        <f>LysylPG!$L$4</f>
        <v>C37H73N2O11P1</v>
      </c>
      <c r="D188" s="39">
        <f>LysylPG!$M$4</f>
        <v>752.49517179999998</v>
      </c>
      <c r="E188" s="39">
        <f>LysylPG!$N$4</f>
        <v>753.50244640000005</v>
      </c>
      <c r="F188" s="39">
        <f>LysylPG!$O$4</f>
        <v>735.49132640000005</v>
      </c>
      <c r="G188" s="39">
        <f>LysylPG!$P$4</f>
        <v>770.52899179999997</v>
      </c>
      <c r="H188" s="39">
        <f>LysylPG!$Q$4</f>
        <v>775.48439180000003</v>
      </c>
      <c r="I188" s="39">
        <f>LysylPG!$R$4</f>
        <v>791.4583318</v>
      </c>
      <c r="J188" s="39">
        <f>LysylPG!$S$4</f>
        <v>759.51063180000006</v>
      </c>
      <c r="K188" s="39">
        <f>LysylPG!$T$4</f>
        <v>751.48789719999991</v>
      </c>
      <c r="L188" s="39">
        <f>LysylPG!$U$4</f>
        <v>797.49339179999993</v>
      </c>
      <c r="M188" s="39">
        <f>LysylPG!$V$4</f>
        <v>811.50904179999998</v>
      </c>
      <c r="N188" s="39">
        <f>LysylPG!$W$4</f>
        <v>787.46347479999997</v>
      </c>
    </row>
    <row r="189" spans="1:14" x14ac:dyDescent="0.25">
      <c r="A189" s="40" t="s">
        <v>382</v>
      </c>
      <c r="B189" s="40" t="str">
        <f>LysylPG!$A$5</f>
        <v>LysylPG 26:0</v>
      </c>
      <c r="C189" s="39" t="str">
        <f>LysylPG!$L$5</f>
        <v>C38H75N2O11P1</v>
      </c>
      <c r="D189" s="39">
        <f>LysylPG!$M$5</f>
        <v>766.51082100000008</v>
      </c>
      <c r="E189" s="39">
        <f>LysylPG!$N$5</f>
        <v>767.51809560000015</v>
      </c>
      <c r="F189" s="39">
        <f>LysylPG!$O$5</f>
        <v>749.50697560000015</v>
      </c>
      <c r="G189" s="39">
        <f>LysylPG!$P$5</f>
        <v>784.54464100000007</v>
      </c>
      <c r="H189" s="39">
        <f>LysylPG!$Q$5</f>
        <v>789.50004100000012</v>
      </c>
      <c r="I189" s="39">
        <f>LysylPG!$R$5</f>
        <v>805.47398100000009</v>
      </c>
      <c r="J189" s="39">
        <f>LysylPG!$S$5</f>
        <v>773.52628100000015</v>
      </c>
      <c r="K189" s="39">
        <f>LysylPG!$T$5</f>
        <v>765.5035464</v>
      </c>
      <c r="L189" s="39">
        <f>LysylPG!$U$5</f>
        <v>811.50904100000002</v>
      </c>
      <c r="M189" s="39">
        <f>LysylPG!$V$5</f>
        <v>825.52469100000008</v>
      </c>
      <c r="N189" s="39">
        <f>LysylPG!$W$5</f>
        <v>801.47912400000007</v>
      </c>
    </row>
    <row r="190" spans="1:14" x14ac:dyDescent="0.25">
      <c r="A190" s="40" t="s">
        <v>382</v>
      </c>
      <c r="B190" s="40" t="str">
        <f>LysylPG!$A$6</f>
        <v>LysylPG 27:0</v>
      </c>
      <c r="C190" s="39" t="str">
        <f>LysylPG!$L$6</f>
        <v>C39H77N2O11P1</v>
      </c>
      <c r="D190" s="39">
        <f>LysylPG!$M$6</f>
        <v>780.52647020000006</v>
      </c>
      <c r="E190" s="39">
        <f>LysylPG!$N$6</f>
        <v>781.53374480000014</v>
      </c>
      <c r="F190" s="39">
        <f>LysylPG!$O$6</f>
        <v>763.52262480000013</v>
      </c>
      <c r="G190" s="39">
        <f>LysylPG!$P$6</f>
        <v>798.56029020000005</v>
      </c>
      <c r="H190" s="39">
        <f>LysylPG!$Q$6</f>
        <v>803.51569020000011</v>
      </c>
      <c r="I190" s="39">
        <f>LysylPG!$R$6</f>
        <v>819.48963020000008</v>
      </c>
      <c r="J190" s="39">
        <f>LysylPG!$S$6</f>
        <v>787.54193020000014</v>
      </c>
      <c r="K190" s="39">
        <f>LysylPG!$T$6</f>
        <v>779.51919559999999</v>
      </c>
      <c r="L190" s="39">
        <f>LysylPG!$U$6</f>
        <v>825.52469020000001</v>
      </c>
      <c r="M190" s="39">
        <f>LysylPG!$V$6</f>
        <v>839.54034020000006</v>
      </c>
      <c r="N190" s="39">
        <f>LysylPG!$W$6</f>
        <v>815.49477320000005</v>
      </c>
    </row>
    <row r="191" spans="1:14" x14ac:dyDescent="0.25">
      <c r="A191" s="40" t="s">
        <v>382</v>
      </c>
      <c r="B191" s="40" t="str">
        <f>LysylPG!$A$7</f>
        <v>LysylPG 28:0</v>
      </c>
      <c r="C191" s="39" t="str">
        <f>LysylPG!$L$7</f>
        <v>C40H79N2O11P1</v>
      </c>
      <c r="D191" s="39">
        <f>LysylPG!$M$7</f>
        <v>794.54211940000005</v>
      </c>
      <c r="E191" s="39">
        <f>LysylPG!$N$7</f>
        <v>795.54939400000012</v>
      </c>
      <c r="F191" s="39">
        <f>LysylPG!$O$7</f>
        <v>777.53827400000011</v>
      </c>
      <c r="G191" s="39">
        <f>LysylPG!$P$7</f>
        <v>812.57593940000004</v>
      </c>
      <c r="H191" s="39">
        <f>LysylPG!$Q$7</f>
        <v>817.53133940000009</v>
      </c>
      <c r="I191" s="39">
        <f>LysylPG!$R$7</f>
        <v>833.50527940000006</v>
      </c>
      <c r="J191" s="39">
        <f>LysylPG!$S$7</f>
        <v>801.55757940000012</v>
      </c>
      <c r="K191" s="39">
        <f>LysylPG!$T$7</f>
        <v>793.53484479999997</v>
      </c>
      <c r="L191" s="39">
        <f>LysylPG!$U$7</f>
        <v>839.54033939999999</v>
      </c>
      <c r="M191" s="39">
        <f>LysylPG!$V$7</f>
        <v>853.55598940000004</v>
      </c>
      <c r="N191" s="39">
        <f>LysylPG!$W$7</f>
        <v>829.51042240000004</v>
      </c>
    </row>
    <row r="192" spans="1:14" x14ac:dyDescent="0.25">
      <c r="A192" s="40" t="s">
        <v>382</v>
      </c>
      <c r="B192" s="40" t="str">
        <f>LysylPG!$A$8</f>
        <v>LysylPG 29:1</v>
      </c>
      <c r="C192" s="39" t="str">
        <f>LysylPG!$L$8</f>
        <v>C41H79N2O11P1</v>
      </c>
      <c r="D192" s="39">
        <f>LysylPG!$M$8</f>
        <v>806.54211940000005</v>
      </c>
      <c r="E192" s="39">
        <f>LysylPG!$N$8</f>
        <v>807.54939400000012</v>
      </c>
      <c r="F192" s="39">
        <f>LysylPG!$O$8</f>
        <v>789.53827400000011</v>
      </c>
      <c r="G192" s="39">
        <f>LysylPG!$P$8</f>
        <v>824.57593940000004</v>
      </c>
      <c r="H192" s="39">
        <f>LysylPG!$Q$8</f>
        <v>829.53133940000009</v>
      </c>
      <c r="I192" s="39">
        <f>LysylPG!$R$8</f>
        <v>845.50527940000006</v>
      </c>
      <c r="J192" s="39">
        <f>LysylPG!$S$8</f>
        <v>813.55757940000012</v>
      </c>
      <c r="K192" s="39">
        <f>LysylPG!$T$8</f>
        <v>805.53484479999997</v>
      </c>
      <c r="L192" s="39">
        <f>LysylPG!$U$8</f>
        <v>851.54033939999999</v>
      </c>
      <c r="M192" s="39">
        <f>LysylPG!$V$8</f>
        <v>865.55598940000004</v>
      </c>
      <c r="N192" s="39">
        <f>LysylPG!$W$8</f>
        <v>841.51042240000004</v>
      </c>
    </row>
    <row r="193" spans="1:14" x14ac:dyDescent="0.25">
      <c r="A193" s="40" t="s">
        <v>382</v>
      </c>
      <c r="B193" s="40" t="str">
        <f>LysylPG!$A$9</f>
        <v>LysylPG 29:0</v>
      </c>
      <c r="C193" s="39" t="str">
        <f>LysylPG!$L$9</f>
        <v>C41H81N2O11P1</v>
      </c>
      <c r="D193" s="39">
        <f>LysylPG!$M$9</f>
        <v>808.55776860000003</v>
      </c>
      <c r="E193" s="39">
        <f>LysylPG!$N$9</f>
        <v>809.5650432000001</v>
      </c>
      <c r="F193" s="39">
        <f>LysylPG!$O$9</f>
        <v>791.5539232000001</v>
      </c>
      <c r="G193" s="39">
        <f>LysylPG!$P$9</f>
        <v>826.59158860000002</v>
      </c>
      <c r="H193" s="39">
        <f>LysylPG!$Q$9</f>
        <v>831.54698860000008</v>
      </c>
      <c r="I193" s="39">
        <f>LysylPG!$R$9</f>
        <v>847.52092860000005</v>
      </c>
      <c r="J193" s="39">
        <f>LysylPG!$S$9</f>
        <v>815.57322860000011</v>
      </c>
      <c r="K193" s="39">
        <f>LysylPG!$T$9</f>
        <v>807.55049399999996</v>
      </c>
      <c r="L193" s="39">
        <f>LysylPG!$U$9</f>
        <v>853.55598859999998</v>
      </c>
      <c r="M193" s="39">
        <f>LysylPG!$V$9</f>
        <v>867.57163860000003</v>
      </c>
      <c r="N193" s="39">
        <f>LysylPG!$W$9</f>
        <v>843.52607160000002</v>
      </c>
    </row>
    <row r="194" spans="1:14" x14ac:dyDescent="0.25">
      <c r="A194" s="40" t="s">
        <v>382</v>
      </c>
      <c r="B194" s="40" t="str">
        <f>LysylPG!$A$10</f>
        <v>LysylPG 30:2</v>
      </c>
      <c r="C194" s="39" t="str">
        <f>LysylPG!$L$10</f>
        <v>C42H79N2O11P1</v>
      </c>
      <c r="D194" s="39">
        <f>LysylPG!$M$10</f>
        <v>818.54211940000005</v>
      </c>
      <c r="E194" s="39">
        <f>LysylPG!$N$10</f>
        <v>819.54939400000012</v>
      </c>
      <c r="F194" s="39">
        <f>LysylPG!$O$10</f>
        <v>801.53827400000011</v>
      </c>
      <c r="G194" s="39">
        <f>LysylPG!$P$10</f>
        <v>836.57593940000004</v>
      </c>
      <c r="H194" s="39">
        <f>LysylPG!$Q$10</f>
        <v>841.53133940000009</v>
      </c>
      <c r="I194" s="39">
        <f>LysylPG!$R$10</f>
        <v>857.50527940000006</v>
      </c>
      <c r="J194" s="39">
        <f>LysylPG!$S$10</f>
        <v>825.55757940000012</v>
      </c>
      <c r="K194" s="39">
        <f>LysylPG!$T$10</f>
        <v>817.53484479999997</v>
      </c>
      <c r="L194" s="39">
        <f>LysylPG!$U$10</f>
        <v>863.54033939999999</v>
      </c>
      <c r="M194" s="39">
        <f>LysylPG!$V$10</f>
        <v>877.55598940000004</v>
      </c>
      <c r="N194" s="39">
        <f>LysylPG!$W$10</f>
        <v>853.51042240000004</v>
      </c>
    </row>
    <row r="195" spans="1:14" x14ac:dyDescent="0.25">
      <c r="A195" s="40" t="s">
        <v>382</v>
      </c>
      <c r="B195" s="40" t="str">
        <f>LysylPG!$A$11</f>
        <v>LysylPG 30:1</v>
      </c>
      <c r="C195" s="39" t="str">
        <f>LysylPG!$L$11</f>
        <v>C42H81N2O11P1</v>
      </c>
      <c r="D195" s="39">
        <f>LysylPG!$M$11</f>
        <v>820.55776860000003</v>
      </c>
      <c r="E195" s="39">
        <f>LysylPG!$N$11</f>
        <v>821.5650432000001</v>
      </c>
      <c r="F195" s="39">
        <f>LysylPG!$O$11</f>
        <v>803.5539232000001</v>
      </c>
      <c r="G195" s="39">
        <f>LysylPG!$P$11</f>
        <v>838.59158860000002</v>
      </c>
      <c r="H195" s="39">
        <f>LysylPG!$Q$11</f>
        <v>843.54698860000008</v>
      </c>
      <c r="I195" s="39">
        <f>LysylPG!$R$11</f>
        <v>859.52092860000005</v>
      </c>
      <c r="J195" s="39">
        <f>LysylPG!$S$11</f>
        <v>827.57322860000011</v>
      </c>
      <c r="K195" s="39">
        <f>LysylPG!$T$11</f>
        <v>819.55049399999996</v>
      </c>
      <c r="L195" s="39">
        <f>LysylPG!$U$11</f>
        <v>865.55598859999998</v>
      </c>
      <c r="M195" s="39">
        <f>LysylPG!$V$11</f>
        <v>879.57163860000003</v>
      </c>
      <c r="N195" s="39">
        <f>LysylPG!$W$11</f>
        <v>855.52607160000002</v>
      </c>
    </row>
    <row r="196" spans="1:14" x14ac:dyDescent="0.25">
      <c r="A196" s="40" t="s">
        <v>382</v>
      </c>
      <c r="B196" s="40" t="str">
        <f>LysylPG!$A$12</f>
        <v>LysylPG 30:0</v>
      </c>
      <c r="C196" s="39" t="str">
        <f>LysylPG!$L$12</f>
        <v>C42H83N2O11P1</v>
      </c>
      <c r="D196" s="39">
        <f>LysylPG!$M$12</f>
        <v>822.57341780000002</v>
      </c>
      <c r="E196" s="39">
        <f>LysylPG!$N$12</f>
        <v>823.58069240000009</v>
      </c>
      <c r="F196" s="39">
        <f>LysylPG!$O$12</f>
        <v>805.56957240000008</v>
      </c>
      <c r="G196" s="39">
        <f>LysylPG!$P$12</f>
        <v>840.60723780000001</v>
      </c>
      <c r="H196" s="39">
        <f>LysylPG!$Q$12</f>
        <v>845.56263780000006</v>
      </c>
      <c r="I196" s="39">
        <f>LysylPG!$R$12</f>
        <v>861.53657780000003</v>
      </c>
      <c r="J196" s="39">
        <f>LysylPG!$S$12</f>
        <v>829.58887780000009</v>
      </c>
      <c r="K196" s="39">
        <f>LysylPG!$T$12</f>
        <v>821.56614319999994</v>
      </c>
      <c r="L196" s="39">
        <f>LysylPG!$U$12</f>
        <v>867.57163779999996</v>
      </c>
      <c r="M196" s="39">
        <f>LysylPG!$V$12</f>
        <v>881.58728780000001</v>
      </c>
      <c r="N196" s="39">
        <f>LysylPG!$W$12</f>
        <v>857.54172080000001</v>
      </c>
    </row>
    <row r="197" spans="1:14" x14ac:dyDescent="0.25">
      <c r="A197" s="40" t="s">
        <v>382</v>
      </c>
      <c r="B197" s="40" t="str">
        <f>LysylPG!$A$13</f>
        <v>LysylPG 31:2</v>
      </c>
      <c r="C197" s="39" t="str">
        <f>LysylPG!$L$13</f>
        <v>C43H81N2O11P1</v>
      </c>
      <c r="D197" s="39">
        <f>LysylPG!$M$13</f>
        <v>832.55776860000003</v>
      </c>
      <c r="E197" s="39">
        <f>LysylPG!$N$13</f>
        <v>833.5650432000001</v>
      </c>
      <c r="F197" s="39">
        <f>LysylPG!$O$13</f>
        <v>815.5539232000001</v>
      </c>
      <c r="G197" s="39">
        <f>LysylPG!$P$13</f>
        <v>850.59158860000002</v>
      </c>
      <c r="H197" s="39">
        <f>LysylPG!$Q$13</f>
        <v>855.54698860000008</v>
      </c>
      <c r="I197" s="39">
        <f>LysylPG!$R$13</f>
        <v>871.52092860000005</v>
      </c>
      <c r="J197" s="39">
        <f>LysylPG!$S$13</f>
        <v>839.57322860000011</v>
      </c>
      <c r="K197" s="39">
        <f>LysylPG!$T$13</f>
        <v>831.55049399999996</v>
      </c>
      <c r="L197" s="39">
        <f>LysylPG!$U$13</f>
        <v>877.55598859999998</v>
      </c>
      <c r="M197" s="39">
        <f>LysylPG!$V$13</f>
        <v>891.57163860000003</v>
      </c>
      <c r="N197" s="39">
        <f>LysylPG!$W$13</f>
        <v>867.52607160000002</v>
      </c>
    </row>
    <row r="198" spans="1:14" x14ac:dyDescent="0.25">
      <c r="A198" s="40" t="s">
        <v>382</v>
      </c>
      <c r="B198" s="40" t="str">
        <f>LysylPG!$A$14</f>
        <v>LysylPG 31:1</v>
      </c>
      <c r="C198" s="39" t="str">
        <f>LysylPG!$L$14</f>
        <v>C43H83N2O11P1</v>
      </c>
      <c r="D198" s="39">
        <f>LysylPG!$M$14</f>
        <v>834.57341780000002</v>
      </c>
      <c r="E198" s="39">
        <f>LysylPG!$N$14</f>
        <v>835.58069240000009</v>
      </c>
      <c r="F198" s="39">
        <f>LysylPG!$O$14</f>
        <v>817.56957240000008</v>
      </c>
      <c r="G198" s="39">
        <f>LysylPG!$P$14</f>
        <v>852.60723780000001</v>
      </c>
      <c r="H198" s="39">
        <f>LysylPG!$Q$14</f>
        <v>857.56263780000006</v>
      </c>
      <c r="I198" s="39">
        <f>LysylPG!$R$14</f>
        <v>873.53657780000003</v>
      </c>
      <c r="J198" s="39">
        <f>LysylPG!$S$14</f>
        <v>841.58887780000009</v>
      </c>
      <c r="K198" s="39">
        <f>LysylPG!$T$14</f>
        <v>833.56614319999994</v>
      </c>
      <c r="L198" s="39">
        <f>LysylPG!$U$14</f>
        <v>879.57163779999996</v>
      </c>
      <c r="M198" s="39">
        <f>LysylPG!$V$14</f>
        <v>893.58728780000001</v>
      </c>
      <c r="N198" s="39">
        <f>LysylPG!$W$14</f>
        <v>869.54172080000001</v>
      </c>
    </row>
    <row r="199" spans="1:14" x14ac:dyDescent="0.25">
      <c r="A199" s="40" t="s">
        <v>382</v>
      </c>
      <c r="B199" s="40" t="str">
        <f>LysylPG!$A$15</f>
        <v>LysylPG 31:0</v>
      </c>
      <c r="C199" s="39" t="str">
        <f>LysylPG!$L$15</f>
        <v>C43H85N2O11P1</v>
      </c>
      <c r="D199" s="39">
        <f>LysylPG!$M$15</f>
        <v>836.589067</v>
      </c>
      <c r="E199" s="39">
        <f>LysylPG!$N$15</f>
        <v>837.59634160000007</v>
      </c>
      <c r="F199" s="39">
        <f>LysylPG!$O$15</f>
        <v>819.58522160000007</v>
      </c>
      <c r="G199" s="39">
        <f>LysylPG!$P$15</f>
        <v>854.62288699999999</v>
      </c>
      <c r="H199" s="39">
        <f>LysylPG!$Q$15</f>
        <v>859.57828700000005</v>
      </c>
      <c r="I199" s="39">
        <f>LysylPG!$R$15</f>
        <v>875.55222700000002</v>
      </c>
      <c r="J199" s="39">
        <f>LysylPG!$S$15</f>
        <v>843.60452700000008</v>
      </c>
      <c r="K199" s="39">
        <f>LysylPG!$T$15</f>
        <v>835.58179239999993</v>
      </c>
      <c r="L199" s="39">
        <f>LysylPG!$U$15</f>
        <v>881.58728699999995</v>
      </c>
      <c r="M199" s="39">
        <f>LysylPG!$V$15</f>
        <v>895.602937</v>
      </c>
      <c r="N199" s="39">
        <f>LysylPG!$W$15</f>
        <v>871.55736999999999</v>
      </c>
    </row>
    <row r="200" spans="1:14" x14ac:dyDescent="0.25">
      <c r="A200" s="40" t="s">
        <v>382</v>
      </c>
      <c r="B200" s="40" t="str">
        <f>LysylPG!$A$16</f>
        <v>LysylPG 32:2</v>
      </c>
      <c r="C200" s="39" t="str">
        <f>LysylPG!$L$16</f>
        <v>C44H83N2O11P1</v>
      </c>
      <c r="D200" s="39">
        <f>LysylPG!$M$16</f>
        <v>846.57341780000002</v>
      </c>
      <c r="E200" s="39">
        <f>LysylPG!$N$16</f>
        <v>847.58069240000009</v>
      </c>
      <c r="F200" s="39">
        <f>LysylPG!$O$16</f>
        <v>829.56957240000008</v>
      </c>
      <c r="G200" s="39">
        <f>LysylPG!$P$16</f>
        <v>864.60723780000001</v>
      </c>
      <c r="H200" s="39">
        <f>LysylPG!$Q$16</f>
        <v>869.56263780000006</v>
      </c>
      <c r="I200" s="39">
        <f>LysylPG!$R$16</f>
        <v>885.53657780000003</v>
      </c>
      <c r="J200" s="39">
        <f>LysylPG!$S$16</f>
        <v>853.58887780000009</v>
      </c>
      <c r="K200" s="39">
        <f>LysylPG!$T$16</f>
        <v>845.56614319999994</v>
      </c>
      <c r="L200" s="39">
        <f>LysylPG!$U$16</f>
        <v>891.57163779999996</v>
      </c>
      <c r="M200" s="39">
        <f>LysylPG!$V$16</f>
        <v>905.58728780000001</v>
      </c>
      <c r="N200" s="39">
        <f>LysylPG!$W$16</f>
        <v>881.54172080000001</v>
      </c>
    </row>
    <row r="201" spans="1:14" x14ac:dyDescent="0.25">
      <c r="A201" s="40" t="s">
        <v>382</v>
      </c>
      <c r="B201" s="40" t="str">
        <f>LysylPG!$A$17</f>
        <v>LysylPG 32:1</v>
      </c>
      <c r="C201" s="39" t="str">
        <f>LysylPG!$L$17</f>
        <v>C44H85N2O11P1</v>
      </c>
      <c r="D201" s="39">
        <f>LysylPG!$M$17</f>
        <v>848.589067</v>
      </c>
      <c r="E201" s="39">
        <f>LysylPG!$N$17</f>
        <v>849.59634160000007</v>
      </c>
      <c r="F201" s="39">
        <f>LysylPG!$O$17</f>
        <v>831.58522160000007</v>
      </c>
      <c r="G201" s="39">
        <f>LysylPG!$P$17</f>
        <v>866.62288699999999</v>
      </c>
      <c r="H201" s="39">
        <f>LysylPG!$Q$17</f>
        <v>871.57828700000005</v>
      </c>
      <c r="I201" s="39">
        <f>LysylPG!$R$17</f>
        <v>887.55222700000002</v>
      </c>
      <c r="J201" s="39">
        <f>LysylPG!$S$17</f>
        <v>855.60452700000008</v>
      </c>
      <c r="K201" s="39">
        <f>LysylPG!$T$17</f>
        <v>847.58179239999993</v>
      </c>
      <c r="L201" s="39">
        <f>LysylPG!$U$17</f>
        <v>893.58728699999995</v>
      </c>
      <c r="M201" s="39">
        <f>LysylPG!$V$17</f>
        <v>907.602937</v>
      </c>
      <c r="N201" s="39">
        <f>LysylPG!$W$17</f>
        <v>883.55736999999999</v>
      </c>
    </row>
    <row r="202" spans="1:14" x14ac:dyDescent="0.25">
      <c r="A202" s="40" t="s">
        <v>382</v>
      </c>
      <c r="B202" s="40" t="str">
        <f>LysylPG!$A$18</f>
        <v>LysylPG 32:0</v>
      </c>
      <c r="C202" s="39" t="str">
        <f>LysylPG!$L$18</f>
        <v>C44H87N2O11P1</v>
      </c>
      <c r="D202" s="39">
        <f>LysylPG!$M$18</f>
        <v>850.60471619999998</v>
      </c>
      <c r="E202" s="39">
        <f>LysylPG!$N$18</f>
        <v>851.61199080000006</v>
      </c>
      <c r="F202" s="39">
        <f>LysylPG!$O$18</f>
        <v>833.60087080000005</v>
      </c>
      <c r="G202" s="39">
        <f>LysylPG!$P$18</f>
        <v>868.63853619999998</v>
      </c>
      <c r="H202" s="39">
        <f>LysylPG!$Q$18</f>
        <v>873.59393620000003</v>
      </c>
      <c r="I202" s="39">
        <f>LysylPG!$R$18</f>
        <v>889.5678762</v>
      </c>
      <c r="J202" s="39">
        <f>LysylPG!$S$18</f>
        <v>857.62017620000006</v>
      </c>
      <c r="K202" s="39">
        <f>LysylPG!$T$18</f>
        <v>849.59744159999991</v>
      </c>
      <c r="L202" s="39">
        <f>LysylPG!$U$18</f>
        <v>895.60293619999993</v>
      </c>
      <c r="M202" s="39">
        <f>LysylPG!$V$18</f>
        <v>909.61858619999998</v>
      </c>
      <c r="N202" s="39">
        <f>LysylPG!$W$18</f>
        <v>885.57301919999998</v>
      </c>
    </row>
    <row r="203" spans="1:14" x14ac:dyDescent="0.25">
      <c r="A203" s="40" t="s">
        <v>382</v>
      </c>
      <c r="B203" s="40" t="str">
        <f>LysylPG!$A$19</f>
        <v>LysylPG 27:0</v>
      </c>
      <c r="C203" s="39" t="str">
        <f>LysylPG!$L$19</f>
        <v>C39H77N2O11P1</v>
      </c>
      <c r="D203" s="39">
        <f>LysylPG!$M$19</f>
        <v>780.52647020000006</v>
      </c>
      <c r="E203" s="39">
        <f>LysylPG!$N$19</f>
        <v>781.53374480000014</v>
      </c>
      <c r="F203" s="39">
        <f>LysylPG!$O$19</f>
        <v>763.52262480000013</v>
      </c>
      <c r="G203" s="39">
        <f>LysylPG!$P$19</f>
        <v>798.56029020000005</v>
      </c>
      <c r="H203" s="39">
        <f>LysylPG!$Q$19</f>
        <v>803.51569020000011</v>
      </c>
      <c r="I203" s="39">
        <f>LysylPG!$R$19</f>
        <v>819.48963020000008</v>
      </c>
      <c r="J203" s="39">
        <f>LysylPG!$S$19</f>
        <v>787.54193020000014</v>
      </c>
      <c r="K203" s="39">
        <f>LysylPG!$T$19</f>
        <v>779.51919559999999</v>
      </c>
      <c r="L203" s="39">
        <f>LysylPG!$U$19</f>
        <v>825.52469020000001</v>
      </c>
      <c r="M203" s="39">
        <f>LysylPG!$V$19</f>
        <v>839.54034020000006</v>
      </c>
      <c r="N203" s="39">
        <f>LysylPG!$W$19</f>
        <v>0</v>
      </c>
    </row>
    <row r="204" spans="1:14" x14ac:dyDescent="0.25">
      <c r="A204" s="40" t="s">
        <v>382</v>
      </c>
      <c r="B204" s="40" t="str">
        <f>LysylPG!$A$20</f>
        <v>LysylPG 26:0</v>
      </c>
      <c r="C204" s="39" t="str">
        <f>LysylPG!$L$20</f>
        <v>C38H75N2O11P1</v>
      </c>
      <c r="D204" s="39">
        <f>LysylPG!$M$20</f>
        <v>766.51082100000008</v>
      </c>
      <c r="E204" s="39">
        <f>LysylPG!$N$20</f>
        <v>767.51809560000015</v>
      </c>
      <c r="F204" s="39">
        <f>LysylPG!$O$20</f>
        <v>749.50697560000015</v>
      </c>
      <c r="G204" s="39">
        <f>LysylPG!$P$20</f>
        <v>784.54464100000007</v>
      </c>
      <c r="H204" s="39">
        <f>LysylPG!$Q$20</f>
        <v>789.50004100000012</v>
      </c>
      <c r="I204" s="39">
        <f>LysylPG!$R$20</f>
        <v>805.47398100000009</v>
      </c>
      <c r="J204" s="39">
        <f>LysylPG!$S$20</f>
        <v>773.52628100000015</v>
      </c>
      <c r="K204" s="39">
        <f>LysylPG!$T$20</f>
        <v>765.5035464</v>
      </c>
      <c r="L204" s="39">
        <f>LysylPG!$U$20</f>
        <v>811.50904100000002</v>
      </c>
      <c r="M204" s="39">
        <f>LysylPG!$V$20</f>
        <v>825.52469100000008</v>
      </c>
      <c r="N204" s="39">
        <f>LysylPG!$W$20</f>
        <v>0</v>
      </c>
    </row>
    <row r="205" spans="1:14" x14ac:dyDescent="0.25">
      <c r="A205" s="40" t="s">
        <v>382</v>
      </c>
      <c r="B205" s="40" t="str">
        <f>LysylPG!$A$21</f>
        <v>LysylPG 25:0</v>
      </c>
      <c r="C205" s="39" t="str">
        <f>LysylPG!$L$21</f>
        <v>C37H73N2O11P1</v>
      </c>
      <c r="D205" s="39">
        <f>LysylPG!$M$21</f>
        <v>752.49517179999998</v>
      </c>
      <c r="E205" s="39">
        <f>LysylPG!$N$21</f>
        <v>753.50244640000005</v>
      </c>
      <c r="F205" s="39">
        <f>LysylPG!$O$21</f>
        <v>735.49132640000005</v>
      </c>
      <c r="G205" s="39">
        <f>LysylPG!$P$21</f>
        <v>770.52899179999997</v>
      </c>
      <c r="H205" s="39">
        <f>LysylPG!$Q$21</f>
        <v>775.48439180000003</v>
      </c>
      <c r="I205" s="39">
        <f>LysylPG!$R$21</f>
        <v>791.4583318</v>
      </c>
      <c r="J205" s="39">
        <f>LysylPG!$S$21</f>
        <v>759.51063180000006</v>
      </c>
      <c r="K205" s="39">
        <f>LysylPG!$T$21</f>
        <v>751.48789719999991</v>
      </c>
      <c r="L205" s="39">
        <f>LysylPG!$U$21</f>
        <v>797.49339179999993</v>
      </c>
      <c r="M205" s="39">
        <f>LysylPG!$V$21</f>
        <v>811.50904179999998</v>
      </c>
      <c r="N205" s="39">
        <f>LysylPG!$W$21</f>
        <v>0</v>
      </c>
    </row>
    <row r="206" spans="1:14" x14ac:dyDescent="0.25">
      <c r="A206" s="40" t="s">
        <v>382</v>
      </c>
      <c r="B206" s="40" t="str">
        <f>LysylPG!$A$22</f>
        <v>LysylPG 24:0</v>
      </c>
      <c r="C206" s="39" t="str">
        <f>LysylPG!$L$22</f>
        <v>C36H71N2O11P1</v>
      </c>
      <c r="D206" s="39">
        <f>LysylPG!$M$22</f>
        <v>738.4795226</v>
      </c>
      <c r="E206" s="39">
        <f>LysylPG!$N$22</f>
        <v>739.48679720000007</v>
      </c>
      <c r="F206" s="39">
        <f>LysylPG!$O$22</f>
        <v>721.47567720000006</v>
      </c>
      <c r="G206" s="39">
        <f>LysylPG!$P$22</f>
        <v>756.51334259999999</v>
      </c>
      <c r="H206" s="39">
        <f>LysylPG!$Q$22</f>
        <v>761.46874260000004</v>
      </c>
      <c r="I206" s="39">
        <f>LysylPG!$R$22</f>
        <v>777.44268260000001</v>
      </c>
      <c r="J206" s="39">
        <f>LysylPG!$S$22</f>
        <v>745.49498260000007</v>
      </c>
      <c r="K206" s="39">
        <f>LysylPG!$T$22</f>
        <v>737.47224799999992</v>
      </c>
      <c r="L206" s="39">
        <f>LysylPG!$U$22</f>
        <v>783.47774259999994</v>
      </c>
      <c r="M206" s="39">
        <f>LysylPG!$V$22</f>
        <v>797.49339259999999</v>
      </c>
      <c r="N206" s="39">
        <f>LysylPG!$W$22</f>
        <v>0</v>
      </c>
    </row>
    <row r="207" spans="1:14" x14ac:dyDescent="0.25">
      <c r="A207" s="40" t="s">
        <v>382</v>
      </c>
      <c r="B207" s="40" t="str">
        <f>LysylPG!$A$23</f>
        <v>LysylPG 23:0</v>
      </c>
      <c r="C207" s="39" t="str">
        <f>LysylPG!$L$23</f>
        <v>C35H69N2O11P1</v>
      </c>
      <c r="D207" s="39">
        <f>LysylPG!$M$23</f>
        <v>724.46387340000001</v>
      </c>
      <c r="E207" s="39">
        <f>LysylPG!$N$23</f>
        <v>725.47114800000008</v>
      </c>
      <c r="F207" s="39">
        <f>LysylPG!$O$23</f>
        <v>707.46002800000008</v>
      </c>
      <c r="G207" s="39">
        <f>LysylPG!$P$23</f>
        <v>742.4976934</v>
      </c>
      <c r="H207" s="39">
        <f>LysylPG!$Q$23</f>
        <v>747.45309340000006</v>
      </c>
      <c r="I207" s="39">
        <f>LysylPG!$R$23</f>
        <v>763.42703340000003</v>
      </c>
      <c r="J207" s="39">
        <f>LysylPG!$S$23</f>
        <v>731.47933340000009</v>
      </c>
      <c r="K207" s="39">
        <f>LysylPG!$T$23</f>
        <v>723.45659879999994</v>
      </c>
      <c r="L207" s="39">
        <f>LysylPG!$U$23</f>
        <v>769.46209339999996</v>
      </c>
      <c r="M207" s="39">
        <f>LysylPG!$V$23</f>
        <v>783.47774340000001</v>
      </c>
      <c r="N207" s="39">
        <f>LysylPG!$W$23</f>
        <v>0</v>
      </c>
    </row>
    <row r="208" spans="1:14" x14ac:dyDescent="0.25">
      <c r="A208" s="40" t="s">
        <v>382</v>
      </c>
      <c r="B208" s="40" t="str">
        <f>LysylPG!$A$24</f>
        <v>LysylPG 22:0</v>
      </c>
      <c r="C208" s="39" t="str">
        <f>LysylPG!$L$24</f>
        <v>C34H67N2O11P1</v>
      </c>
      <c r="D208" s="39">
        <f>LysylPG!$M$24</f>
        <v>710.44822419999991</v>
      </c>
      <c r="E208" s="39">
        <f>LysylPG!$N$24</f>
        <v>711.45549879999999</v>
      </c>
      <c r="F208" s="39">
        <f>LysylPG!$O$24</f>
        <v>693.44437879999998</v>
      </c>
      <c r="G208" s="39">
        <f>LysylPG!$P$24</f>
        <v>728.4820441999999</v>
      </c>
      <c r="H208" s="39">
        <f>LysylPG!$Q$24</f>
        <v>733.43744419999996</v>
      </c>
      <c r="I208" s="39">
        <f>LysylPG!$R$24</f>
        <v>749.41138419999993</v>
      </c>
      <c r="J208" s="39">
        <f>LysylPG!$S$24</f>
        <v>717.46368419999999</v>
      </c>
      <c r="K208" s="39">
        <f>LysylPG!$T$24</f>
        <v>709.44094959999984</v>
      </c>
      <c r="L208" s="39">
        <f>LysylPG!$U$24</f>
        <v>755.44644419999986</v>
      </c>
      <c r="M208" s="39">
        <f>LysylPG!$V$24</f>
        <v>769.46209419999991</v>
      </c>
      <c r="N208" s="39">
        <f>LysylPG!$W$24</f>
        <v>0</v>
      </c>
    </row>
    <row r="209" spans="1:14" x14ac:dyDescent="0.25">
      <c r="A209" s="40" t="s">
        <v>382</v>
      </c>
      <c r="B209" s="40" t="str">
        <f>LysylPG!$A$25</f>
        <v>LysylPG 25:1</v>
      </c>
      <c r="C209" s="39" t="str">
        <f>LysylPG!$L$25</f>
        <v>C37H71N2O11P1</v>
      </c>
      <c r="D209" s="39">
        <f>LysylPG!$M$25</f>
        <v>750.4795226</v>
      </c>
      <c r="E209" s="39">
        <f>LysylPG!$N$25</f>
        <v>751.48679720000007</v>
      </c>
      <c r="F209" s="39">
        <f>LysylPG!$O$25</f>
        <v>733.47567720000006</v>
      </c>
      <c r="G209" s="39">
        <f>LysylPG!$P$25</f>
        <v>768.51334259999999</v>
      </c>
      <c r="H209" s="39">
        <f>LysylPG!$Q$25</f>
        <v>773.46874260000004</v>
      </c>
      <c r="I209" s="39">
        <f>LysylPG!$R$25</f>
        <v>789.44268260000001</v>
      </c>
      <c r="J209" s="39">
        <f>LysylPG!$S$25</f>
        <v>757.49498260000007</v>
      </c>
      <c r="K209" s="39">
        <f>LysylPG!$T$25</f>
        <v>749.47224799999992</v>
      </c>
      <c r="L209" s="39">
        <f>LysylPG!$U$25</f>
        <v>795.47774259999994</v>
      </c>
      <c r="M209" s="39">
        <f>LysylPG!$V$25</f>
        <v>809.49339259999999</v>
      </c>
      <c r="N209" s="39">
        <f>LysylPG!$W$25</f>
        <v>0</v>
      </c>
    </row>
    <row r="210" spans="1:14" x14ac:dyDescent="0.25">
      <c r="A210" s="40" t="s">
        <v>382</v>
      </c>
      <c r="B210" s="40" t="str">
        <f>LysylPG!$A$26</f>
        <v>LysylPG 32:1</v>
      </c>
      <c r="C210" s="39" t="str">
        <f>LysylPG!$L$26</f>
        <v>C44H85N2O11P1</v>
      </c>
      <c r="D210" s="39">
        <f>LysylPG!$M$26</f>
        <v>848.589067</v>
      </c>
      <c r="E210" s="39">
        <f>LysylPG!$N$26</f>
        <v>849.59634160000007</v>
      </c>
      <c r="F210" s="39">
        <f>LysylPG!$O$26</f>
        <v>831.58522160000007</v>
      </c>
      <c r="G210" s="39">
        <f>LysylPG!$P$26</f>
        <v>866.62288699999999</v>
      </c>
      <c r="H210" s="39">
        <f>LysylPG!$Q$26</f>
        <v>871.57828700000005</v>
      </c>
      <c r="I210" s="39">
        <f>LysylPG!$R$26</f>
        <v>887.55222700000002</v>
      </c>
      <c r="J210" s="39">
        <f>LysylPG!$S$26</f>
        <v>855.60452700000008</v>
      </c>
      <c r="K210" s="39">
        <f>LysylPG!$T$26</f>
        <v>847.58179239999993</v>
      </c>
      <c r="L210" s="39">
        <f>LysylPG!$U$26</f>
        <v>893.58728699999995</v>
      </c>
      <c r="M210" s="39">
        <f>LysylPG!$V$26</f>
        <v>907.602937</v>
      </c>
      <c r="N210" s="39">
        <f>LysylPG!$W$26</f>
        <v>0</v>
      </c>
    </row>
    <row r="211" spans="1:14" x14ac:dyDescent="0.25">
      <c r="A211" s="40" t="s">
        <v>382</v>
      </c>
      <c r="B211" s="40" t="str">
        <f>LysylPG!$A$27</f>
        <v>LysylPG 35:1</v>
      </c>
      <c r="C211" s="39" t="str">
        <f>LysylPG!$L$27</f>
        <v>C47H91N2O11P1</v>
      </c>
      <c r="D211" s="39">
        <f>LysylPG!$M$27</f>
        <v>890.63601460000007</v>
      </c>
      <c r="E211" s="39">
        <f>LysylPG!$N$27</f>
        <v>891.64328920000014</v>
      </c>
      <c r="F211" s="39">
        <f>LysylPG!$O$27</f>
        <v>873.63216920000013</v>
      </c>
      <c r="G211" s="39">
        <f>LysylPG!$P$27</f>
        <v>908.66983460000006</v>
      </c>
      <c r="H211" s="39">
        <f>LysylPG!$Q$27</f>
        <v>913.62523460000011</v>
      </c>
      <c r="I211" s="39">
        <f>LysylPG!$R$27</f>
        <v>929.59917460000008</v>
      </c>
      <c r="J211" s="39">
        <f>LysylPG!$S$27</f>
        <v>897.65147460000014</v>
      </c>
      <c r="K211" s="39">
        <f>LysylPG!$T$27</f>
        <v>889.62873999999999</v>
      </c>
      <c r="L211" s="39">
        <f>LysylPG!$U$27</f>
        <v>935.63423460000001</v>
      </c>
      <c r="M211" s="39">
        <f>LysylPG!$V$27</f>
        <v>949.64988460000006</v>
      </c>
      <c r="N211" s="39">
        <f>LysylPG!$W$27</f>
        <v>0</v>
      </c>
    </row>
    <row r="212" spans="1:14" x14ac:dyDescent="0.25">
      <c r="A212" s="40" t="s">
        <v>382</v>
      </c>
      <c r="B212" s="40" t="str">
        <f>LysylPG!$A$28</f>
        <v>LysylPG 30:1</v>
      </c>
      <c r="C212" s="39" t="str">
        <f>LysylPG!$L$28</f>
        <v>C42H81N2O11P1</v>
      </c>
      <c r="D212" s="39">
        <f>LysylPG!$M$28</f>
        <v>820.55776860000003</v>
      </c>
      <c r="E212" s="39">
        <f>LysylPG!$N$28</f>
        <v>821.5650432000001</v>
      </c>
      <c r="F212" s="39">
        <f>LysylPG!$O$28</f>
        <v>803.5539232000001</v>
      </c>
      <c r="G212" s="39">
        <f>LysylPG!$P$28</f>
        <v>838.59158860000002</v>
      </c>
      <c r="H212" s="39">
        <f>LysylPG!$Q$28</f>
        <v>843.54698860000008</v>
      </c>
      <c r="I212" s="39">
        <f>LysylPG!$R$28</f>
        <v>859.52092860000005</v>
      </c>
      <c r="J212" s="39">
        <f>LysylPG!$S$28</f>
        <v>827.57322860000011</v>
      </c>
      <c r="K212" s="39">
        <f>LysylPG!$T$28</f>
        <v>819.55049399999996</v>
      </c>
      <c r="L212" s="39">
        <f>LysylPG!$U$28</f>
        <v>865.55598859999998</v>
      </c>
      <c r="M212" s="39">
        <f>LysylPG!$V$28</f>
        <v>879.57163860000003</v>
      </c>
      <c r="N212" s="39">
        <f>LysylPG!$W$28</f>
        <v>0</v>
      </c>
    </row>
    <row r="213" spans="1:14" x14ac:dyDescent="0.25">
      <c r="A213" s="40" t="s">
        <v>382</v>
      </c>
      <c r="B213" s="40" t="str">
        <f>LysylPG!$A$29</f>
        <v>LysylPG 33:2</v>
      </c>
      <c r="C213" s="39" t="str">
        <f>LysylPG!$L$29</f>
        <v>C45H85N2O11P1</v>
      </c>
      <c r="D213" s="39">
        <f>LysylPG!$M$29</f>
        <v>860.589067</v>
      </c>
      <c r="E213" s="39">
        <f>LysylPG!$N$29</f>
        <v>861.59634160000007</v>
      </c>
      <c r="F213" s="39">
        <f>LysylPG!$O$29</f>
        <v>843.58522160000007</v>
      </c>
      <c r="G213" s="39">
        <f>LysylPG!$P$29</f>
        <v>878.62288699999999</v>
      </c>
      <c r="H213" s="39">
        <f>LysylPG!$Q$29</f>
        <v>883.57828700000005</v>
      </c>
      <c r="I213" s="39">
        <f>LysylPG!$R$29</f>
        <v>899.55222700000002</v>
      </c>
      <c r="J213" s="39">
        <f>LysylPG!$S$29</f>
        <v>867.60452700000008</v>
      </c>
      <c r="K213" s="39">
        <f>LysylPG!$T$29</f>
        <v>859.58179239999993</v>
      </c>
      <c r="L213" s="39">
        <f>LysylPG!$U$29</f>
        <v>905.58728699999995</v>
      </c>
      <c r="M213" s="39">
        <f>LysylPG!$V$29</f>
        <v>919.602937</v>
      </c>
      <c r="N213" s="39">
        <f>LysylPG!$W$29</f>
        <v>895.55736999999999</v>
      </c>
    </row>
    <row r="214" spans="1:14" x14ac:dyDescent="0.25">
      <c r="A214" s="40" t="s">
        <v>382</v>
      </c>
      <c r="B214" s="40" t="str">
        <f>LysylPG!$A$30</f>
        <v>LysylPG 33:1</v>
      </c>
      <c r="C214" s="39" t="str">
        <f>LysylPG!$L$30</f>
        <v>C45H87N2O11P1</v>
      </c>
      <c r="D214" s="39">
        <f>LysylPG!$M$30</f>
        <v>862.60471619999998</v>
      </c>
      <c r="E214" s="39">
        <f>LysylPG!$N$30</f>
        <v>863.61199080000006</v>
      </c>
      <c r="F214" s="39">
        <f>LysylPG!$O$30</f>
        <v>845.60087080000005</v>
      </c>
      <c r="G214" s="39">
        <f>LysylPG!$P$30</f>
        <v>880.63853619999998</v>
      </c>
      <c r="H214" s="39">
        <f>LysylPG!$Q$30</f>
        <v>885.59393620000003</v>
      </c>
      <c r="I214" s="39">
        <f>LysylPG!$R$30</f>
        <v>901.5678762</v>
      </c>
      <c r="J214" s="39">
        <f>LysylPG!$S$30</f>
        <v>869.62017620000006</v>
      </c>
      <c r="K214" s="39">
        <f>LysylPG!$T$30</f>
        <v>861.59744159999991</v>
      </c>
      <c r="L214" s="39">
        <f>LysylPG!$U$30</f>
        <v>907.60293619999993</v>
      </c>
      <c r="M214" s="39">
        <f>LysylPG!$V$30</f>
        <v>921.61858619999998</v>
      </c>
      <c r="N214" s="39">
        <f>LysylPG!$W$30</f>
        <v>897.57301919999998</v>
      </c>
    </row>
    <row r="215" spans="1:14" x14ac:dyDescent="0.25">
      <c r="A215" s="40" t="s">
        <v>382</v>
      </c>
      <c r="B215" s="40" t="str">
        <f>LysylPG!$A$31</f>
        <v>LysylPG 33:0</v>
      </c>
      <c r="C215" s="39" t="str">
        <f>LysylPG!$L$31</f>
        <v>C45H89N2O11P1</v>
      </c>
      <c r="D215" s="39">
        <f>LysylPG!$M$31</f>
        <v>864.62036540000008</v>
      </c>
      <c r="E215" s="39">
        <f>LysylPG!$N$31</f>
        <v>865.62764000000016</v>
      </c>
      <c r="F215" s="39">
        <f>LysylPG!$O$31</f>
        <v>847.61652000000015</v>
      </c>
      <c r="G215" s="39">
        <f>LysylPG!$P$31</f>
        <v>882.65418540000007</v>
      </c>
      <c r="H215" s="39">
        <f>LysylPG!$Q$31</f>
        <v>887.60958540000013</v>
      </c>
      <c r="I215" s="39">
        <f>LysylPG!$R$31</f>
        <v>903.5835254000001</v>
      </c>
      <c r="J215" s="39">
        <f>LysylPG!$S$31</f>
        <v>871.63582540000016</v>
      </c>
      <c r="K215" s="39">
        <f>LysylPG!$T$31</f>
        <v>863.61309080000001</v>
      </c>
      <c r="L215" s="39">
        <f>LysylPG!$U$31</f>
        <v>909.61858540000003</v>
      </c>
      <c r="M215" s="39">
        <f>LysylPG!$V$31</f>
        <v>923.63423540000008</v>
      </c>
      <c r="N215" s="39">
        <f>LysylPG!$W$31</f>
        <v>899.58866840000007</v>
      </c>
    </row>
    <row r="216" spans="1:14" x14ac:dyDescent="0.25">
      <c r="A216" s="40" t="s">
        <v>382</v>
      </c>
      <c r="B216" s="40" t="str">
        <f>LysylPG!$A$32</f>
        <v>LysylPG 34:2</v>
      </c>
      <c r="C216" s="39" t="str">
        <f>LysylPG!$L$32</f>
        <v>C46H87N2O11P1</v>
      </c>
      <c r="D216" s="39">
        <f>LysylPG!$M$32</f>
        <v>874.60471619999998</v>
      </c>
      <c r="E216" s="39">
        <f>LysylPG!$N$32</f>
        <v>875.61199080000006</v>
      </c>
      <c r="F216" s="39">
        <f>LysylPG!$O$32</f>
        <v>857.60087080000005</v>
      </c>
      <c r="G216" s="39">
        <f>LysylPG!$P$32</f>
        <v>892.63853619999998</v>
      </c>
      <c r="H216" s="39">
        <f>LysylPG!$Q$32</f>
        <v>897.59393620000003</v>
      </c>
      <c r="I216" s="39">
        <f>LysylPG!$R$32</f>
        <v>913.5678762</v>
      </c>
      <c r="J216" s="39">
        <f>LysylPG!$S$32</f>
        <v>881.62017620000006</v>
      </c>
      <c r="K216" s="39">
        <f>LysylPG!$T$32</f>
        <v>873.59744159999991</v>
      </c>
      <c r="L216" s="39">
        <f>LysylPG!$U$32</f>
        <v>919.60293619999993</v>
      </c>
      <c r="M216" s="39">
        <f>LysylPG!$V$32</f>
        <v>933.61858619999998</v>
      </c>
      <c r="N216" s="39">
        <f>LysylPG!$W$32</f>
        <v>909.57301919999998</v>
      </c>
    </row>
    <row r="217" spans="1:14" x14ac:dyDescent="0.25">
      <c r="A217" s="40" t="s">
        <v>382</v>
      </c>
      <c r="B217" s="40" t="str">
        <f>LysylPG!$A$33</f>
        <v>LysylPG 34:1</v>
      </c>
      <c r="C217" s="39" t="str">
        <f>LysylPG!$L$33</f>
        <v>C46H89N2O11P1</v>
      </c>
      <c r="D217" s="39">
        <f>LysylPG!$M$33</f>
        <v>876.62036540000008</v>
      </c>
      <c r="E217" s="39">
        <f>LysylPG!$N$33</f>
        <v>877.62764000000016</v>
      </c>
      <c r="F217" s="39">
        <f>LysylPG!$O$33</f>
        <v>859.61652000000015</v>
      </c>
      <c r="G217" s="39">
        <f>LysylPG!$P$33</f>
        <v>894.65418540000007</v>
      </c>
      <c r="H217" s="39">
        <f>LysylPG!$Q$33</f>
        <v>899.60958540000013</v>
      </c>
      <c r="I217" s="39">
        <f>LysylPG!$R$33</f>
        <v>915.5835254000001</v>
      </c>
      <c r="J217" s="39">
        <f>LysylPG!$S$33</f>
        <v>883.63582540000016</v>
      </c>
      <c r="K217" s="39">
        <f>LysylPG!$T$33</f>
        <v>875.61309080000001</v>
      </c>
      <c r="L217" s="39">
        <f>LysylPG!$U$33</f>
        <v>921.61858540000003</v>
      </c>
      <c r="M217" s="39">
        <f>LysylPG!$V$33</f>
        <v>935.63423540000008</v>
      </c>
      <c r="N217" s="39">
        <f>LysylPG!$W$33</f>
        <v>911.58866840000007</v>
      </c>
    </row>
    <row r="218" spans="1:14" x14ac:dyDescent="0.25">
      <c r="A218" s="40" t="s">
        <v>382</v>
      </c>
      <c r="B218" s="40" t="str">
        <f>LysylPG!$A$34</f>
        <v>LysylPG 34:0</v>
      </c>
      <c r="C218" s="39" t="str">
        <f>LysylPG!$L$34</f>
        <v>C46H91N2O11P1</v>
      </c>
      <c r="D218" s="39">
        <f>LysylPG!$M$34</f>
        <v>878.63601460000007</v>
      </c>
      <c r="E218" s="39">
        <f>LysylPG!$N$34</f>
        <v>879.64328920000014</v>
      </c>
      <c r="F218" s="39">
        <f>LysylPG!$O$34</f>
        <v>861.63216920000013</v>
      </c>
      <c r="G218" s="39">
        <f>LysylPG!$P$34</f>
        <v>896.66983460000006</v>
      </c>
      <c r="H218" s="39">
        <f>LysylPG!$Q$34</f>
        <v>901.62523460000011</v>
      </c>
      <c r="I218" s="39">
        <f>LysylPG!$R$34</f>
        <v>917.59917460000008</v>
      </c>
      <c r="J218" s="39">
        <f>LysylPG!$S$34</f>
        <v>885.65147460000014</v>
      </c>
      <c r="K218" s="39">
        <f>LysylPG!$T$34</f>
        <v>877.62873999999999</v>
      </c>
      <c r="L218" s="39">
        <f>LysylPG!$U$34</f>
        <v>923.63423460000001</v>
      </c>
      <c r="M218" s="39">
        <f>LysylPG!$V$34</f>
        <v>937.64988460000006</v>
      </c>
      <c r="N218" s="39">
        <f>LysylPG!$W$34</f>
        <v>913.60431760000006</v>
      </c>
    </row>
    <row r="219" spans="1:14" x14ac:dyDescent="0.25">
      <c r="A219" s="40" t="s">
        <v>382</v>
      </c>
      <c r="B219" s="40" t="str">
        <f>LysylPG!$A$35</f>
        <v>LysylPG 35:2</v>
      </c>
      <c r="C219" s="39" t="str">
        <f>LysylPG!$L$35</f>
        <v>C47H89N2O11P1</v>
      </c>
      <c r="D219" s="39">
        <f>LysylPG!$M$35</f>
        <v>888.62036540000008</v>
      </c>
      <c r="E219" s="39">
        <f>LysylPG!$N$35</f>
        <v>889.62764000000016</v>
      </c>
      <c r="F219" s="39">
        <f>LysylPG!$O$35</f>
        <v>871.61652000000015</v>
      </c>
      <c r="G219" s="39">
        <f>LysylPG!$P$35</f>
        <v>906.65418540000007</v>
      </c>
      <c r="H219" s="39">
        <f>LysylPG!$Q$35</f>
        <v>911.60958540000013</v>
      </c>
      <c r="I219" s="39">
        <f>LysylPG!$R$35</f>
        <v>927.5835254000001</v>
      </c>
      <c r="J219" s="39">
        <f>LysylPG!$S$35</f>
        <v>895.63582540000016</v>
      </c>
      <c r="K219" s="39">
        <f>LysylPG!$T$35</f>
        <v>887.61309080000001</v>
      </c>
      <c r="L219" s="39">
        <f>LysylPG!$U$35</f>
        <v>933.61858540000003</v>
      </c>
      <c r="M219" s="39">
        <f>LysylPG!$V$35</f>
        <v>947.63423540000008</v>
      </c>
      <c r="N219" s="39">
        <f>LysylPG!$W$35</f>
        <v>923.58866840000007</v>
      </c>
    </row>
    <row r="220" spans="1:14" x14ac:dyDescent="0.25">
      <c r="A220" s="40" t="s">
        <v>382</v>
      </c>
      <c r="B220" s="40" t="str">
        <f>LysylPG!$A$36</f>
        <v>LysylPG 35:1</v>
      </c>
      <c r="C220" s="39" t="str">
        <f>LysylPG!$L$36</f>
        <v>C47H91N2O11P1</v>
      </c>
      <c r="D220" s="39">
        <f>LysylPG!$M$36</f>
        <v>890.63601460000007</v>
      </c>
      <c r="E220" s="39">
        <f>LysylPG!$N$36</f>
        <v>891.64328920000014</v>
      </c>
      <c r="F220" s="39">
        <f>LysylPG!$O$36</f>
        <v>873.63216920000013</v>
      </c>
      <c r="G220" s="39">
        <f>LysylPG!$P$36</f>
        <v>908.66983460000006</v>
      </c>
      <c r="H220" s="39">
        <f>LysylPG!$Q$36</f>
        <v>913.62523460000011</v>
      </c>
      <c r="I220" s="39">
        <f>LysylPG!$R$36</f>
        <v>929.59917460000008</v>
      </c>
      <c r="J220" s="39">
        <f>LysylPG!$S$36</f>
        <v>897.65147460000014</v>
      </c>
      <c r="K220" s="39">
        <f>LysylPG!$T$36</f>
        <v>889.62873999999999</v>
      </c>
      <c r="L220" s="39">
        <f>LysylPG!$U$36</f>
        <v>935.63423460000001</v>
      </c>
      <c r="M220" s="39">
        <f>LysylPG!$V$36</f>
        <v>949.64988460000006</v>
      </c>
      <c r="N220" s="39">
        <f>LysylPG!$W$36</f>
        <v>925.60431760000006</v>
      </c>
    </row>
    <row r="221" spans="1:14" x14ac:dyDescent="0.25">
      <c r="A221" s="40" t="s">
        <v>382</v>
      </c>
      <c r="B221" s="40" t="str">
        <f>LysylPG!$A$37</f>
        <v>LysylPG 35:0</v>
      </c>
      <c r="C221" s="39" t="str">
        <f>LysylPG!$L$37</f>
        <v>C47H93N2O11P1</v>
      </c>
      <c r="D221" s="39">
        <f>LysylPG!$M$37</f>
        <v>892.65166380000005</v>
      </c>
      <c r="E221" s="39">
        <f>LysylPG!$N$37</f>
        <v>893.65893840000012</v>
      </c>
      <c r="F221" s="39">
        <f>LysylPG!$O$37</f>
        <v>875.64781840000012</v>
      </c>
      <c r="G221" s="39">
        <f>LysylPG!$P$37</f>
        <v>910.68548380000004</v>
      </c>
      <c r="H221" s="39">
        <f>LysylPG!$Q$37</f>
        <v>915.6408838000001</v>
      </c>
      <c r="I221" s="39">
        <f>LysylPG!$R$37</f>
        <v>931.61482380000007</v>
      </c>
      <c r="J221" s="39">
        <f>LysylPG!$S$37</f>
        <v>899.66712380000013</v>
      </c>
      <c r="K221" s="39">
        <f>LysylPG!$T$37</f>
        <v>891.64438919999998</v>
      </c>
      <c r="L221" s="39">
        <f>LysylPG!$U$37</f>
        <v>937.6498838</v>
      </c>
      <c r="M221" s="39">
        <f>LysylPG!$V$37</f>
        <v>951.66553380000005</v>
      </c>
      <c r="N221" s="39">
        <f>LysylPG!$W$37</f>
        <v>927.61996680000004</v>
      </c>
    </row>
    <row r="222" spans="1:14" x14ac:dyDescent="0.25">
      <c r="A222" s="40" t="s">
        <v>382</v>
      </c>
      <c r="B222" s="40" t="str">
        <f>LysylPG!$A$38</f>
        <v>LysylPG 36:2</v>
      </c>
      <c r="C222" s="39" t="str">
        <f>LysylPG!$L$38</f>
        <v>C48H91N2O11P1</v>
      </c>
      <c r="D222" s="39">
        <f>LysylPG!$M$38</f>
        <v>902.63601460000007</v>
      </c>
      <c r="E222" s="39">
        <f>LysylPG!$N$38</f>
        <v>903.64328920000014</v>
      </c>
      <c r="F222" s="39">
        <f>LysylPG!$O$38</f>
        <v>885.63216920000013</v>
      </c>
      <c r="G222" s="39">
        <f>LysylPG!$P$38</f>
        <v>920.66983460000006</v>
      </c>
      <c r="H222" s="39">
        <f>LysylPG!$Q$38</f>
        <v>925.62523460000011</v>
      </c>
      <c r="I222" s="39">
        <f>LysylPG!$R$38</f>
        <v>941.59917460000008</v>
      </c>
      <c r="J222" s="39">
        <f>LysylPG!$S$38</f>
        <v>909.65147460000014</v>
      </c>
      <c r="K222" s="39">
        <f>LysylPG!$T$38</f>
        <v>901.62873999999999</v>
      </c>
      <c r="L222" s="39">
        <f>LysylPG!$U$38</f>
        <v>947.63423460000001</v>
      </c>
      <c r="M222" s="39">
        <f>LysylPG!$V$38</f>
        <v>961.64988460000006</v>
      </c>
      <c r="N222" s="39">
        <f>LysylPG!$W$38</f>
        <v>937.60431760000006</v>
      </c>
    </row>
    <row r="223" spans="1:14" x14ac:dyDescent="0.25">
      <c r="A223" s="40" t="s">
        <v>382</v>
      </c>
      <c r="B223" s="40" t="str">
        <f>LysylPG!$A$39</f>
        <v>LysylPG 36:1</v>
      </c>
      <c r="C223" s="39" t="str">
        <f>LysylPG!$L$39</f>
        <v>C48H93N2O11P1</v>
      </c>
      <c r="D223" s="39">
        <f>LysylPG!$M$39</f>
        <v>904.65166380000005</v>
      </c>
      <c r="E223" s="39">
        <f>LysylPG!$N$39</f>
        <v>905.65893840000012</v>
      </c>
      <c r="F223" s="39">
        <f>LysylPG!$O$39</f>
        <v>887.64781840000012</v>
      </c>
      <c r="G223" s="39">
        <f>LysylPG!$P$39</f>
        <v>922.68548380000004</v>
      </c>
      <c r="H223" s="39">
        <f>LysylPG!$Q$39</f>
        <v>927.6408838000001</v>
      </c>
      <c r="I223" s="39">
        <f>LysylPG!$R$39</f>
        <v>943.61482380000007</v>
      </c>
      <c r="J223" s="39">
        <f>LysylPG!$S$39</f>
        <v>911.66712380000013</v>
      </c>
      <c r="K223" s="39">
        <f>LysylPG!$T$39</f>
        <v>903.64438919999998</v>
      </c>
      <c r="L223" s="39">
        <f>LysylPG!$U$39</f>
        <v>949.6498838</v>
      </c>
      <c r="M223" s="39">
        <f>LysylPG!$V$39</f>
        <v>963.66553380000005</v>
      </c>
      <c r="N223" s="39">
        <f>LysylPG!$W$39</f>
        <v>939.61996680000004</v>
      </c>
    </row>
    <row r="224" spans="1:14" x14ac:dyDescent="0.25">
      <c r="A224" s="40" t="s">
        <v>382</v>
      </c>
      <c r="B224" s="40" t="str">
        <f>LysylPG!$A$40</f>
        <v>LysylPG 36:0</v>
      </c>
      <c r="C224" s="39" t="str">
        <f>LysylPG!$L$40</f>
        <v>C48H95N2O11P1</v>
      </c>
      <c r="D224" s="39">
        <f>LysylPG!$M$40</f>
        <v>906.66731300000004</v>
      </c>
      <c r="E224" s="39">
        <f>LysylPG!$N$40</f>
        <v>907.67458760000011</v>
      </c>
      <c r="F224" s="39">
        <f>LysylPG!$O$40</f>
        <v>889.6634676000001</v>
      </c>
      <c r="G224" s="39">
        <f>LysylPG!$P$40</f>
        <v>924.70113300000003</v>
      </c>
      <c r="H224" s="39">
        <f>LysylPG!$Q$40</f>
        <v>929.65653300000008</v>
      </c>
      <c r="I224" s="39">
        <f>LysylPG!$R$40</f>
        <v>945.63047300000005</v>
      </c>
      <c r="J224" s="39">
        <f>LysylPG!$S$40</f>
        <v>913.68277300000011</v>
      </c>
      <c r="K224" s="39">
        <f>LysylPG!$T$40</f>
        <v>905.66003839999996</v>
      </c>
      <c r="L224" s="39">
        <f>LysylPG!$U$40</f>
        <v>951.66553299999998</v>
      </c>
      <c r="M224" s="39">
        <f>LysylPG!$V$40</f>
        <v>965.68118300000003</v>
      </c>
      <c r="N224" s="39">
        <f>LysylPG!$W$40</f>
        <v>941.63561600000003</v>
      </c>
    </row>
    <row r="225" spans="1:14" x14ac:dyDescent="0.25">
      <c r="A225" s="40" t="s">
        <v>382</v>
      </c>
      <c r="B225" s="40" t="str">
        <f>LysylPG!$A$41</f>
        <v>LysylPG 37:2</v>
      </c>
      <c r="C225" s="39" t="str">
        <f>LysylPG!$L$41</f>
        <v>C49H93N2O11P1</v>
      </c>
      <c r="D225" s="39">
        <f>LysylPG!$M$41</f>
        <v>916.65166380000005</v>
      </c>
      <c r="E225" s="39">
        <f>LysylPG!$N$41</f>
        <v>917.65893840000012</v>
      </c>
      <c r="F225" s="39">
        <f>LysylPG!$O$41</f>
        <v>899.64781840000012</v>
      </c>
      <c r="G225" s="39">
        <f>LysylPG!$P$41</f>
        <v>934.68548380000004</v>
      </c>
      <c r="H225" s="39">
        <f>LysylPG!$Q$41</f>
        <v>939.6408838000001</v>
      </c>
      <c r="I225" s="39">
        <f>LysylPG!$R$41</f>
        <v>955.61482380000007</v>
      </c>
      <c r="J225" s="39">
        <f>LysylPG!$S$41</f>
        <v>923.66712380000013</v>
      </c>
      <c r="K225" s="39">
        <f>LysylPG!$T$41</f>
        <v>915.64438919999998</v>
      </c>
      <c r="L225" s="39">
        <f>LysylPG!$U$41</f>
        <v>961.6498838</v>
      </c>
      <c r="M225" s="39">
        <f>LysylPG!$V$41</f>
        <v>975.66553380000005</v>
      </c>
      <c r="N225" s="39">
        <f>LysylPG!$W$41</f>
        <v>951.61996680000004</v>
      </c>
    </row>
    <row r="226" spans="1:14" x14ac:dyDescent="0.25">
      <c r="A226" s="40" t="s">
        <v>382</v>
      </c>
      <c r="B226" s="40" t="str">
        <f>LysylPG!$A$42</f>
        <v>LysylPG 37:1</v>
      </c>
      <c r="C226" s="39" t="str">
        <f>LysylPG!$L$42</f>
        <v>C49H95N2O11P1</v>
      </c>
      <c r="D226" s="39">
        <f>LysylPG!$M$42</f>
        <v>918.66731300000004</v>
      </c>
      <c r="E226" s="39">
        <f>LysylPG!$N$42</f>
        <v>919.67458760000011</v>
      </c>
      <c r="F226" s="39">
        <f>LysylPG!$O$42</f>
        <v>901.6634676000001</v>
      </c>
      <c r="G226" s="39">
        <f>LysylPG!$P$42</f>
        <v>936.70113300000003</v>
      </c>
      <c r="H226" s="39">
        <f>LysylPG!$Q$42</f>
        <v>941.65653300000008</v>
      </c>
      <c r="I226" s="39">
        <f>LysylPG!$R$42</f>
        <v>957.63047300000005</v>
      </c>
      <c r="J226" s="39">
        <f>LysylPG!$S$42</f>
        <v>925.68277300000011</v>
      </c>
      <c r="K226" s="39">
        <f>LysylPG!$T$42</f>
        <v>917.66003839999996</v>
      </c>
      <c r="L226" s="39">
        <f>LysylPG!$U$42</f>
        <v>963.66553299999998</v>
      </c>
      <c r="M226" s="39">
        <f>LysylPG!$V$42</f>
        <v>977.68118300000003</v>
      </c>
      <c r="N226" s="39">
        <f>LysylPG!$W$42</f>
        <v>953.63561600000003</v>
      </c>
    </row>
    <row r="227" spans="1:14" x14ac:dyDescent="0.25">
      <c r="A227" s="40" t="s">
        <v>382</v>
      </c>
      <c r="B227" s="40" t="str">
        <f>LysylPG!$A$43</f>
        <v>LysylPG 37:0</v>
      </c>
      <c r="C227" s="39" t="str">
        <f>LysylPG!$L$43</f>
        <v>C49H97N2O11P1</v>
      </c>
      <c r="D227" s="39">
        <f>LysylPG!$M$43</f>
        <v>920.68296220000002</v>
      </c>
      <c r="E227" s="39">
        <f>LysylPG!$N$43</f>
        <v>921.69023680000009</v>
      </c>
      <c r="F227" s="39">
        <f>LysylPG!$O$43</f>
        <v>903.67911680000009</v>
      </c>
      <c r="G227" s="39">
        <f>LysylPG!$P$43</f>
        <v>938.71678220000001</v>
      </c>
      <c r="H227" s="39">
        <f>LysylPG!$Q$43</f>
        <v>943.67218220000007</v>
      </c>
      <c r="I227" s="39">
        <f>LysylPG!$R$43</f>
        <v>959.64612220000004</v>
      </c>
      <c r="J227" s="39">
        <f>LysylPG!$S$43</f>
        <v>927.6984222000001</v>
      </c>
      <c r="K227" s="39">
        <f>LysylPG!$T$43</f>
        <v>919.67568759999995</v>
      </c>
      <c r="L227" s="39">
        <f>LysylPG!$U$43</f>
        <v>965.68118219999997</v>
      </c>
      <c r="M227" s="39">
        <f>LysylPG!$V$43</f>
        <v>979.69683220000002</v>
      </c>
      <c r="N227" s="39">
        <f>LysylPG!$W$43</f>
        <v>955.65126520000001</v>
      </c>
    </row>
    <row r="228" spans="1:14" x14ac:dyDescent="0.25">
      <c r="A228" s="40" t="s">
        <v>382</v>
      </c>
      <c r="B228" s="40" t="str">
        <f>LysylPG!$A$44</f>
        <v>LysylPG 38:2</v>
      </c>
      <c r="C228" s="39" t="str">
        <f>LysylPG!$L$44</f>
        <v>C50H95N2O11P1</v>
      </c>
      <c r="D228" s="39">
        <f>LysylPG!$M$44</f>
        <v>930.66731300000004</v>
      </c>
      <c r="E228" s="39">
        <f>LysylPG!$N$44</f>
        <v>931.67458760000011</v>
      </c>
      <c r="F228" s="39">
        <f>LysylPG!$O$44</f>
        <v>913.6634676000001</v>
      </c>
      <c r="G228" s="39">
        <f>LysylPG!$P$44</f>
        <v>948.70113300000003</v>
      </c>
      <c r="H228" s="39">
        <f>LysylPG!$Q$44</f>
        <v>953.65653300000008</v>
      </c>
      <c r="I228" s="39">
        <f>LysylPG!$R$44</f>
        <v>969.63047300000005</v>
      </c>
      <c r="J228" s="39">
        <f>LysylPG!$S$44</f>
        <v>937.68277300000011</v>
      </c>
      <c r="K228" s="39">
        <f>LysylPG!$T$44</f>
        <v>929.66003839999996</v>
      </c>
      <c r="L228" s="39">
        <f>LysylPG!$U$44</f>
        <v>975.66553299999998</v>
      </c>
      <c r="M228" s="39">
        <f>LysylPG!$V$44</f>
        <v>989.68118300000003</v>
      </c>
      <c r="N228" s="39">
        <f>LysylPG!$W$44</f>
        <v>965.63561600000003</v>
      </c>
    </row>
    <row r="229" spans="1:14" x14ac:dyDescent="0.25">
      <c r="A229" s="40" t="s">
        <v>382</v>
      </c>
      <c r="B229" s="40" t="str">
        <f>LysylPG!$A$45</f>
        <v>LysylPG 38:1</v>
      </c>
      <c r="C229" s="39" t="str">
        <f>LysylPG!$L$45</f>
        <v>C50H97N2O11P1</v>
      </c>
      <c r="D229" s="39">
        <f>LysylPG!$M$45</f>
        <v>932.68296220000002</v>
      </c>
      <c r="E229" s="39">
        <f>LysylPG!$N$45</f>
        <v>933.69023680000009</v>
      </c>
      <c r="F229" s="39">
        <f>LysylPG!$O$45</f>
        <v>915.67911680000009</v>
      </c>
      <c r="G229" s="39">
        <f>LysylPG!$P$45</f>
        <v>950.71678220000001</v>
      </c>
      <c r="H229" s="39">
        <f>LysylPG!$Q$45</f>
        <v>955.67218220000007</v>
      </c>
      <c r="I229" s="39">
        <f>LysylPG!$R$45</f>
        <v>971.64612220000004</v>
      </c>
      <c r="J229" s="39">
        <f>LysylPG!$S$45</f>
        <v>939.6984222000001</v>
      </c>
      <c r="K229" s="39">
        <f>LysylPG!$T$45</f>
        <v>931.67568759999995</v>
      </c>
      <c r="L229" s="39">
        <f>LysylPG!$U$45</f>
        <v>977.68118219999997</v>
      </c>
      <c r="M229" s="39">
        <f>LysylPG!$V$45</f>
        <v>991.69683220000002</v>
      </c>
      <c r="N229" s="39">
        <f>LysylPG!$W$45</f>
        <v>967.65126520000001</v>
      </c>
    </row>
    <row r="230" spans="1:14" x14ac:dyDescent="0.25">
      <c r="A230" s="40" t="s">
        <v>382</v>
      </c>
      <c r="B230" s="40" t="str">
        <f>LysylPG!$A$46</f>
        <v>LysylPG 38:0</v>
      </c>
      <c r="C230" s="39" t="str">
        <f>LysylPG!$L$46</f>
        <v>C50H99N2O11P1</v>
      </c>
      <c r="D230" s="39">
        <f>LysylPG!$M$46</f>
        <v>934.6986114</v>
      </c>
      <c r="E230" s="39">
        <f>LysylPG!$N$46</f>
        <v>935.70588600000008</v>
      </c>
      <c r="F230" s="39">
        <f>LysylPG!$O$46</f>
        <v>917.69476600000007</v>
      </c>
      <c r="G230" s="39">
        <f>LysylPG!$P$46</f>
        <v>952.7324314</v>
      </c>
      <c r="H230" s="39">
        <f>LysylPG!$Q$46</f>
        <v>957.68783140000005</v>
      </c>
      <c r="I230" s="39">
        <f>LysylPG!$R$46</f>
        <v>973.66177140000002</v>
      </c>
      <c r="J230" s="39">
        <f>LysylPG!$S$46</f>
        <v>941.71407140000008</v>
      </c>
      <c r="K230" s="39">
        <f>LysylPG!$T$46</f>
        <v>933.69133679999993</v>
      </c>
      <c r="L230" s="39">
        <f>LysylPG!$U$46</f>
        <v>979.69683139999995</v>
      </c>
      <c r="M230" s="39">
        <f>LysylPG!$V$46</f>
        <v>993.7124814</v>
      </c>
      <c r="N230" s="39">
        <f>LysylPG!$W$46</f>
        <v>969.6669144</v>
      </c>
    </row>
    <row r="231" spans="1:14" x14ac:dyDescent="0.25">
      <c r="A231" s="40" t="s">
        <v>382</v>
      </c>
      <c r="B231" s="40">
        <f>LysylPG!$A$47</f>
        <v>0</v>
      </c>
      <c r="C231" s="39">
        <f>LysylPG!$L$47</f>
        <v>0</v>
      </c>
      <c r="D231" s="39">
        <f>LysylPG!$M$47</f>
        <v>0</v>
      </c>
      <c r="E231" s="39">
        <f>LysylPG!$N$47</f>
        <v>0</v>
      </c>
      <c r="F231" s="39">
        <f>LysylPG!$O$47</f>
        <v>0</v>
      </c>
      <c r="G231" s="39">
        <f>LysylPG!$P$47</f>
        <v>0</v>
      </c>
      <c r="H231" s="39">
        <f>LysylPG!$Q$47</f>
        <v>0</v>
      </c>
      <c r="I231" s="39">
        <f>LysylPG!$R$47</f>
        <v>0</v>
      </c>
      <c r="J231" s="39">
        <f>LysylPG!$S$47</f>
        <v>0</v>
      </c>
      <c r="K231" s="39">
        <f>LysylPG!$T$47</f>
        <v>0</v>
      </c>
      <c r="L231" s="39">
        <f>LysylPG!$U$47</f>
        <v>0</v>
      </c>
      <c r="M231" s="39">
        <f>LysylPG!$V$47</f>
        <v>0</v>
      </c>
      <c r="N231" s="39">
        <f>LysylPG!$W$47</f>
        <v>0</v>
      </c>
    </row>
    <row r="232" spans="1:14" x14ac:dyDescent="0.25">
      <c r="A232" s="40" t="s">
        <v>382</v>
      </c>
      <c r="B232" s="40">
        <f>LysylPG!$A$48</f>
        <v>0</v>
      </c>
      <c r="C232" s="39">
        <f>LysylPG!$L$48</f>
        <v>0</v>
      </c>
      <c r="D232" s="39">
        <f>LysylPG!$M$48</f>
        <v>0</v>
      </c>
      <c r="E232" s="39">
        <f>LysylPG!$N$48</f>
        <v>0</v>
      </c>
      <c r="F232" s="39">
        <f>LysylPG!$O$48</f>
        <v>0</v>
      </c>
      <c r="G232" s="39">
        <f>LysylPG!$P$48</f>
        <v>0</v>
      </c>
      <c r="H232" s="39">
        <f>LysylPG!$Q$48</f>
        <v>0</v>
      </c>
      <c r="I232" s="39">
        <f>LysylPG!$R$48</f>
        <v>0</v>
      </c>
      <c r="J232" s="39">
        <f>LysylPG!$S$48</f>
        <v>0</v>
      </c>
      <c r="K232" s="39">
        <f>LysylPG!$T$48</f>
        <v>0</v>
      </c>
      <c r="L232" s="39">
        <f>LysylPG!$U$48</f>
        <v>0</v>
      </c>
      <c r="M232" s="39">
        <f>LysylPG!$V$48</f>
        <v>0</v>
      </c>
      <c r="N232" s="39">
        <f>LysylPG!$W$48</f>
        <v>0</v>
      </c>
    </row>
    <row r="233" spans="1:14" x14ac:dyDescent="0.25">
      <c r="A233" s="40" t="s">
        <v>382</v>
      </c>
      <c r="B233" s="40">
        <f>LysylPG!$A$49</f>
        <v>0</v>
      </c>
      <c r="C233" s="39">
        <f>LysylPG!$L$49</f>
        <v>0</v>
      </c>
      <c r="D233" s="39">
        <f>LysylPG!$M$49</f>
        <v>0</v>
      </c>
      <c r="E233" s="39">
        <f>LysylPG!$N$49</f>
        <v>0</v>
      </c>
      <c r="F233" s="39">
        <f>LysylPG!$O$49</f>
        <v>0</v>
      </c>
      <c r="G233" s="39">
        <f>LysylPG!$P$49</f>
        <v>0</v>
      </c>
      <c r="H233" s="39">
        <f>LysylPG!$Q$49</f>
        <v>0</v>
      </c>
      <c r="I233" s="39">
        <f>LysylPG!$R$49</f>
        <v>0</v>
      </c>
      <c r="J233" s="39">
        <f>LysylPG!$S$49</f>
        <v>0</v>
      </c>
      <c r="K233" s="39">
        <f>LysylPG!$T$49</f>
        <v>0</v>
      </c>
      <c r="L233" s="39">
        <f>LysylPG!$U$49</f>
        <v>0</v>
      </c>
      <c r="M233" s="39">
        <f>LysylPG!$V$49</f>
        <v>0</v>
      </c>
      <c r="N233" s="39">
        <f>LysylPG!$W$49</f>
        <v>0</v>
      </c>
    </row>
    <row r="234" spans="1:14" x14ac:dyDescent="0.25">
      <c r="A234" s="40" t="s">
        <v>382</v>
      </c>
      <c r="B234" s="40">
        <f>LysylPG!$A$50</f>
        <v>0</v>
      </c>
      <c r="C234" s="39">
        <f>LysylPG!$L$50</f>
        <v>0</v>
      </c>
      <c r="D234" s="39">
        <f>LysylPG!$M$50</f>
        <v>0</v>
      </c>
      <c r="E234" s="39">
        <f>LysylPG!$N$50</f>
        <v>0</v>
      </c>
      <c r="F234" s="39">
        <f>LysylPG!$O$50</f>
        <v>0</v>
      </c>
      <c r="G234" s="39">
        <f>LysylPG!$P$50</f>
        <v>0</v>
      </c>
      <c r="H234" s="39">
        <f>LysylPG!$Q$50</f>
        <v>0</v>
      </c>
      <c r="I234" s="39">
        <f>LysylPG!$R$50</f>
        <v>0</v>
      </c>
      <c r="J234" s="39">
        <f>LysylPG!$S$50</f>
        <v>0</v>
      </c>
      <c r="K234" s="39">
        <f>LysylPG!$T$50</f>
        <v>0</v>
      </c>
      <c r="L234" s="39">
        <f>LysylPG!$U$50</f>
        <v>0</v>
      </c>
      <c r="M234" s="39">
        <f>LysylPG!$V$50</f>
        <v>0</v>
      </c>
      <c r="N234" s="39">
        <f>LysylPG!$W$50</f>
        <v>0</v>
      </c>
    </row>
    <row r="235" spans="1:14" x14ac:dyDescent="0.25">
      <c r="A235" s="40" t="s">
        <v>46</v>
      </c>
      <c r="B235" s="40" t="e">
        <f>PA!#REF!</f>
        <v>#REF!</v>
      </c>
      <c r="C235" s="39" t="e">
        <f>PA!#REF!</f>
        <v>#REF!</v>
      </c>
      <c r="D235" s="39" t="e">
        <f>PA!#REF!</f>
        <v>#REF!</v>
      </c>
      <c r="E235" s="39" t="e">
        <f>PA!#REF!</f>
        <v>#REF!</v>
      </c>
      <c r="F235" s="39" t="e">
        <f>PA!#REF!</f>
        <v>#REF!</v>
      </c>
      <c r="G235" s="39" t="e">
        <f>PA!#REF!</f>
        <v>#REF!</v>
      </c>
      <c r="H235" s="39" t="e">
        <f>PA!#REF!</f>
        <v>#REF!</v>
      </c>
      <c r="I235" s="39" t="e">
        <f>PA!#REF!</f>
        <v>#REF!</v>
      </c>
      <c r="J235" s="39" t="e">
        <f>PA!#REF!</f>
        <v>#REF!</v>
      </c>
      <c r="K235" s="39" t="e">
        <f>PA!#REF!</f>
        <v>#REF!</v>
      </c>
      <c r="L235" s="39" t="e">
        <f>PA!#REF!</f>
        <v>#REF!</v>
      </c>
      <c r="M235" s="39" t="e">
        <f>PA!#REF!</f>
        <v>#REF!</v>
      </c>
    </row>
    <row r="236" spans="1:14" x14ac:dyDescent="0.25">
      <c r="A236" s="40" t="s">
        <v>46</v>
      </c>
      <c r="B236" s="40" t="e">
        <f>PA!#REF!</f>
        <v>#REF!</v>
      </c>
      <c r="C236" s="39" t="e">
        <f>PA!#REF!</f>
        <v>#REF!</v>
      </c>
      <c r="D236" s="39" t="e">
        <f>PA!#REF!</f>
        <v>#REF!</v>
      </c>
      <c r="E236" s="39" t="e">
        <f>PA!#REF!</f>
        <v>#REF!</v>
      </c>
      <c r="F236" s="39" t="e">
        <f>PA!#REF!</f>
        <v>#REF!</v>
      </c>
      <c r="G236" s="39" t="e">
        <f>PA!#REF!</f>
        <v>#REF!</v>
      </c>
      <c r="H236" s="39" t="e">
        <f>PA!#REF!</f>
        <v>#REF!</v>
      </c>
      <c r="I236" s="39" t="e">
        <f>PA!#REF!</f>
        <v>#REF!</v>
      </c>
      <c r="J236" s="39" t="e">
        <f>PA!#REF!</f>
        <v>#REF!</v>
      </c>
      <c r="K236" s="39" t="e">
        <f>PA!#REF!</f>
        <v>#REF!</v>
      </c>
      <c r="L236" s="39" t="e">
        <f>PA!#REF!</f>
        <v>#REF!</v>
      </c>
      <c r="M236" s="39" t="e">
        <f>PA!#REF!</f>
        <v>#REF!</v>
      </c>
    </row>
    <row r="237" spans="1:14" x14ac:dyDescent="0.25">
      <c r="A237" s="40" t="s">
        <v>46</v>
      </c>
      <c r="B237" s="40" t="e">
        <f>PA!#REF!</f>
        <v>#REF!</v>
      </c>
      <c r="C237" s="39" t="e">
        <f>PA!#REF!</f>
        <v>#REF!</v>
      </c>
      <c r="D237" s="39" t="e">
        <f>PA!#REF!</f>
        <v>#REF!</v>
      </c>
      <c r="E237" s="39" t="e">
        <f>PA!#REF!</f>
        <v>#REF!</v>
      </c>
      <c r="F237" s="39" t="e">
        <f>PA!#REF!</f>
        <v>#REF!</v>
      </c>
      <c r="G237" s="39" t="e">
        <f>PA!#REF!</f>
        <v>#REF!</v>
      </c>
      <c r="H237" s="39" t="e">
        <f>PA!#REF!</f>
        <v>#REF!</v>
      </c>
      <c r="I237" s="39" t="e">
        <f>PA!#REF!</f>
        <v>#REF!</v>
      </c>
      <c r="J237" s="39" t="e">
        <f>PA!#REF!</f>
        <v>#REF!</v>
      </c>
      <c r="K237" s="39" t="e">
        <f>PA!#REF!</f>
        <v>#REF!</v>
      </c>
      <c r="L237" s="39" t="e">
        <f>PA!#REF!</f>
        <v>#REF!</v>
      </c>
      <c r="M237" s="39" t="e">
        <f>PA!#REF!</f>
        <v>#REF!</v>
      </c>
    </row>
    <row r="238" spans="1:14" x14ac:dyDescent="0.25">
      <c r="A238" s="40" t="s">
        <v>46</v>
      </c>
      <c r="B238" s="40" t="e">
        <f>PA!#REF!</f>
        <v>#REF!</v>
      </c>
      <c r="C238" s="39" t="e">
        <f>PA!#REF!</f>
        <v>#REF!</v>
      </c>
      <c r="D238" s="39" t="e">
        <f>PA!#REF!</f>
        <v>#REF!</v>
      </c>
      <c r="E238" s="39" t="e">
        <f>PA!#REF!</f>
        <v>#REF!</v>
      </c>
      <c r="F238" s="39" t="e">
        <f>PA!#REF!</f>
        <v>#REF!</v>
      </c>
      <c r="G238" s="39" t="e">
        <f>PA!#REF!</f>
        <v>#REF!</v>
      </c>
      <c r="H238" s="39" t="e">
        <f>PA!#REF!</f>
        <v>#REF!</v>
      </c>
      <c r="I238" s="39" t="e">
        <f>PA!#REF!</f>
        <v>#REF!</v>
      </c>
      <c r="J238" s="39" t="e">
        <f>PA!#REF!</f>
        <v>#REF!</v>
      </c>
      <c r="K238" s="39" t="e">
        <f>PA!#REF!</f>
        <v>#REF!</v>
      </c>
      <c r="L238" s="39" t="e">
        <f>PA!#REF!</f>
        <v>#REF!</v>
      </c>
      <c r="M238" s="39" t="e">
        <f>PA!#REF!</f>
        <v>#REF!</v>
      </c>
    </row>
    <row r="239" spans="1:14" x14ac:dyDescent="0.25">
      <c r="A239" s="40" t="s">
        <v>46</v>
      </c>
      <c r="B239" s="40" t="e">
        <f>PA!#REF!</f>
        <v>#REF!</v>
      </c>
      <c r="C239" s="39" t="e">
        <f>PA!#REF!</f>
        <v>#REF!</v>
      </c>
      <c r="D239" s="39" t="e">
        <f>PA!#REF!</f>
        <v>#REF!</v>
      </c>
      <c r="E239" s="39" t="e">
        <f>PA!#REF!</f>
        <v>#REF!</v>
      </c>
      <c r="F239" s="39" t="e">
        <f>PA!#REF!</f>
        <v>#REF!</v>
      </c>
      <c r="G239" s="39" t="e">
        <f>PA!#REF!</f>
        <v>#REF!</v>
      </c>
      <c r="H239" s="39" t="e">
        <f>PA!#REF!</f>
        <v>#REF!</v>
      </c>
      <c r="I239" s="39" t="e">
        <f>PA!#REF!</f>
        <v>#REF!</v>
      </c>
      <c r="J239" s="39" t="e">
        <f>PA!#REF!</f>
        <v>#REF!</v>
      </c>
      <c r="K239" s="39" t="e">
        <f>PA!#REF!</f>
        <v>#REF!</v>
      </c>
      <c r="L239" s="39" t="e">
        <f>PA!#REF!</f>
        <v>#REF!</v>
      </c>
      <c r="M239" s="39" t="e">
        <f>PA!#REF!</f>
        <v>#REF!</v>
      </c>
    </row>
    <row r="240" spans="1:14" x14ac:dyDescent="0.25">
      <c r="A240" s="40" t="s">
        <v>46</v>
      </c>
      <c r="B240" s="40" t="str">
        <f>PA!$A$3</f>
        <v>PA 20:0</v>
      </c>
      <c r="C240" s="39" t="str">
        <f>PA!$L$3</f>
        <v>C23H45O8P1</v>
      </c>
      <c r="D240" s="39">
        <f>PA!$M$3</f>
        <v>480.28519</v>
      </c>
      <c r="E240" s="39">
        <f>PA!$N$3</f>
        <v>481.29246460000002</v>
      </c>
      <c r="F240" s="39">
        <f>PA!$O$3</f>
        <v>463.28134460000001</v>
      </c>
      <c r="G240" s="39">
        <f>PA!$P$3</f>
        <v>498.31901000000005</v>
      </c>
      <c r="H240" s="39">
        <f>PA!$Q$3</f>
        <v>503.27441000000005</v>
      </c>
      <c r="I240" s="39">
        <f>PA!$R$3</f>
        <v>519.24835000000007</v>
      </c>
      <c r="J240" s="39">
        <f>PA!$S$3</f>
        <v>487.30065000000002</v>
      </c>
      <c r="K240" s="39">
        <f>PA!$T$3</f>
        <v>479.27791539999998</v>
      </c>
      <c r="L240" s="39">
        <f>PA!$U$3</f>
        <v>525.28341</v>
      </c>
      <c r="M240" s="39">
        <f>PA!$V$3</f>
        <v>539.29905999999994</v>
      </c>
    </row>
    <row r="241" spans="1:13" x14ac:dyDescent="0.25">
      <c r="A241" s="40" t="s">
        <v>46</v>
      </c>
      <c r="B241" s="40" t="str">
        <f>PA!$A$4</f>
        <v>PA 21:0</v>
      </c>
      <c r="C241" s="39" t="str">
        <f>PA!$L$4</f>
        <v>C24H47O8P1</v>
      </c>
      <c r="D241" s="39">
        <f>PA!$M$4</f>
        <v>494.30083919999998</v>
      </c>
      <c r="E241" s="39">
        <f>PA!$N$4</f>
        <v>495.3081138</v>
      </c>
      <c r="F241" s="39">
        <f>PA!$O$4</f>
        <v>477.2969938</v>
      </c>
      <c r="G241" s="39">
        <f>PA!$P$4</f>
        <v>512.33465920000003</v>
      </c>
      <c r="H241" s="39">
        <f>PA!$Q$4</f>
        <v>517.29005919999997</v>
      </c>
      <c r="I241" s="39">
        <f>PA!$R$4</f>
        <v>533.26399920000006</v>
      </c>
      <c r="J241" s="39">
        <f>PA!$S$4</f>
        <v>501.3162992</v>
      </c>
      <c r="K241" s="39">
        <f>PA!$T$4</f>
        <v>493.29356459999997</v>
      </c>
      <c r="L241" s="39">
        <f>PA!$U$4</f>
        <v>539.29905919999999</v>
      </c>
      <c r="M241" s="39">
        <f>PA!$V$4</f>
        <v>553.31470919999992</v>
      </c>
    </row>
    <row r="242" spans="1:13" x14ac:dyDescent="0.25">
      <c r="A242" s="40" t="s">
        <v>46</v>
      </c>
      <c r="B242" s="40" t="str">
        <f>PA!$A$5</f>
        <v>PA 22:0</v>
      </c>
      <c r="C242" s="39" t="str">
        <f>PA!$L$5</f>
        <v>C25H49O8P1</v>
      </c>
      <c r="D242" s="39">
        <f>PA!$M$5</f>
        <v>508.31648840000003</v>
      </c>
      <c r="E242" s="39">
        <f>PA!$N$5</f>
        <v>509.32376300000004</v>
      </c>
      <c r="F242" s="39">
        <f>PA!$O$5</f>
        <v>491.31264300000009</v>
      </c>
      <c r="G242" s="39">
        <f>PA!$P$5</f>
        <v>526.35030840000002</v>
      </c>
      <c r="H242" s="39">
        <f>PA!$Q$5</f>
        <v>531.30570840000007</v>
      </c>
      <c r="I242" s="39">
        <f>PA!$R$5</f>
        <v>547.27964840000004</v>
      </c>
      <c r="J242" s="39">
        <f>PA!$S$5</f>
        <v>515.3319484000001</v>
      </c>
      <c r="K242" s="39">
        <f>PA!$T$5</f>
        <v>507.30921380000001</v>
      </c>
      <c r="L242" s="39">
        <f>PA!$U$5</f>
        <v>553.31470839999997</v>
      </c>
      <c r="M242" s="39">
        <f>PA!$V$5</f>
        <v>567.33035840000002</v>
      </c>
    </row>
    <row r="243" spans="1:13" x14ac:dyDescent="0.25">
      <c r="A243" s="40" t="s">
        <v>46</v>
      </c>
      <c r="B243" s="40" t="str">
        <f>PA!$A$6</f>
        <v>PA 23:0</v>
      </c>
      <c r="C243" s="39" t="str">
        <f>PA!$L$6</f>
        <v>C26H51O8P1</v>
      </c>
      <c r="D243" s="39">
        <f>PA!$M$6</f>
        <v>522.33213760000001</v>
      </c>
      <c r="E243" s="39">
        <f>PA!$N$6</f>
        <v>523.33941220000008</v>
      </c>
      <c r="F243" s="39">
        <f>PA!$O$6</f>
        <v>505.32829220000008</v>
      </c>
      <c r="G243" s="39">
        <f>PA!$P$6</f>
        <v>540.3659576</v>
      </c>
      <c r="H243" s="39">
        <f>PA!$Q$6</f>
        <v>545.32135760000006</v>
      </c>
      <c r="I243" s="39">
        <f>PA!$R$6</f>
        <v>561.29529760000003</v>
      </c>
      <c r="J243" s="39">
        <f>PA!$S$6</f>
        <v>529.34759760000009</v>
      </c>
      <c r="K243" s="39">
        <f>PA!$T$6</f>
        <v>521.32486299999994</v>
      </c>
      <c r="L243" s="39">
        <f>PA!$U$6</f>
        <v>567.33035759999996</v>
      </c>
      <c r="M243" s="39">
        <f>PA!$V$6</f>
        <v>581.34600760000001</v>
      </c>
    </row>
    <row r="244" spans="1:13" x14ac:dyDescent="0.25">
      <c r="A244" s="40" t="s">
        <v>46</v>
      </c>
      <c r="B244" s="40" t="str">
        <f>PA!$A$7</f>
        <v>PA 24:0</v>
      </c>
      <c r="C244" s="39" t="str">
        <f>PA!$L$7</f>
        <v>C27H53O8P1</v>
      </c>
      <c r="D244" s="39">
        <f>PA!$M$7</f>
        <v>536.34778679999999</v>
      </c>
      <c r="E244" s="39">
        <f>PA!$N$7</f>
        <v>537.35506140000007</v>
      </c>
      <c r="F244" s="39">
        <f>PA!$O$7</f>
        <v>519.34394140000006</v>
      </c>
      <c r="G244" s="39">
        <f>PA!$P$7</f>
        <v>554.38160679999999</v>
      </c>
      <c r="H244" s="39">
        <f>PA!$Q$7</f>
        <v>559.33700680000004</v>
      </c>
      <c r="I244" s="39">
        <f>PA!$R$7</f>
        <v>575.31094680000001</v>
      </c>
      <c r="J244" s="39">
        <f>PA!$S$7</f>
        <v>543.36324680000007</v>
      </c>
      <c r="K244" s="39">
        <f>PA!$T$7</f>
        <v>535.34051219999992</v>
      </c>
      <c r="L244" s="39">
        <f>PA!$U$7</f>
        <v>581.34600679999994</v>
      </c>
      <c r="M244" s="39">
        <f>PA!$V$7</f>
        <v>595.36165679999999</v>
      </c>
    </row>
    <row r="245" spans="1:13" x14ac:dyDescent="0.25">
      <c r="A245" s="40" t="s">
        <v>46</v>
      </c>
      <c r="B245" s="40" t="str">
        <f>PA!$A$8</f>
        <v>PA 25:0</v>
      </c>
      <c r="C245" s="39" t="str">
        <f>PA!$L$8</f>
        <v>C28H55O8P1</v>
      </c>
      <c r="D245" s="39">
        <f>PA!$M$8</f>
        <v>550.36343599999998</v>
      </c>
      <c r="E245" s="39">
        <f>PA!$N$8</f>
        <v>551.37071060000005</v>
      </c>
      <c r="F245" s="39">
        <f>PA!$O$8</f>
        <v>533.35959060000005</v>
      </c>
      <c r="G245" s="39">
        <f>PA!$P$8</f>
        <v>568.39725599999997</v>
      </c>
      <c r="H245" s="39">
        <f>PA!$Q$8</f>
        <v>573.35265600000002</v>
      </c>
      <c r="I245" s="39">
        <f>PA!$R$8</f>
        <v>589.326596</v>
      </c>
      <c r="J245" s="39">
        <f>PA!$S$8</f>
        <v>557.37889600000005</v>
      </c>
      <c r="K245" s="39">
        <f>PA!$T$8</f>
        <v>549.35616139999991</v>
      </c>
      <c r="L245" s="39">
        <f>PA!$U$8</f>
        <v>595.36165599999993</v>
      </c>
      <c r="M245" s="39">
        <f>PA!$V$8</f>
        <v>609.37730599999998</v>
      </c>
    </row>
    <row r="246" spans="1:13" x14ac:dyDescent="0.25">
      <c r="A246" s="40" t="s">
        <v>46</v>
      </c>
      <c r="B246" s="40" t="str">
        <f>PA!$A$9</f>
        <v>PA 26:0</v>
      </c>
      <c r="C246" s="39" t="str">
        <f>PA!$L$9</f>
        <v>C29H57O8P1</v>
      </c>
      <c r="D246" s="39">
        <f>PA!$M$9</f>
        <v>564.37908519999996</v>
      </c>
      <c r="E246" s="39">
        <f>PA!$N$9</f>
        <v>565.38635980000004</v>
      </c>
      <c r="F246" s="39">
        <f>PA!$O$9</f>
        <v>547.37523980000003</v>
      </c>
      <c r="G246" s="39">
        <f>PA!$P$9</f>
        <v>582.41290519999995</v>
      </c>
      <c r="H246" s="39">
        <f>PA!$Q$9</f>
        <v>587.36830520000001</v>
      </c>
      <c r="I246" s="39">
        <f>PA!$R$9</f>
        <v>603.34224519999998</v>
      </c>
      <c r="J246" s="39">
        <f>PA!$S$9</f>
        <v>571.39454520000004</v>
      </c>
      <c r="K246" s="39">
        <f>PA!$T$9</f>
        <v>563.37181059999989</v>
      </c>
      <c r="L246" s="39">
        <f>PA!$U$9</f>
        <v>609.37730519999991</v>
      </c>
      <c r="M246" s="39">
        <f>PA!$V$9</f>
        <v>623.39295519999996</v>
      </c>
    </row>
    <row r="247" spans="1:13" x14ac:dyDescent="0.25">
      <c r="A247" s="40" t="s">
        <v>46</v>
      </c>
      <c r="B247" s="40" t="str">
        <f>PA!$A$10</f>
        <v>PA 27:0</v>
      </c>
      <c r="C247" s="39" t="str">
        <f>PA!$L$10</f>
        <v>C30H59O8P1</v>
      </c>
      <c r="D247" s="39">
        <f>PA!$M$10</f>
        <v>578.39473439999995</v>
      </c>
      <c r="E247" s="39">
        <f>PA!$N$10</f>
        <v>579.40200900000002</v>
      </c>
      <c r="F247" s="39">
        <f>PA!$O$10</f>
        <v>561.39088900000002</v>
      </c>
      <c r="G247" s="39">
        <f>PA!$P$10</f>
        <v>596.42855439999994</v>
      </c>
      <c r="H247" s="39">
        <f>PA!$Q$10</f>
        <v>601.38395439999999</v>
      </c>
      <c r="I247" s="39">
        <f>PA!$R$10</f>
        <v>617.35789439999996</v>
      </c>
      <c r="J247" s="39">
        <f>PA!$S$10</f>
        <v>585.41019440000002</v>
      </c>
      <c r="K247" s="39">
        <f>PA!$T$10</f>
        <v>577.38745979999987</v>
      </c>
      <c r="L247" s="39">
        <f>PA!$U$10</f>
        <v>623.39295439999989</v>
      </c>
      <c r="M247" s="39">
        <f>PA!$V$10</f>
        <v>637.40860439999994</v>
      </c>
    </row>
    <row r="248" spans="1:13" x14ac:dyDescent="0.25">
      <c r="A248" s="40" t="s">
        <v>46</v>
      </c>
      <c r="B248" s="40" t="str">
        <f>PA!$A$11</f>
        <v>PA 28:0</v>
      </c>
      <c r="C248" s="39" t="str">
        <f>PA!$L$11</f>
        <v>C31H61O8P1</v>
      </c>
      <c r="D248" s="39">
        <f>PA!$M$11</f>
        <v>592.41038359999993</v>
      </c>
      <c r="E248" s="39">
        <f>PA!$N$11</f>
        <v>593.41765820000001</v>
      </c>
      <c r="F248" s="39">
        <f>PA!$O$11</f>
        <v>575.4065382</v>
      </c>
      <c r="G248" s="39">
        <f>PA!$P$11</f>
        <v>610.44420359999992</v>
      </c>
      <c r="H248" s="39">
        <f>PA!$Q$11</f>
        <v>615.39960359999998</v>
      </c>
      <c r="I248" s="39">
        <f>PA!$R$11</f>
        <v>631.37354359999995</v>
      </c>
      <c r="J248" s="39">
        <f>PA!$S$11</f>
        <v>599.42584360000001</v>
      </c>
      <c r="K248" s="39">
        <f>PA!$T$11</f>
        <v>591.40310899999986</v>
      </c>
      <c r="L248" s="39">
        <f>PA!$U$11</f>
        <v>637.40860359999988</v>
      </c>
      <c r="M248" s="39">
        <f>PA!$V$11</f>
        <v>651.42425359999993</v>
      </c>
    </row>
    <row r="249" spans="1:13" x14ac:dyDescent="0.25">
      <c r="A249" s="40" t="s">
        <v>46</v>
      </c>
      <c r="B249" s="40" t="str">
        <f>PA!$A$12</f>
        <v>PA 29:0</v>
      </c>
      <c r="C249" s="39" t="str">
        <f>PA!$L$12</f>
        <v>C32H63O8P1</v>
      </c>
      <c r="D249" s="39">
        <f>PA!$M$12</f>
        <v>606.42603280000003</v>
      </c>
      <c r="E249" s="39">
        <f>PA!$N$12</f>
        <v>607.4333074000001</v>
      </c>
      <c r="F249" s="39">
        <f>PA!$O$12</f>
        <v>589.4221874000001</v>
      </c>
      <c r="G249" s="39">
        <f>PA!$P$12</f>
        <v>624.45985280000002</v>
      </c>
      <c r="H249" s="39">
        <f>PA!$Q$12</f>
        <v>629.41525280000008</v>
      </c>
      <c r="I249" s="39">
        <f>PA!$R$12</f>
        <v>645.38919280000005</v>
      </c>
      <c r="J249" s="39">
        <f>PA!$S$12</f>
        <v>613.44149280000011</v>
      </c>
      <c r="K249" s="39">
        <f>PA!$T$12</f>
        <v>605.41875819999996</v>
      </c>
      <c r="L249" s="39">
        <f>PA!$U$12</f>
        <v>651.42425279999998</v>
      </c>
      <c r="M249" s="39">
        <f>PA!$V$12</f>
        <v>665.43990280000003</v>
      </c>
    </row>
    <row r="250" spans="1:13" x14ac:dyDescent="0.25">
      <c r="A250" s="40" t="s">
        <v>46</v>
      </c>
      <c r="B250" s="40" t="str">
        <f>PA!$A$13</f>
        <v>PA 30:2</v>
      </c>
      <c r="C250" s="39" t="str">
        <f>PA!$L$13</f>
        <v>C33H61O8P1</v>
      </c>
      <c r="D250" s="39">
        <f>PA!$M$13</f>
        <v>616.41038359999993</v>
      </c>
      <c r="E250" s="39">
        <f>PA!$N$13</f>
        <v>617.41765820000001</v>
      </c>
      <c r="F250" s="39">
        <f>PA!$O$13</f>
        <v>599.4065382</v>
      </c>
      <c r="G250" s="39">
        <f>PA!$P$13</f>
        <v>634.44420359999992</v>
      </c>
      <c r="H250" s="39">
        <f>PA!$Q$13</f>
        <v>639.39960359999998</v>
      </c>
      <c r="I250" s="39">
        <f>PA!$R$13</f>
        <v>655.37354359999995</v>
      </c>
      <c r="J250" s="39">
        <f>PA!$S$13</f>
        <v>623.42584360000001</v>
      </c>
      <c r="K250" s="39">
        <f>PA!$T$13</f>
        <v>615.40310899999986</v>
      </c>
      <c r="L250" s="39">
        <f>PA!$U$13</f>
        <v>661.40860359999988</v>
      </c>
      <c r="M250" s="39">
        <f>PA!$V$13</f>
        <v>675.42425359999993</v>
      </c>
    </row>
    <row r="251" spans="1:13" x14ac:dyDescent="0.25">
      <c r="A251" s="40" t="s">
        <v>46</v>
      </c>
      <c r="B251" s="40" t="str">
        <f>PA!$A$14</f>
        <v>PA 30:1</v>
      </c>
      <c r="C251" s="39" t="str">
        <f>PA!$L$14</f>
        <v>C33H63O8P1</v>
      </c>
      <c r="D251" s="39">
        <f>PA!$M$14</f>
        <v>618.42603280000003</v>
      </c>
      <c r="E251" s="39">
        <f>PA!$N$14</f>
        <v>619.4333074000001</v>
      </c>
      <c r="F251" s="39">
        <f>PA!$O$14</f>
        <v>601.4221874000001</v>
      </c>
      <c r="G251" s="39">
        <f>PA!$P$14</f>
        <v>636.45985280000002</v>
      </c>
      <c r="H251" s="39">
        <f>PA!$Q$14</f>
        <v>641.41525280000008</v>
      </c>
      <c r="I251" s="39">
        <f>PA!$R$14</f>
        <v>657.38919280000005</v>
      </c>
      <c r="J251" s="39">
        <f>PA!$S$14</f>
        <v>625.44149280000011</v>
      </c>
      <c r="K251" s="39">
        <f>PA!$T$14</f>
        <v>617.41875819999996</v>
      </c>
      <c r="L251" s="39">
        <f>PA!$U$14</f>
        <v>663.42425279999998</v>
      </c>
      <c r="M251" s="39">
        <f>PA!$V$14</f>
        <v>677.43990280000003</v>
      </c>
    </row>
    <row r="252" spans="1:13" x14ac:dyDescent="0.25">
      <c r="A252" s="40" t="s">
        <v>46</v>
      </c>
      <c r="B252" s="40" t="str">
        <f>PA!$A$15</f>
        <v>PA 30:0</v>
      </c>
      <c r="C252" s="39" t="str">
        <f>PA!$L$15</f>
        <v>C33H65O8P1</v>
      </c>
      <c r="D252" s="39">
        <f>PA!$M$15</f>
        <v>620.44168200000001</v>
      </c>
      <c r="E252" s="39">
        <f>PA!$N$15</f>
        <v>621.44895660000009</v>
      </c>
      <c r="F252" s="39">
        <f>PA!$O$15</f>
        <v>603.43783660000008</v>
      </c>
      <c r="G252" s="39">
        <f>PA!$P$15</f>
        <v>638.47550200000001</v>
      </c>
      <c r="H252" s="39">
        <f>PA!$Q$15</f>
        <v>643.43090200000006</v>
      </c>
      <c r="I252" s="39">
        <f>PA!$R$15</f>
        <v>659.40484200000003</v>
      </c>
      <c r="J252" s="39">
        <f>PA!$S$15</f>
        <v>627.45714200000009</v>
      </c>
      <c r="K252" s="39">
        <f>PA!$T$15</f>
        <v>619.43440739999994</v>
      </c>
      <c r="L252" s="39">
        <f>PA!$U$15</f>
        <v>665.43990199999996</v>
      </c>
      <c r="M252" s="39">
        <f>PA!$V$15</f>
        <v>679.45555200000001</v>
      </c>
    </row>
    <row r="253" spans="1:13" x14ac:dyDescent="0.25">
      <c r="A253" s="40" t="s">
        <v>46</v>
      </c>
      <c r="B253" s="40" t="str">
        <f>PA!$A$16</f>
        <v>PA 31:2</v>
      </c>
      <c r="C253" s="39" t="str">
        <f>PA!$L$16</f>
        <v>C34H63O8P1</v>
      </c>
      <c r="D253" s="39">
        <f>PA!$M$16</f>
        <v>630.42603280000003</v>
      </c>
      <c r="E253" s="39">
        <f>PA!$N$16</f>
        <v>631.4333074000001</v>
      </c>
      <c r="F253" s="39">
        <f>PA!$O$16</f>
        <v>613.4221874000001</v>
      </c>
      <c r="G253" s="39">
        <f>PA!$P$16</f>
        <v>648.45985280000002</v>
      </c>
      <c r="H253" s="39">
        <f>PA!$Q$16</f>
        <v>653.41525280000008</v>
      </c>
      <c r="I253" s="39">
        <f>PA!$R$16</f>
        <v>669.38919280000005</v>
      </c>
      <c r="J253" s="39">
        <f>PA!$S$16</f>
        <v>637.44149280000011</v>
      </c>
      <c r="K253" s="39">
        <f>PA!$T$16</f>
        <v>629.41875819999996</v>
      </c>
      <c r="L253" s="39">
        <f>PA!$U$16</f>
        <v>675.42425279999998</v>
      </c>
      <c r="M253" s="39">
        <f>PA!$V$16</f>
        <v>689.43990280000003</v>
      </c>
    </row>
    <row r="254" spans="1:13" x14ac:dyDescent="0.25">
      <c r="A254" s="40" t="s">
        <v>46</v>
      </c>
      <c r="B254" s="40" t="str">
        <f>PA!$A$17</f>
        <v>PA 31:1</v>
      </c>
      <c r="C254" s="39" t="str">
        <f>PA!$L$17</f>
        <v>C34H65O8P1</v>
      </c>
      <c r="D254" s="39">
        <f>PA!$M$17</f>
        <v>632.44168200000001</v>
      </c>
      <c r="E254" s="39">
        <f>PA!$N$17</f>
        <v>633.44895660000009</v>
      </c>
      <c r="F254" s="39">
        <f>PA!$O$17</f>
        <v>615.43783660000008</v>
      </c>
      <c r="G254" s="39">
        <f>PA!$P$17</f>
        <v>650.47550200000001</v>
      </c>
      <c r="H254" s="39">
        <f>PA!$Q$17</f>
        <v>655.43090200000006</v>
      </c>
      <c r="I254" s="39">
        <f>PA!$R$17</f>
        <v>671.40484200000003</v>
      </c>
      <c r="J254" s="39">
        <f>PA!$S$17</f>
        <v>639.45714200000009</v>
      </c>
      <c r="K254" s="39">
        <f>PA!$T$17</f>
        <v>631.43440739999994</v>
      </c>
      <c r="L254" s="39">
        <f>PA!$U$17</f>
        <v>677.43990199999996</v>
      </c>
      <c r="M254" s="39">
        <f>PA!$V$17</f>
        <v>691.45555200000001</v>
      </c>
    </row>
    <row r="255" spans="1:13" x14ac:dyDescent="0.25">
      <c r="A255" s="40" t="s">
        <v>46</v>
      </c>
      <c r="B255" s="40" t="str">
        <f>PA!$A$18</f>
        <v>PA 31:0</v>
      </c>
      <c r="C255" s="39" t="str">
        <f>PA!$L$18</f>
        <v>C34H67O8P1</v>
      </c>
      <c r="D255" s="39">
        <f>PA!$M$18</f>
        <v>634.4573312</v>
      </c>
      <c r="E255" s="39">
        <f>PA!$N$18</f>
        <v>635.46460580000007</v>
      </c>
      <c r="F255" s="39">
        <f>PA!$O$18</f>
        <v>617.45348580000007</v>
      </c>
      <c r="G255" s="39">
        <f>PA!$P$18</f>
        <v>652.49115119999999</v>
      </c>
      <c r="H255" s="39">
        <f>PA!$Q$18</f>
        <v>657.44655120000004</v>
      </c>
      <c r="I255" s="39">
        <f>PA!$R$18</f>
        <v>673.42049120000001</v>
      </c>
      <c r="J255" s="39">
        <f>PA!$S$18</f>
        <v>641.47279120000007</v>
      </c>
      <c r="K255" s="39">
        <f>PA!$T$18</f>
        <v>633.45005659999993</v>
      </c>
      <c r="L255" s="39">
        <f>PA!$U$18</f>
        <v>679.45555119999995</v>
      </c>
      <c r="M255" s="39">
        <f>PA!$V$18</f>
        <v>693.4712012</v>
      </c>
    </row>
    <row r="256" spans="1:13" x14ac:dyDescent="0.25">
      <c r="A256" s="40" t="s">
        <v>46</v>
      </c>
      <c r="B256" s="40" t="str">
        <f>PA!$A$19</f>
        <v>PA 32:3</v>
      </c>
      <c r="C256" s="39" t="str">
        <f>PA!$L$19</f>
        <v>C35H63O8P1</v>
      </c>
      <c r="D256" s="39">
        <f>PA!$M$19</f>
        <v>642.42603280000003</v>
      </c>
      <c r="E256" s="39">
        <f>PA!$N$19</f>
        <v>643.4333074000001</v>
      </c>
      <c r="F256" s="39">
        <f>PA!$O$19</f>
        <v>625.4221874000001</v>
      </c>
      <c r="G256" s="39">
        <f>PA!$P$19</f>
        <v>660.45985280000002</v>
      </c>
      <c r="H256" s="39">
        <f>PA!$Q$19</f>
        <v>665.41525280000008</v>
      </c>
      <c r="I256" s="39">
        <f>PA!$R$19</f>
        <v>681.38919280000005</v>
      </c>
      <c r="J256" s="39">
        <f>PA!$S$19</f>
        <v>649.44149280000011</v>
      </c>
      <c r="K256" s="39">
        <f>PA!$T$19</f>
        <v>641.41875819999996</v>
      </c>
      <c r="L256" s="39">
        <f>PA!$U$19</f>
        <v>687.42425279999998</v>
      </c>
      <c r="M256" s="39">
        <f>PA!$V$19</f>
        <v>701.43990280000003</v>
      </c>
    </row>
    <row r="257" spans="1:13" x14ac:dyDescent="0.25">
      <c r="A257" s="40" t="s">
        <v>46</v>
      </c>
      <c r="B257" s="40" t="str">
        <f>PA!$A$20</f>
        <v>PA 32:2</v>
      </c>
      <c r="C257" s="39" t="str">
        <f>PA!$L$20</f>
        <v>C35H65O8P1</v>
      </c>
      <c r="D257" s="39">
        <f>PA!$M$20</f>
        <v>644.44168200000001</v>
      </c>
      <c r="E257" s="39">
        <f>PA!$N$20</f>
        <v>645.44895660000009</v>
      </c>
      <c r="F257" s="39">
        <f>PA!$O$20</f>
        <v>627.43783660000008</v>
      </c>
      <c r="G257" s="39">
        <f>PA!$P$20</f>
        <v>662.47550200000001</v>
      </c>
      <c r="H257" s="39">
        <f>PA!$Q$20</f>
        <v>667.43090200000006</v>
      </c>
      <c r="I257" s="39">
        <f>PA!$R$20</f>
        <v>683.40484200000003</v>
      </c>
      <c r="J257" s="39">
        <f>PA!$S$20</f>
        <v>651.45714200000009</v>
      </c>
      <c r="K257" s="39">
        <f>PA!$T$20</f>
        <v>643.43440739999994</v>
      </c>
      <c r="L257" s="39">
        <f>PA!$U$20</f>
        <v>689.43990199999996</v>
      </c>
      <c r="M257" s="39">
        <f>PA!$V$20</f>
        <v>703.45555200000001</v>
      </c>
    </row>
    <row r="258" spans="1:13" x14ac:dyDescent="0.25">
      <c r="A258" s="40" t="s">
        <v>46</v>
      </c>
      <c r="B258" s="40" t="str">
        <f>PA!$A$21</f>
        <v>PA 32:1</v>
      </c>
      <c r="C258" s="39" t="str">
        <f>PA!$L$21</f>
        <v>C35H67O8P1</v>
      </c>
      <c r="D258" s="39">
        <f>PA!$M$21</f>
        <v>646.4573312</v>
      </c>
      <c r="E258" s="39">
        <f>PA!$N$21</f>
        <v>647.46460580000007</v>
      </c>
      <c r="F258" s="39">
        <f>PA!$O$21</f>
        <v>629.45348580000007</v>
      </c>
      <c r="G258" s="39">
        <f>PA!$P$21</f>
        <v>664.49115119999999</v>
      </c>
      <c r="H258" s="39">
        <f>PA!$Q$21</f>
        <v>669.44655120000004</v>
      </c>
      <c r="I258" s="39">
        <f>PA!$R$21</f>
        <v>685.42049120000001</v>
      </c>
      <c r="J258" s="39">
        <f>PA!$S$21</f>
        <v>653.47279120000007</v>
      </c>
      <c r="K258" s="39">
        <f>PA!$T$21</f>
        <v>645.45005659999993</v>
      </c>
      <c r="L258" s="39">
        <f>PA!$U$21</f>
        <v>691.45555119999995</v>
      </c>
      <c r="M258" s="39">
        <f>PA!$V$21</f>
        <v>705.4712012</v>
      </c>
    </row>
    <row r="259" spans="1:13" x14ac:dyDescent="0.25">
      <c r="A259" s="40" t="s">
        <v>46</v>
      </c>
      <c r="B259" s="40" t="str">
        <f>PA!$A$22</f>
        <v>PA 32:0</v>
      </c>
      <c r="C259" s="39" t="str">
        <f>PA!$L$22</f>
        <v>C35H69O8P1</v>
      </c>
      <c r="D259" s="39">
        <f>PA!$M$22</f>
        <v>648.47298039999998</v>
      </c>
      <c r="E259" s="39">
        <f>PA!$N$22</f>
        <v>649.48025500000006</v>
      </c>
      <c r="F259" s="39">
        <f>PA!$O$22</f>
        <v>631.46913500000005</v>
      </c>
      <c r="G259" s="39">
        <f>PA!$P$22</f>
        <v>666.50680039999997</v>
      </c>
      <c r="H259" s="39">
        <f>PA!$Q$22</f>
        <v>671.46220040000003</v>
      </c>
      <c r="I259" s="39">
        <f>PA!$R$22</f>
        <v>687.4361404</v>
      </c>
      <c r="J259" s="39">
        <f>PA!$S$22</f>
        <v>655.48844040000006</v>
      </c>
      <c r="K259" s="39">
        <f>PA!$T$22</f>
        <v>647.46570579999991</v>
      </c>
      <c r="L259" s="39">
        <f>PA!$U$22</f>
        <v>693.47120039999993</v>
      </c>
      <c r="M259" s="39">
        <f>PA!$V$22</f>
        <v>707.48685039999998</v>
      </c>
    </row>
    <row r="260" spans="1:13" x14ac:dyDescent="0.25">
      <c r="A260" s="40" t="s">
        <v>46</v>
      </c>
      <c r="B260" s="40" t="str">
        <f>PA!$A$23</f>
        <v>PA 33:2</v>
      </c>
      <c r="C260" s="39" t="str">
        <f>PA!$L$23</f>
        <v>C36H67O8P1</v>
      </c>
      <c r="D260" s="39">
        <f>PA!$M$23</f>
        <v>658.4573312</v>
      </c>
      <c r="E260" s="39">
        <f>PA!$N$23</f>
        <v>659.46460580000007</v>
      </c>
      <c r="F260" s="39">
        <f>PA!$O$23</f>
        <v>641.45348580000007</v>
      </c>
      <c r="G260" s="39">
        <f>PA!$P$23</f>
        <v>676.49115119999999</v>
      </c>
      <c r="H260" s="39">
        <f>PA!$Q$23</f>
        <v>681.44655120000004</v>
      </c>
      <c r="I260" s="39">
        <f>PA!$R$23</f>
        <v>697.42049120000001</v>
      </c>
      <c r="J260" s="39">
        <f>PA!$S$23</f>
        <v>665.47279120000007</v>
      </c>
      <c r="K260" s="39">
        <f>PA!$T$23</f>
        <v>657.45005659999993</v>
      </c>
      <c r="L260" s="39">
        <f>PA!$U$23</f>
        <v>703.45555119999995</v>
      </c>
      <c r="M260" s="39">
        <f>PA!$V$23</f>
        <v>717.4712012</v>
      </c>
    </row>
    <row r="261" spans="1:13" x14ac:dyDescent="0.25">
      <c r="A261" s="40" t="s">
        <v>46</v>
      </c>
      <c r="B261" s="40" t="str">
        <f>PA!$A$24</f>
        <v>PA 33:1</v>
      </c>
      <c r="C261" s="39" t="str">
        <f>PA!$L$24</f>
        <v>C36H69O8P1</v>
      </c>
      <c r="D261" s="39">
        <f>PA!$M$24</f>
        <v>660.47298039999998</v>
      </c>
      <c r="E261" s="39">
        <f>PA!$N$24</f>
        <v>661.48025500000006</v>
      </c>
      <c r="F261" s="39">
        <f>PA!$O$24</f>
        <v>643.46913500000005</v>
      </c>
      <c r="G261" s="39">
        <f>PA!$P$24</f>
        <v>678.50680039999997</v>
      </c>
      <c r="H261" s="39">
        <f>PA!$Q$24</f>
        <v>683.46220040000003</v>
      </c>
      <c r="I261" s="39">
        <f>PA!$R$24</f>
        <v>699.4361404</v>
      </c>
      <c r="J261" s="39">
        <f>PA!$S$24</f>
        <v>667.48844040000006</v>
      </c>
      <c r="K261" s="39">
        <f>PA!$T$24</f>
        <v>659.46570579999991</v>
      </c>
      <c r="L261" s="39">
        <f>PA!$U$24</f>
        <v>705.47120039999993</v>
      </c>
      <c r="M261" s="39">
        <f>PA!$V$24</f>
        <v>719.48685039999998</v>
      </c>
    </row>
    <row r="262" spans="1:13" x14ac:dyDescent="0.25">
      <c r="A262" s="40" t="s">
        <v>46</v>
      </c>
      <c r="B262" s="40" t="str">
        <f>PA!$A$25</f>
        <v>PA 33:0</v>
      </c>
      <c r="C262" s="39" t="str">
        <f>PA!$L$25</f>
        <v>C36H71O8P1</v>
      </c>
      <c r="D262" s="39">
        <f>PA!$M$25</f>
        <v>662.48862959999997</v>
      </c>
      <c r="E262" s="39">
        <f>PA!$N$25</f>
        <v>663.49590420000004</v>
      </c>
      <c r="F262" s="39">
        <f>PA!$O$25</f>
        <v>645.48478420000004</v>
      </c>
      <c r="G262" s="39">
        <f>PA!$P$25</f>
        <v>680.52244959999996</v>
      </c>
      <c r="H262" s="39">
        <f>PA!$Q$25</f>
        <v>685.47784960000001</v>
      </c>
      <c r="I262" s="39">
        <f>PA!$R$25</f>
        <v>701.45178959999998</v>
      </c>
      <c r="J262" s="39">
        <f>PA!$S$25</f>
        <v>669.50408960000004</v>
      </c>
      <c r="K262" s="39">
        <f>PA!$T$25</f>
        <v>661.48135499999989</v>
      </c>
      <c r="L262" s="39">
        <f>PA!$U$25</f>
        <v>707.48684959999991</v>
      </c>
      <c r="M262" s="39">
        <f>PA!$V$25</f>
        <v>721.50249959999996</v>
      </c>
    </row>
    <row r="263" spans="1:13" x14ac:dyDescent="0.25">
      <c r="A263" s="40" t="s">
        <v>46</v>
      </c>
      <c r="B263" s="40" t="str">
        <f>PA!$A$26</f>
        <v>PA 34:2</v>
      </c>
      <c r="C263" s="39" t="str">
        <f>PA!$L$26</f>
        <v>C37H69O8P1</v>
      </c>
      <c r="D263" s="39">
        <f>PA!$M$26</f>
        <v>672.47298039999998</v>
      </c>
      <c r="E263" s="39">
        <f>PA!$N$26</f>
        <v>673.48025500000006</v>
      </c>
      <c r="F263" s="39">
        <f>PA!$O$26</f>
        <v>655.46913500000005</v>
      </c>
      <c r="G263" s="39">
        <f>PA!$P$26</f>
        <v>690.50680039999997</v>
      </c>
      <c r="H263" s="39">
        <f>PA!$Q$26</f>
        <v>695.46220040000003</v>
      </c>
      <c r="I263" s="39">
        <f>PA!$R$26</f>
        <v>711.4361404</v>
      </c>
      <c r="J263" s="39">
        <f>PA!$S$26</f>
        <v>679.48844040000006</v>
      </c>
      <c r="K263" s="39">
        <f>PA!$T$26</f>
        <v>671.46570579999991</v>
      </c>
      <c r="L263" s="39">
        <f>PA!$U$26</f>
        <v>717.47120039999993</v>
      </c>
      <c r="M263" s="39">
        <f>PA!$V$26</f>
        <v>731.48685039999998</v>
      </c>
    </row>
    <row r="264" spans="1:13" x14ac:dyDescent="0.25">
      <c r="A264" s="40" t="s">
        <v>46</v>
      </c>
      <c r="B264" s="40" t="str">
        <f>PA!$A$27</f>
        <v>PA 34:1</v>
      </c>
      <c r="C264" s="39" t="str">
        <f>PA!$L$27</f>
        <v>C37H71O8P1</v>
      </c>
      <c r="D264" s="39">
        <f>PA!$M$27</f>
        <v>674.48862959999997</v>
      </c>
      <c r="E264" s="39">
        <f>PA!$N$27</f>
        <v>675.49590420000004</v>
      </c>
      <c r="F264" s="39">
        <f>PA!$O$27</f>
        <v>657.48478420000004</v>
      </c>
      <c r="G264" s="39">
        <f>PA!$P$27</f>
        <v>692.52244959999996</v>
      </c>
      <c r="H264" s="39">
        <f>PA!$Q$27</f>
        <v>697.47784960000001</v>
      </c>
      <c r="I264" s="39">
        <f>PA!$R$27</f>
        <v>713.45178959999998</v>
      </c>
      <c r="J264" s="39">
        <f>PA!$S$27</f>
        <v>681.50408960000004</v>
      </c>
      <c r="K264" s="39">
        <f>PA!$T$27</f>
        <v>673.48135499999989</v>
      </c>
      <c r="L264" s="39">
        <f>PA!$U$27</f>
        <v>719.48684959999991</v>
      </c>
      <c r="M264" s="39">
        <f>PA!$V$27</f>
        <v>733.50249959999996</v>
      </c>
    </row>
    <row r="265" spans="1:13" x14ac:dyDescent="0.25">
      <c r="A265" s="40" t="s">
        <v>46</v>
      </c>
      <c r="B265" s="40" t="str">
        <f>PA!$A$28</f>
        <v>PA 34:0</v>
      </c>
      <c r="C265" s="39" t="str">
        <f>PA!$L$28</f>
        <v>C37H73O8P1</v>
      </c>
      <c r="D265" s="39">
        <f>PA!$M$28</f>
        <v>676.50427879999995</v>
      </c>
      <c r="E265" s="39">
        <f>PA!$N$28</f>
        <v>677.51155340000003</v>
      </c>
      <c r="F265" s="39">
        <f>PA!$O$28</f>
        <v>659.50043340000002</v>
      </c>
      <c r="G265" s="39">
        <f>PA!$P$28</f>
        <v>694.53809879999994</v>
      </c>
      <c r="H265" s="39">
        <f>PA!$Q$28</f>
        <v>699.4934988</v>
      </c>
      <c r="I265" s="39">
        <f>PA!$R$28</f>
        <v>715.46743879999997</v>
      </c>
      <c r="J265" s="39">
        <f>PA!$S$28</f>
        <v>683.51973880000003</v>
      </c>
      <c r="K265" s="39">
        <f>PA!$T$28</f>
        <v>675.49700419999988</v>
      </c>
      <c r="L265" s="39">
        <f>PA!$U$28</f>
        <v>721.5024987999999</v>
      </c>
      <c r="M265" s="39">
        <f>PA!$V$28</f>
        <v>735.51814879999995</v>
      </c>
    </row>
    <row r="266" spans="1:13" x14ac:dyDescent="0.25">
      <c r="A266" s="40" t="s">
        <v>46</v>
      </c>
      <c r="B266" s="40" t="str">
        <f>PA!$A$29</f>
        <v>PA 35:2</v>
      </c>
      <c r="C266" s="39" t="str">
        <f>PA!$L$29</f>
        <v>C38H71O8P1</v>
      </c>
      <c r="D266" s="39">
        <f>PA!$M$29</f>
        <v>686.48862959999997</v>
      </c>
      <c r="E266" s="39">
        <f>PA!$N$29</f>
        <v>687.49590420000004</v>
      </c>
      <c r="F266" s="39">
        <f>PA!$O$29</f>
        <v>669.48478420000004</v>
      </c>
      <c r="G266" s="39">
        <f>PA!$P$29</f>
        <v>704.52244959999996</v>
      </c>
      <c r="H266" s="39">
        <f>PA!$Q$29</f>
        <v>709.47784960000001</v>
      </c>
      <c r="I266" s="39">
        <f>PA!$R$29</f>
        <v>725.45178959999998</v>
      </c>
      <c r="J266" s="39">
        <f>PA!$S$29</f>
        <v>693.50408960000004</v>
      </c>
      <c r="K266" s="39">
        <f>PA!$T$29</f>
        <v>685.48135499999989</v>
      </c>
      <c r="L266" s="39">
        <f>PA!$U$29</f>
        <v>731.48684959999991</v>
      </c>
      <c r="M266" s="39">
        <f>PA!$V$29</f>
        <v>745.50249959999996</v>
      </c>
    </row>
    <row r="267" spans="1:13" x14ac:dyDescent="0.25">
      <c r="A267" s="40" t="s">
        <v>46</v>
      </c>
      <c r="B267" s="40" t="str">
        <f>PA!$A$30</f>
        <v>PA 35:1</v>
      </c>
      <c r="C267" s="39" t="str">
        <f>PA!$L$30</f>
        <v>C38H73O8P1</v>
      </c>
      <c r="D267" s="39">
        <f>PA!$M$30</f>
        <v>688.50427879999995</v>
      </c>
      <c r="E267" s="39">
        <f>PA!$N$30</f>
        <v>689.51155340000003</v>
      </c>
      <c r="F267" s="39">
        <f>PA!$O$30</f>
        <v>671.50043340000002</v>
      </c>
      <c r="G267" s="39">
        <f>PA!$P$30</f>
        <v>706.53809879999994</v>
      </c>
      <c r="H267" s="39">
        <f>PA!$Q$30</f>
        <v>711.4934988</v>
      </c>
      <c r="I267" s="39">
        <f>PA!$R$30</f>
        <v>727.46743879999997</v>
      </c>
      <c r="J267" s="39">
        <f>PA!$S$30</f>
        <v>695.51973880000003</v>
      </c>
      <c r="K267" s="39">
        <f>PA!$T$30</f>
        <v>687.49700419999988</v>
      </c>
      <c r="L267" s="39">
        <f>PA!$U$30</f>
        <v>733.5024987999999</v>
      </c>
      <c r="M267" s="39">
        <f>PA!$V$30</f>
        <v>747.51814879999995</v>
      </c>
    </row>
    <row r="268" spans="1:13" x14ac:dyDescent="0.25">
      <c r="A268" s="40" t="s">
        <v>46</v>
      </c>
      <c r="B268" s="40" t="str">
        <f>PA!$A$31</f>
        <v>PA 35:0</v>
      </c>
      <c r="C268" s="39" t="str">
        <f>PA!$L$31</f>
        <v>C38H75O8P1</v>
      </c>
      <c r="D268" s="39">
        <f>PA!$M$31</f>
        <v>690.51992800000005</v>
      </c>
      <c r="E268" s="39">
        <f>PA!$N$31</f>
        <v>691.52720260000012</v>
      </c>
      <c r="F268" s="39">
        <f>PA!$O$31</f>
        <v>673.51608260000012</v>
      </c>
      <c r="G268" s="39">
        <f>PA!$P$31</f>
        <v>708.55374800000004</v>
      </c>
      <c r="H268" s="39">
        <f>PA!$Q$31</f>
        <v>713.5091480000001</v>
      </c>
      <c r="I268" s="39">
        <f>PA!$R$31</f>
        <v>729.48308800000007</v>
      </c>
      <c r="J268" s="39">
        <f>PA!$S$31</f>
        <v>697.53538800000013</v>
      </c>
      <c r="K268" s="39">
        <f>PA!$T$31</f>
        <v>689.51265339999998</v>
      </c>
      <c r="L268" s="39">
        <f>PA!$U$31</f>
        <v>735.518148</v>
      </c>
      <c r="M268" s="39">
        <f>PA!$V$31</f>
        <v>749.53379800000005</v>
      </c>
    </row>
    <row r="269" spans="1:13" x14ac:dyDescent="0.25">
      <c r="A269" s="40" t="s">
        <v>46</v>
      </c>
      <c r="B269" s="40" t="str">
        <f>PA!$A$32</f>
        <v>PA 36:2</v>
      </c>
      <c r="C269" s="39" t="str">
        <f>PA!$L$32</f>
        <v>C39H73O8P1</v>
      </c>
      <c r="D269" s="39">
        <f>PA!$M$32</f>
        <v>700.50427879999995</v>
      </c>
      <c r="E269" s="39">
        <f>PA!$N$32</f>
        <v>701.51155340000003</v>
      </c>
      <c r="F269" s="39">
        <f>PA!$O$32</f>
        <v>683.50043340000002</v>
      </c>
      <c r="G269" s="39">
        <f>PA!$P$32</f>
        <v>718.53809879999994</v>
      </c>
      <c r="H269" s="39">
        <f>PA!$Q$32</f>
        <v>723.4934988</v>
      </c>
      <c r="I269" s="39">
        <f>PA!$R$32</f>
        <v>739.46743879999997</v>
      </c>
      <c r="J269" s="39">
        <f>PA!$S$32</f>
        <v>707.51973880000003</v>
      </c>
      <c r="K269" s="39">
        <f>PA!$T$32</f>
        <v>699.49700419999988</v>
      </c>
      <c r="L269" s="39">
        <f>PA!$U$32</f>
        <v>745.5024987999999</v>
      </c>
      <c r="M269" s="39">
        <f>PA!$V$32</f>
        <v>759.51814879999995</v>
      </c>
    </row>
    <row r="270" spans="1:13" x14ac:dyDescent="0.25">
      <c r="A270" s="40" t="s">
        <v>46</v>
      </c>
      <c r="B270" s="40" t="str">
        <f>PA!$A$33</f>
        <v>PA 36:1</v>
      </c>
      <c r="C270" s="39" t="str">
        <f>PA!$L$33</f>
        <v>C39H75O8P1</v>
      </c>
      <c r="D270" s="39">
        <f>PA!$M$33</f>
        <v>702.51992800000005</v>
      </c>
      <c r="E270" s="39">
        <f>PA!$N$33</f>
        <v>703.52720260000012</v>
      </c>
      <c r="F270" s="39">
        <f>PA!$O$33</f>
        <v>685.51608260000012</v>
      </c>
      <c r="G270" s="39">
        <f>PA!$P$33</f>
        <v>720.55374800000004</v>
      </c>
      <c r="H270" s="39">
        <f>PA!$Q$33</f>
        <v>725.5091480000001</v>
      </c>
      <c r="I270" s="39">
        <f>PA!$R$33</f>
        <v>741.48308800000007</v>
      </c>
      <c r="J270" s="39">
        <f>PA!$S$33</f>
        <v>709.53538800000013</v>
      </c>
      <c r="K270" s="39">
        <f>PA!$T$33</f>
        <v>701.51265339999998</v>
      </c>
      <c r="L270" s="39">
        <f>PA!$U$33</f>
        <v>747.518148</v>
      </c>
      <c r="M270" s="39">
        <f>PA!$V$33</f>
        <v>761.53379800000005</v>
      </c>
    </row>
    <row r="271" spans="1:13" x14ac:dyDescent="0.25">
      <c r="A271" s="40" t="s">
        <v>46</v>
      </c>
      <c r="B271" s="40" t="str">
        <f>PA!$A$34</f>
        <v>PA 36:0</v>
      </c>
      <c r="C271" s="39" t="str">
        <f>PA!$L$34</f>
        <v>C39H77O8P1</v>
      </c>
      <c r="D271" s="39">
        <f>PA!$M$34</f>
        <v>704.53557720000003</v>
      </c>
      <c r="E271" s="39">
        <f>PA!$N$34</f>
        <v>705.54285180000011</v>
      </c>
      <c r="F271" s="39">
        <f>PA!$O$34</f>
        <v>687.5317318000001</v>
      </c>
      <c r="G271" s="39">
        <f>PA!$P$34</f>
        <v>722.56939720000003</v>
      </c>
      <c r="H271" s="39">
        <f>PA!$Q$34</f>
        <v>727.52479720000008</v>
      </c>
      <c r="I271" s="39">
        <f>PA!$R$34</f>
        <v>743.49873720000005</v>
      </c>
      <c r="J271" s="39">
        <f>PA!$S$34</f>
        <v>711.55103720000011</v>
      </c>
      <c r="K271" s="39">
        <f>PA!$T$34</f>
        <v>703.52830259999996</v>
      </c>
      <c r="L271" s="39">
        <f>PA!$U$34</f>
        <v>749.53379719999998</v>
      </c>
      <c r="M271" s="39">
        <f>PA!$V$34</f>
        <v>763.54944720000003</v>
      </c>
    </row>
    <row r="272" spans="1:13" x14ac:dyDescent="0.25">
      <c r="A272" s="40" t="s">
        <v>46</v>
      </c>
      <c r="B272" s="40" t="str">
        <f>PA!$A$35</f>
        <v>PA 37:0</v>
      </c>
      <c r="C272" s="39" t="str">
        <f>PA!$L$35</f>
        <v>C40H79O8P1</v>
      </c>
      <c r="D272" s="39">
        <f>PA!$M$35</f>
        <v>718.55122640000002</v>
      </c>
      <c r="E272" s="39">
        <f>PA!$N$35</f>
        <v>719.55850100000009</v>
      </c>
      <c r="F272" s="39">
        <f>PA!$O$35</f>
        <v>701.54738100000009</v>
      </c>
      <c r="G272" s="39">
        <f>PA!$P$35</f>
        <v>736.58504640000001</v>
      </c>
      <c r="H272" s="39">
        <f>PA!$Q$35</f>
        <v>741.54044640000006</v>
      </c>
      <c r="I272" s="39">
        <f>PA!$R$35</f>
        <v>757.51438640000003</v>
      </c>
      <c r="J272" s="39">
        <f>PA!$S$35</f>
        <v>725.56668640000009</v>
      </c>
      <c r="K272" s="39">
        <f>PA!$T$35</f>
        <v>717.54395179999995</v>
      </c>
      <c r="L272" s="39">
        <f>PA!$U$35</f>
        <v>763.54944639999997</v>
      </c>
      <c r="M272" s="39">
        <f>PA!$V$35</f>
        <v>777.56509640000002</v>
      </c>
    </row>
    <row r="273" spans="1:20" x14ac:dyDescent="0.25">
      <c r="A273" s="40" t="s">
        <v>46</v>
      </c>
      <c r="B273" s="40">
        <f>PA!$A$36</f>
        <v>0</v>
      </c>
      <c r="C273" s="39">
        <f>PA!$L$36</f>
        <v>0</v>
      </c>
      <c r="D273" s="39">
        <f>PA!$M$36</f>
        <v>0</v>
      </c>
      <c r="E273" s="39">
        <f>PA!$N$36</f>
        <v>0</v>
      </c>
      <c r="F273" s="39">
        <f>PA!$O$36</f>
        <v>0</v>
      </c>
      <c r="G273" s="39">
        <f>PA!$P$36</f>
        <v>0</v>
      </c>
      <c r="H273" s="39">
        <f>PA!$Q$36</f>
        <v>0</v>
      </c>
      <c r="I273" s="39">
        <f>PA!$R$36</f>
        <v>0</v>
      </c>
      <c r="J273" s="39">
        <f>PA!$S$36</f>
        <v>0</v>
      </c>
      <c r="K273" s="39">
        <f>PA!$T$36</f>
        <v>0</v>
      </c>
      <c r="L273" s="39">
        <f>PA!$U$36</f>
        <v>0</v>
      </c>
      <c r="M273" s="39">
        <f>PA!$V$36</f>
        <v>0</v>
      </c>
    </row>
    <row r="274" spans="1:20" x14ac:dyDescent="0.25">
      <c r="A274" s="40" t="s">
        <v>46</v>
      </c>
      <c r="B274" s="40">
        <f>PA!$A$37</f>
        <v>0</v>
      </c>
      <c r="C274" s="39">
        <f>PA!$L$37</f>
        <v>0</v>
      </c>
      <c r="D274" s="39">
        <f>PA!$M$37</f>
        <v>0</v>
      </c>
      <c r="E274" s="39">
        <f>PA!$N$37</f>
        <v>0</v>
      </c>
      <c r="F274" s="39">
        <f>PA!$O$37</f>
        <v>0</v>
      </c>
      <c r="G274" s="39">
        <f>PA!$P$37</f>
        <v>0</v>
      </c>
      <c r="H274" s="39">
        <f>PA!$Q$37</f>
        <v>0</v>
      </c>
      <c r="I274" s="39">
        <f>PA!$R$37</f>
        <v>0</v>
      </c>
      <c r="J274" s="39">
        <f>PA!$S$37</f>
        <v>0</v>
      </c>
      <c r="K274" s="39">
        <f>PA!$T$37</f>
        <v>0</v>
      </c>
      <c r="L274" s="39">
        <f>PA!$U$37</f>
        <v>0</v>
      </c>
      <c r="M274" s="39">
        <f>PA!$V$37</f>
        <v>0</v>
      </c>
    </row>
    <row r="275" spans="1:20" x14ac:dyDescent="0.25">
      <c r="A275" s="40" t="s">
        <v>46</v>
      </c>
      <c r="B275" s="40">
        <f>PA!$A$38</f>
        <v>0</v>
      </c>
      <c r="C275" s="39">
        <f>PA!$L$38</f>
        <v>0</v>
      </c>
      <c r="D275" s="39">
        <f>PA!$M$38</f>
        <v>0</v>
      </c>
      <c r="E275" s="39">
        <f>PA!$N$38</f>
        <v>0</v>
      </c>
      <c r="F275" s="39">
        <f>PA!$O$38</f>
        <v>0</v>
      </c>
      <c r="G275" s="39">
        <f>PA!$P$38</f>
        <v>0</v>
      </c>
      <c r="H275" s="39">
        <f>PA!$Q$38</f>
        <v>0</v>
      </c>
      <c r="I275" s="39">
        <f>PA!$R$38</f>
        <v>0</v>
      </c>
      <c r="J275" s="39">
        <f>PA!$S$38</f>
        <v>0</v>
      </c>
      <c r="K275" s="39">
        <f>PA!$T$38</f>
        <v>0</v>
      </c>
      <c r="L275" s="39">
        <f>PA!$U$38</f>
        <v>0</v>
      </c>
      <c r="M275" s="39">
        <f>PA!$V$38</f>
        <v>0</v>
      </c>
    </row>
    <row r="276" spans="1:20" x14ac:dyDescent="0.25">
      <c r="A276" s="40" t="s">
        <v>46</v>
      </c>
      <c r="B276" s="40">
        <f>PA!$A$39</f>
        <v>0</v>
      </c>
      <c r="C276" s="39">
        <f>PA!$L$39</f>
        <v>0</v>
      </c>
      <c r="D276" s="39">
        <f>PA!$M$39</f>
        <v>0</v>
      </c>
      <c r="E276" s="39">
        <f>PA!$N$39</f>
        <v>0</v>
      </c>
      <c r="F276" s="39">
        <f>PA!$O$39</f>
        <v>0</v>
      </c>
      <c r="G276" s="39">
        <f>PA!$P$39</f>
        <v>0</v>
      </c>
      <c r="H276" s="39">
        <f>PA!$Q$39</f>
        <v>0</v>
      </c>
      <c r="I276" s="39">
        <f>PA!$R$39</f>
        <v>0</v>
      </c>
      <c r="J276" s="39">
        <f>PA!$S$39</f>
        <v>0</v>
      </c>
      <c r="K276" s="39">
        <f>PA!$T$39</f>
        <v>0</v>
      </c>
      <c r="L276" s="39">
        <f>PA!$U$39</f>
        <v>0</v>
      </c>
      <c r="M276" s="39">
        <f>PA!$V$39</f>
        <v>0</v>
      </c>
    </row>
    <row r="277" spans="1:20" x14ac:dyDescent="0.25">
      <c r="A277" s="40" t="s">
        <v>46</v>
      </c>
      <c r="B277" s="40">
        <f>PA!$A$40</f>
        <v>0</v>
      </c>
      <c r="C277" s="39">
        <f>PA!$L$40</f>
        <v>0</v>
      </c>
      <c r="D277" s="39">
        <f>PA!$M$40</f>
        <v>0</v>
      </c>
      <c r="E277" s="39">
        <f>PA!$N$40</f>
        <v>0</v>
      </c>
      <c r="F277" s="39">
        <f>PA!$O$40</f>
        <v>0</v>
      </c>
      <c r="G277" s="39">
        <f>PA!$P$40</f>
        <v>0</v>
      </c>
      <c r="H277" s="39">
        <f>PA!$Q$40</f>
        <v>0</v>
      </c>
      <c r="I277" s="39">
        <f>PA!$R$40</f>
        <v>0</v>
      </c>
      <c r="J277" s="39">
        <f>PA!$S$40</f>
        <v>0</v>
      </c>
      <c r="K277" s="39">
        <f>PA!$T$40</f>
        <v>0</v>
      </c>
      <c r="L277" s="39">
        <f>PA!$U$40</f>
        <v>0</v>
      </c>
      <c r="M277" s="39">
        <f>PA!$V$40</f>
        <v>0</v>
      </c>
    </row>
    <row r="278" spans="1:20" x14ac:dyDescent="0.25">
      <c r="A278" s="40" t="s">
        <v>46</v>
      </c>
      <c r="B278" s="40">
        <f>PA!$A$41</f>
        <v>0</v>
      </c>
      <c r="C278" s="39">
        <f>PA!$L$41</f>
        <v>0</v>
      </c>
      <c r="D278" s="39">
        <f>PA!$M$41</f>
        <v>0</v>
      </c>
      <c r="E278" s="39">
        <f>PA!$N$41</f>
        <v>0</v>
      </c>
      <c r="F278" s="39">
        <f>PA!$O$41</f>
        <v>0</v>
      </c>
      <c r="G278" s="39">
        <f>PA!$P$41</f>
        <v>0</v>
      </c>
      <c r="H278" s="39">
        <f>PA!$Q$41</f>
        <v>0</v>
      </c>
      <c r="I278" s="39">
        <f>PA!$R$41</f>
        <v>0</v>
      </c>
      <c r="J278" s="39">
        <f>PA!$S$41</f>
        <v>0</v>
      </c>
      <c r="K278" s="39">
        <f>PA!$T$41</f>
        <v>0</v>
      </c>
      <c r="L278" s="39">
        <f>PA!$U$41</f>
        <v>0</v>
      </c>
      <c r="M278" s="39">
        <f>PA!$V$41</f>
        <v>0</v>
      </c>
    </row>
    <row r="279" spans="1:20" x14ac:dyDescent="0.25">
      <c r="A279" s="40" t="s">
        <v>46</v>
      </c>
      <c r="B279" s="40">
        <f>PA!$A$42</f>
        <v>0</v>
      </c>
      <c r="C279" s="39">
        <f>PA!$L$42</f>
        <v>0</v>
      </c>
      <c r="D279" s="39">
        <f>PA!$M$42</f>
        <v>0</v>
      </c>
      <c r="E279" s="39">
        <f>PA!$N$42</f>
        <v>0</v>
      </c>
      <c r="F279" s="39">
        <f>PA!$O$42</f>
        <v>0</v>
      </c>
      <c r="G279" s="39">
        <f>PA!$P$42</f>
        <v>0</v>
      </c>
      <c r="H279" s="39">
        <f>PA!$Q$42</f>
        <v>0</v>
      </c>
      <c r="I279" s="39">
        <f>PA!$R$42</f>
        <v>0</v>
      </c>
      <c r="J279" s="39">
        <f>PA!$S$42</f>
        <v>0</v>
      </c>
      <c r="K279" s="39">
        <f>PA!$T$42</f>
        <v>0</v>
      </c>
      <c r="L279" s="39">
        <f>PA!$U$42</f>
        <v>0</v>
      </c>
      <c r="M279" s="39">
        <f>PA!$V$42</f>
        <v>0</v>
      </c>
    </row>
    <row r="280" spans="1:20" x14ac:dyDescent="0.25">
      <c r="A280" s="40" t="s">
        <v>46</v>
      </c>
      <c r="B280" s="40">
        <f>PA!$A$43</f>
        <v>0</v>
      </c>
      <c r="C280" s="39">
        <f>PA!$L$43</f>
        <v>0</v>
      </c>
      <c r="D280" s="39">
        <f>PA!$M$43</f>
        <v>0</v>
      </c>
      <c r="E280" s="39">
        <f>PA!$N$43</f>
        <v>0</v>
      </c>
      <c r="F280" s="39">
        <f>PA!$O$43</f>
        <v>0</v>
      </c>
      <c r="G280" s="39">
        <f>PA!$P$43</f>
        <v>0</v>
      </c>
      <c r="H280" s="39">
        <f>PA!$Q$43</f>
        <v>0</v>
      </c>
      <c r="I280" s="39">
        <f>PA!$R$43</f>
        <v>0</v>
      </c>
      <c r="J280" s="39">
        <f>PA!$S$43</f>
        <v>0</v>
      </c>
      <c r="K280" s="39">
        <f>PA!$T$43</f>
        <v>0</v>
      </c>
      <c r="L280" s="39">
        <f>PA!$U$43</f>
        <v>0</v>
      </c>
      <c r="M280" s="39">
        <f>PA!$V$43</f>
        <v>0</v>
      </c>
    </row>
    <row r="281" spans="1:20" x14ac:dyDescent="0.25">
      <c r="A281" s="40" t="s">
        <v>44</v>
      </c>
      <c r="B281" s="40" t="str">
        <f>CL!$A$3</f>
        <v>CL 46:2</v>
      </c>
      <c r="C281" s="39" t="str">
        <f>CL!$L$3</f>
        <v>C55H102O17P2</v>
      </c>
      <c r="D281" s="39">
        <f>CL!$M$3</f>
        <v>1096.6591902</v>
      </c>
      <c r="E281" s="39">
        <f>CL!$N$3</f>
        <v>1097.6664648000001</v>
      </c>
      <c r="F281" s="39">
        <f>CL!$O$3</f>
        <v>1079.6553448000002</v>
      </c>
      <c r="G281" s="39">
        <f>CL!$P$3</f>
        <v>1114.6930102000001</v>
      </c>
      <c r="H281" s="39">
        <f>CL!$Q$3</f>
        <v>1119.6484101999999</v>
      </c>
      <c r="I281" s="39">
        <f>CL!$R$3</f>
        <v>1135.6223502</v>
      </c>
      <c r="J281" s="39">
        <f>CL!$S$3</f>
        <v>1103.6746502000001</v>
      </c>
      <c r="K281" s="39">
        <f>CL!$T$3</f>
        <v>1095.6519155999999</v>
      </c>
      <c r="L281" s="39">
        <f>CL!$U$3</f>
        <v>1141.6574102</v>
      </c>
      <c r="M281" s="39">
        <f>CL!$V$3</f>
        <v>1155.6730602</v>
      </c>
      <c r="N281" s="39">
        <f>CL!$W$3</f>
        <v>547.32232049999993</v>
      </c>
      <c r="O281" s="39">
        <f>CL!$X$3</f>
        <v>0</v>
      </c>
      <c r="P281" s="39">
        <f>CL!$Y$3</f>
        <v>566.3634151</v>
      </c>
      <c r="Q281" s="39">
        <f>CL!$Z$3</f>
        <v>571.31881510000005</v>
      </c>
      <c r="R281" s="39">
        <f>CL!$AA$3</f>
        <v>587.29275510000002</v>
      </c>
      <c r="S281" s="39">
        <f>CL!$AB$3</f>
        <v>560.32784240000001</v>
      </c>
      <c r="T281" s="39">
        <f>CL!$AC$3</f>
        <v>568.31481240000005</v>
      </c>
    </row>
    <row r="282" spans="1:20" x14ac:dyDescent="0.25">
      <c r="A282" s="40" t="s">
        <v>44</v>
      </c>
      <c r="B282" s="40" t="str">
        <f>CL!$A$4</f>
        <v>CL 46:1</v>
      </c>
      <c r="C282" s="39" t="str">
        <f>CL!$L$4</f>
        <v>C55H104O17P2</v>
      </c>
      <c r="D282" s="39">
        <f>CL!$M$4</f>
        <v>1098.6748393999999</v>
      </c>
      <c r="E282" s="39">
        <f>CL!$N$4</f>
        <v>1099.682114</v>
      </c>
      <c r="F282" s="39">
        <f>CL!$O$4</f>
        <v>1081.6709940000001</v>
      </c>
      <c r="G282" s="39">
        <f>CL!$P$4</f>
        <v>1116.7086594</v>
      </c>
      <c r="H282" s="39">
        <f>CL!$Q$4</f>
        <v>1121.6640593999998</v>
      </c>
      <c r="I282" s="39">
        <f>CL!$R$4</f>
        <v>1137.6379993999999</v>
      </c>
      <c r="J282" s="39">
        <f>CL!$S$4</f>
        <v>1105.6902994</v>
      </c>
      <c r="K282" s="39">
        <f>CL!$T$4</f>
        <v>1097.6675647999998</v>
      </c>
      <c r="L282" s="39">
        <f>CL!$U$4</f>
        <v>1143.6730593999998</v>
      </c>
      <c r="M282" s="39">
        <f>CL!$V$4</f>
        <v>1157.6887093999999</v>
      </c>
      <c r="N282" s="39">
        <f>CL!$W$4</f>
        <v>548.33014509999987</v>
      </c>
      <c r="O282" s="39">
        <f>CL!$X$4</f>
        <v>0</v>
      </c>
      <c r="P282" s="39">
        <f>CL!$Y$4</f>
        <v>567.37123969999993</v>
      </c>
      <c r="Q282" s="39">
        <f>CL!$Z$4</f>
        <v>572.32663969999999</v>
      </c>
      <c r="R282" s="39">
        <f>CL!$AA$4</f>
        <v>588.30057969999996</v>
      </c>
      <c r="S282" s="39">
        <f>CL!$AB$4</f>
        <v>561.33566699999994</v>
      </c>
      <c r="T282" s="39">
        <f>CL!$AC$4</f>
        <v>569.32263699999999</v>
      </c>
    </row>
    <row r="283" spans="1:20" x14ac:dyDescent="0.25">
      <c r="A283" s="40" t="s">
        <v>44</v>
      </c>
      <c r="B283" s="40" t="str">
        <f>CL!$A$5</f>
        <v>CL 46:0</v>
      </c>
      <c r="C283" s="39" t="str">
        <f>CL!$L$5</f>
        <v>C55H106O17P2</v>
      </c>
      <c r="D283" s="39">
        <f>CL!$M$5</f>
        <v>1100.6904886</v>
      </c>
      <c r="E283" s="39">
        <f>CL!$N$5</f>
        <v>1101.6977632000001</v>
      </c>
      <c r="F283" s="39">
        <f>CL!$O$5</f>
        <v>1083.6866432000002</v>
      </c>
      <c r="G283" s="39">
        <f>CL!$P$5</f>
        <v>1118.7243086000001</v>
      </c>
      <c r="H283" s="39">
        <f>CL!$Q$5</f>
        <v>1123.6797085999999</v>
      </c>
      <c r="I283" s="39">
        <f>CL!$R$5</f>
        <v>1139.6536486</v>
      </c>
      <c r="J283" s="39">
        <f>CL!$S$5</f>
        <v>1107.7059486000001</v>
      </c>
      <c r="K283" s="39">
        <f>CL!$T$5</f>
        <v>1099.6832139999999</v>
      </c>
      <c r="L283" s="39">
        <f>CL!$U$5</f>
        <v>1145.6887085999999</v>
      </c>
      <c r="M283" s="39">
        <f>CL!$V$5</f>
        <v>1159.7043586</v>
      </c>
      <c r="N283" s="39">
        <f>CL!$W$5</f>
        <v>549.33796969999992</v>
      </c>
      <c r="O283" s="39">
        <f>CL!$X$5</f>
        <v>0</v>
      </c>
      <c r="P283" s="39">
        <f>CL!$Y$5</f>
        <v>568.37906429999998</v>
      </c>
      <c r="Q283" s="39">
        <f>CL!$Z$5</f>
        <v>573.33446430000004</v>
      </c>
      <c r="R283" s="39">
        <f>CL!$AA$5</f>
        <v>589.30840430000001</v>
      </c>
      <c r="S283" s="39">
        <f>CL!$AB$5</f>
        <v>562.34349159999999</v>
      </c>
      <c r="T283" s="39">
        <f>CL!$AC$5</f>
        <v>570.33046160000004</v>
      </c>
    </row>
    <row r="284" spans="1:20" x14ac:dyDescent="0.25">
      <c r="A284" s="40" t="s">
        <v>44</v>
      </c>
      <c r="B284" s="40" t="str">
        <f>CL!$A$6</f>
        <v>CL 47:2</v>
      </c>
      <c r="C284" s="39" t="str">
        <f>CL!$L$6</f>
        <v>C56H104O17P2</v>
      </c>
      <c r="D284" s="39">
        <f>CL!$M$6</f>
        <v>1110.6748393999999</v>
      </c>
      <c r="E284" s="39">
        <f>CL!$N$6</f>
        <v>1111.682114</v>
      </c>
      <c r="F284" s="39">
        <f>CL!$O$6</f>
        <v>1093.6709940000001</v>
      </c>
      <c r="G284" s="39">
        <f>CL!$P$6</f>
        <v>1128.7086594</v>
      </c>
      <c r="H284" s="39">
        <f>CL!$Q$6</f>
        <v>1133.6640593999998</v>
      </c>
      <c r="I284" s="39">
        <f>CL!$R$6</f>
        <v>1149.6379993999999</v>
      </c>
      <c r="J284" s="39">
        <f>CL!$S$6</f>
        <v>1117.6902994</v>
      </c>
      <c r="K284" s="39">
        <f>CL!$T$6</f>
        <v>1109.6675647999998</v>
      </c>
      <c r="L284" s="39">
        <f>CL!$U$6</f>
        <v>1155.6730593999998</v>
      </c>
      <c r="M284" s="39">
        <f>CL!$V$6</f>
        <v>1169.6887093999999</v>
      </c>
      <c r="N284" s="39">
        <f>CL!$W$6</f>
        <v>554.33014509999987</v>
      </c>
      <c r="O284" s="39">
        <f>CL!$X$6</f>
        <v>0</v>
      </c>
      <c r="P284" s="39">
        <f>CL!$Y$6</f>
        <v>573.37123969999993</v>
      </c>
      <c r="Q284" s="39">
        <f>CL!$Z$6</f>
        <v>578.32663969999999</v>
      </c>
      <c r="R284" s="39">
        <f>CL!$AA$6</f>
        <v>594.30057969999996</v>
      </c>
      <c r="S284" s="39">
        <f>CL!$AB$6</f>
        <v>567.33566699999994</v>
      </c>
      <c r="T284" s="39">
        <f>CL!$AC$6</f>
        <v>575.32263699999999</v>
      </c>
    </row>
    <row r="285" spans="1:20" x14ac:dyDescent="0.25">
      <c r="A285" s="40" t="s">
        <v>44</v>
      </c>
      <c r="B285" s="40" t="str">
        <f>CL!$A$7</f>
        <v>CL 47:1</v>
      </c>
      <c r="C285" s="39" t="str">
        <f>CL!$L$7</f>
        <v>C56H106O17P2</v>
      </c>
      <c r="D285" s="39">
        <f>CL!$M$7</f>
        <v>1112.6904886</v>
      </c>
      <c r="E285" s="39">
        <f>CL!$N$7</f>
        <v>1113.6977632000001</v>
      </c>
      <c r="F285" s="39">
        <f>CL!$O$7</f>
        <v>1095.6866432000002</v>
      </c>
      <c r="G285" s="39">
        <f>CL!$P$7</f>
        <v>1130.7243086000001</v>
      </c>
      <c r="H285" s="39">
        <f>CL!$Q$7</f>
        <v>1135.6797085999999</v>
      </c>
      <c r="I285" s="39">
        <f>CL!$R$7</f>
        <v>1151.6536486</v>
      </c>
      <c r="J285" s="39">
        <f>CL!$S$7</f>
        <v>1119.7059486000001</v>
      </c>
      <c r="K285" s="39">
        <f>CL!$T$7</f>
        <v>1111.6832139999999</v>
      </c>
      <c r="L285" s="39">
        <f>CL!$U$7</f>
        <v>1157.6887085999999</v>
      </c>
      <c r="M285" s="39">
        <f>CL!$V$7</f>
        <v>1171.7043586</v>
      </c>
      <c r="N285" s="39">
        <f>CL!$W$7</f>
        <v>555.33796969999992</v>
      </c>
      <c r="O285" s="39">
        <f>CL!$X$7</f>
        <v>0</v>
      </c>
      <c r="P285" s="39">
        <f>CL!$Y$7</f>
        <v>574.37906429999998</v>
      </c>
      <c r="Q285" s="39">
        <f>CL!$Z$7</f>
        <v>579.33446430000004</v>
      </c>
      <c r="R285" s="39">
        <f>CL!$AA$7</f>
        <v>595.30840430000001</v>
      </c>
      <c r="S285" s="39">
        <f>CL!$AB$7</f>
        <v>568.34349159999999</v>
      </c>
      <c r="T285" s="39">
        <f>CL!$AC$7</f>
        <v>576.33046160000004</v>
      </c>
    </row>
    <row r="286" spans="1:20" x14ac:dyDescent="0.25">
      <c r="A286" s="40" t="s">
        <v>44</v>
      </c>
      <c r="B286" s="40" t="str">
        <f>CL!$A$8</f>
        <v>CL 47:0</v>
      </c>
      <c r="C286" s="39" t="str">
        <f>CL!$L$8</f>
        <v>C56H108O17P2</v>
      </c>
      <c r="D286" s="39">
        <f>CL!$M$8</f>
        <v>1114.7061377999999</v>
      </c>
      <c r="E286" s="39">
        <f>CL!$N$8</f>
        <v>1115.7134123999999</v>
      </c>
      <c r="F286" s="39">
        <f>CL!$O$8</f>
        <v>1097.7022924</v>
      </c>
      <c r="G286" s="39">
        <f>CL!$P$8</f>
        <v>1132.7399578</v>
      </c>
      <c r="H286" s="39">
        <f>CL!$Q$8</f>
        <v>1137.6953577999998</v>
      </c>
      <c r="I286" s="39">
        <f>CL!$R$8</f>
        <v>1153.6692977999999</v>
      </c>
      <c r="J286" s="39">
        <f>CL!$S$8</f>
        <v>1121.7215977999999</v>
      </c>
      <c r="K286" s="39">
        <f>CL!$T$8</f>
        <v>1113.6988631999998</v>
      </c>
      <c r="L286" s="39">
        <f>CL!$U$8</f>
        <v>1159.7043577999998</v>
      </c>
      <c r="M286" s="39">
        <f>CL!$V$8</f>
        <v>1173.7200077999998</v>
      </c>
      <c r="N286" s="39">
        <f>CL!$W$8</f>
        <v>556.34579429999985</v>
      </c>
      <c r="O286" s="39">
        <f>CL!$X$8</f>
        <v>0</v>
      </c>
      <c r="P286" s="39">
        <f>CL!$Y$8</f>
        <v>575.38688889999992</v>
      </c>
      <c r="Q286" s="39">
        <f>CL!$Z$8</f>
        <v>580.34228889999997</v>
      </c>
      <c r="R286" s="39">
        <f>CL!$AA$8</f>
        <v>596.31622889999994</v>
      </c>
      <c r="S286" s="39">
        <f>CL!$AB$8</f>
        <v>569.35131619999993</v>
      </c>
      <c r="T286" s="39">
        <f>CL!$AC$8</f>
        <v>577.33828619999997</v>
      </c>
    </row>
    <row r="287" spans="1:20" x14ac:dyDescent="0.25">
      <c r="A287" s="40" t="s">
        <v>44</v>
      </c>
      <c r="B287" s="40" t="str">
        <f>CL!$A$9</f>
        <v>CL 48:2</v>
      </c>
      <c r="C287" s="39" t="str">
        <f>CL!$L$9</f>
        <v>C57H106O17P2</v>
      </c>
      <c r="D287" s="39">
        <f>CL!$M$9</f>
        <v>1124.6904886</v>
      </c>
      <c r="E287" s="39">
        <f>CL!$N$9</f>
        <v>1125.6977632000001</v>
      </c>
      <c r="F287" s="39">
        <f>CL!$O$9</f>
        <v>1107.6866432000002</v>
      </c>
      <c r="G287" s="39">
        <f>CL!$P$9</f>
        <v>1142.7243086000001</v>
      </c>
      <c r="H287" s="39">
        <f>CL!$Q$9</f>
        <v>1147.6797085999999</v>
      </c>
      <c r="I287" s="39">
        <f>CL!$R$9</f>
        <v>1163.6536486</v>
      </c>
      <c r="J287" s="39">
        <f>CL!$S$9</f>
        <v>1131.7059486000001</v>
      </c>
      <c r="K287" s="39">
        <f>CL!$T$9</f>
        <v>1123.6832139999999</v>
      </c>
      <c r="L287" s="39">
        <f>CL!$U$9</f>
        <v>1169.6887085999999</v>
      </c>
      <c r="M287" s="39">
        <f>CL!$V$9</f>
        <v>1183.7043586</v>
      </c>
      <c r="N287" s="39">
        <f>CL!$W$9</f>
        <v>561.33796969999992</v>
      </c>
      <c r="O287" s="39">
        <f>CL!$X$9</f>
        <v>0</v>
      </c>
      <c r="P287" s="39">
        <f>CL!$Y$9</f>
        <v>580.37906429999998</v>
      </c>
      <c r="Q287" s="39">
        <f>CL!$Z$9</f>
        <v>585.33446430000004</v>
      </c>
      <c r="R287" s="39">
        <f>CL!$AA$9</f>
        <v>601.30840430000001</v>
      </c>
      <c r="S287" s="39">
        <f>CL!$AB$9</f>
        <v>574.34349159999999</v>
      </c>
      <c r="T287" s="39">
        <f>CL!$AC$9</f>
        <v>582.33046160000004</v>
      </c>
    </row>
    <row r="288" spans="1:20" x14ac:dyDescent="0.25">
      <c r="A288" s="40" t="s">
        <v>44</v>
      </c>
      <c r="B288" s="40" t="str">
        <f>CL!$A$10</f>
        <v>CL 48:1</v>
      </c>
      <c r="C288" s="39" t="str">
        <f>CL!$L$10</f>
        <v>C57H108O17P2</v>
      </c>
      <c r="D288" s="39">
        <f>CL!$M$10</f>
        <v>1126.7061377999999</v>
      </c>
      <c r="E288" s="39">
        <f>CL!$N$10</f>
        <v>1127.7134123999999</v>
      </c>
      <c r="F288" s="39">
        <f>CL!$O$10</f>
        <v>1109.7022924</v>
      </c>
      <c r="G288" s="39">
        <f>CL!$P$10</f>
        <v>1144.7399578</v>
      </c>
      <c r="H288" s="39">
        <f>CL!$Q$10</f>
        <v>1149.6953577999998</v>
      </c>
      <c r="I288" s="39">
        <f>CL!$R$10</f>
        <v>1165.6692977999999</v>
      </c>
      <c r="J288" s="39">
        <f>CL!$S$10</f>
        <v>1133.7215977999999</v>
      </c>
      <c r="K288" s="39">
        <f>CL!$T$10</f>
        <v>1125.6988631999998</v>
      </c>
      <c r="L288" s="39">
        <f>CL!$U$10</f>
        <v>1171.7043577999998</v>
      </c>
      <c r="M288" s="39">
        <f>CL!$V$10</f>
        <v>1185.7200077999998</v>
      </c>
      <c r="N288" s="39">
        <f>CL!$W$10</f>
        <v>562.34579429999985</v>
      </c>
      <c r="O288" s="39">
        <f>CL!$X$10</f>
        <v>0</v>
      </c>
      <c r="P288" s="39">
        <f>CL!$Y$10</f>
        <v>581.38688889999992</v>
      </c>
      <c r="Q288" s="39">
        <f>CL!$Z$10</f>
        <v>586.34228889999997</v>
      </c>
      <c r="R288" s="39">
        <f>CL!$AA$10</f>
        <v>602.31622889999994</v>
      </c>
      <c r="S288" s="39">
        <f>CL!$AB$10</f>
        <v>575.35131619999993</v>
      </c>
      <c r="T288" s="39">
        <f>CL!$AC$10</f>
        <v>583.33828619999997</v>
      </c>
    </row>
    <row r="289" spans="1:20" x14ac:dyDescent="0.25">
      <c r="A289" s="40" t="s">
        <v>44</v>
      </c>
      <c r="B289" s="40" t="str">
        <f>CL!$A$11</f>
        <v>CL 48:0</v>
      </c>
      <c r="C289" s="39" t="str">
        <f>CL!$L$11</f>
        <v>C57H110O17P2</v>
      </c>
      <c r="D289" s="39">
        <f>CL!$M$11</f>
        <v>1128.7217869999999</v>
      </c>
      <c r="E289" s="39">
        <f>CL!$N$11</f>
        <v>1129.7290616</v>
      </c>
      <c r="F289" s="39">
        <f>CL!$O$11</f>
        <v>1111.7179416000001</v>
      </c>
      <c r="G289" s="39">
        <f>CL!$P$11</f>
        <v>1146.7556070000001</v>
      </c>
      <c r="H289" s="39">
        <f>CL!$Q$11</f>
        <v>1151.7110069999999</v>
      </c>
      <c r="I289" s="39">
        <f>CL!$R$11</f>
        <v>1167.684947</v>
      </c>
      <c r="J289" s="39">
        <f>CL!$S$11</f>
        <v>1135.737247</v>
      </c>
      <c r="K289" s="39">
        <f>CL!$T$11</f>
        <v>1127.7145123999999</v>
      </c>
      <c r="L289" s="39">
        <f>CL!$U$11</f>
        <v>1173.7200069999999</v>
      </c>
      <c r="M289" s="39">
        <f>CL!$V$11</f>
        <v>1187.7356569999999</v>
      </c>
      <c r="N289" s="39">
        <f>CL!$W$11</f>
        <v>563.3536188999999</v>
      </c>
      <c r="O289" s="39">
        <f>CL!$X$11</f>
        <v>0</v>
      </c>
      <c r="P289" s="39">
        <f>CL!$Y$11</f>
        <v>582.39471349999997</v>
      </c>
      <c r="Q289" s="39">
        <f>CL!$Z$11</f>
        <v>587.35011350000002</v>
      </c>
      <c r="R289" s="39">
        <f>CL!$AA$11</f>
        <v>603.32405349999999</v>
      </c>
      <c r="S289" s="39">
        <f>CL!$AB$11</f>
        <v>576.35914079999998</v>
      </c>
      <c r="T289" s="39">
        <f>CL!$AC$11</f>
        <v>584.34611080000002</v>
      </c>
    </row>
    <row r="290" spans="1:20" x14ac:dyDescent="0.25">
      <c r="A290" s="40" t="s">
        <v>44</v>
      </c>
      <c r="B290" s="40" t="str">
        <f>CL!$A$12</f>
        <v>CL 49:2</v>
      </c>
      <c r="C290" s="39" t="str">
        <f>CL!$L$12</f>
        <v>C58H108O17P2</v>
      </c>
      <c r="D290" s="39">
        <f>CL!$M$12</f>
        <v>1138.7061377999999</v>
      </c>
      <c r="E290" s="39">
        <f>CL!$N$12</f>
        <v>1139.7134123999999</v>
      </c>
      <c r="F290" s="39">
        <f>CL!$O$12</f>
        <v>1121.7022924</v>
      </c>
      <c r="G290" s="39">
        <f>CL!$P$12</f>
        <v>1156.7399578</v>
      </c>
      <c r="H290" s="39">
        <f>CL!$Q$12</f>
        <v>1161.6953577999998</v>
      </c>
      <c r="I290" s="39">
        <f>CL!$R$12</f>
        <v>1177.6692977999999</v>
      </c>
      <c r="J290" s="39">
        <f>CL!$S$12</f>
        <v>1145.7215977999999</v>
      </c>
      <c r="K290" s="39">
        <f>CL!$T$12</f>
        <v>1137.6988631999998</v>
      </c>
      <c r="L290" s="39">
        <f>CL!$U$12</f>
        <v>1183.7043577999998</v>
      </c>
      <c r="M290" s="39">
        <f>CL!$V$12</f>
        <v>1197.7200077999998</v>
      </c>
      <c r="N290" s="39">
        <f>CL!$W$12</f>
        <v>568.34579429999985</v>
      </c>
      <c r="O290" s="39">
        <f>CL!$X$12</f>
        <v>0</v>
      </c>
      <c r="P290" s="39">
        <f>CL!$Y$12</f>
        <v>587.38688889999992</v>
      </c>
      <c r="Q290" s="39">
        <f>CL!$Z$12</f>
        <v>592.34228889999997</v>
      </c>
      <c r="R290" s="39">
        <f>CL!$AA$12</f>
        <v>608.31622889999994</v>
      </c>
      <c r="S290" s="39">
        <f>CL!$AB$12</f>
        <v>581.35131619999993</v>
      </c>
      <c r="T290" s="39">
        <f>CL!$AC$12</f>
        <v>589.33828619999997</v>
      </c>
    </row>
    <row r="291" spans="1:20" x14ac:dyDescent="0.25">
      <c r="A291" s="40" t="s">
        <v>44</v>
      </c>
      <c r="B291" s="40" t="str">
        <f>CL!$A$13</f>
        <v>CL 49:1</v>
      </c>
      <c r="C291" s="39" t="str">
        <f>CL!$L$13</f>
        <v>C58H110O17P2</v>
      </c>
      <c r="D291" s="39">
        <f>CL!$M$13</f>
        <v>1140.7217869999999</v>
      </c>
      <c r="E291" s="39">
        <f>CL!$N$13</f>
        <v>1141.7290616</v>
      </c>
      <c r="F291" s="39">
        <f>CL!$O$13</f>
        <v>1123.7179416000001</v>
      </c>
      <c r="G291" s="39">
        <f>CL!$P$13</f>
        <v>1158.7556070000001</v>
      </c>
      <c r="H291" s="39">
        <f>CL!$Q$13</f>
        <v>1163.7110069999999</v>
      </c>
      <c r="I291" s="39">
        <f>CL!$R$13</f>
        <v>1179.684947</v>
      </c>
      <c r="J291" s="39">
        <f>CL!$S$13</f>
        <v>1147.737247</v>
      </c>
      <c r="K291" s="39">
        <f>CL!$T$13</f>
        <v>1139.7145123999999</v>
      </c>
      <c r="L291" s="39">
        <f>CL!$U$13</f>
        <v>1185.7200069999999</v>
      </c>
      <c r="M291" s="39">
        <f>CL!$V$13</f>
        <v>1199.7356569999999</v>
      </c>
      <c r="N291" s="39">
        <f>CL!$W$13</f>
        <v>569.3536188999999</v>
      </c>
      <c r="O291" s="39">
        <f>CL!$X$13</f>
        <v>0</v>
      </c>
      <c r="P291" s="39">
        <f>CL!$Y$13</f>
        <v>588.39471349999997</v>
      </c>
      <c r="Q291" s="39">
        <f>CL!$Z$13</f>
        <v>593.35011350000002</v>
      </c>
      <c r="R291" s="39">
        <f>CL!$AA$13</f>
        <v>609.32405349999999</v>
      </c>
      <c r="S291" s="39">
        <f>CL!$AB$13</f>
        <v>582.35914079999998</v>
      </c>
      <c r="T291" s="39">
        <f>CL!$AC$13</f>
        <v>590.34611080000002</v>
      </c>
    </row>
    <row r="292" spans="1:20" x14ac:dyDescent="0.25">
      <c r="A292" s="40" t="s">
        <v>44</v>
      </c>
      <c r="B292" s="40" t="str">
        <f>CL!$A$14</f>
        <v>CL 49:0</v>
      </c>
      <c r="C292" s="39" t="str">
        <f>CL!$L$14</f>
        <v>C58H112O17P2</v>
      </c>
      <c r="D292" s="39">
        <f>CL!$M$14</f>
        <v>1142.7374362</v>
      </c>
      <c r="E292" s="39">
        <f>CL!$N$14</f>
        <v>1143.7447108000001</v>
      </c>
      <c r="F292" s="39">
        <f>CL!$O$14</f>
        <v>1125.7335908000002</v>
      </c>
      <c r="G292" s="39">
        <f>CL!$P$14</f>
        <v>1160.7712562000002</v>
      </c>
      <c r="H292" s="39">
        <f>CL!$Q$14</f>
        <v>1165.7266562</v>
      </c>
      <c r="I292" s="39">
        <f>CL!$R$14</f>
        <v>1181.7005962000001</v>
      </c>
      <c r="J292" s="39">
        <f>CL!$S$14</f>
        <v>1149.7528962000001</v>
      </c>
      <c r="K292" s="39">
        <f>CL!$T$14</f>
        <v>1141.7301616</v>
      </c>
      <c r="L292" s="39">
        <f>CL!$U$14</f>
        <v>1187.7356562</v>
      </c>
      <c r="M292" s="39">
        <f>CL!$V$14</f>
        <v>1201.7513062</v>
      </c>
      <c r="N292" s="39">
        <f>CL!$W$14</f>
        <v>570.36144349999995</v>
      </c>
      <c r="O292" s="39">
        <f>CL!$X$14</f>
        <v>0</v>
      </c>
      <c r="P292" s="39">
        <f>CL!$Y$14</f>
        <v>589.40253810000002</v>
      </c>
      <c r="Q292" s="39">
        <f>CL!$Z$14</f>
        <v>594.35793810000007</v>
      </c>
      <c r="R292" s="39">
        <f>CL!$AA$14</f>
        <v>610.33187810000004</v>
      </c>
      <c r="S292" s="39">
        <f>CL!$AB$14</f>
        <v>583.36696540000003</v>
      </c>
      <c r="T292" s="39">
        <f>CL!$AC$14</f>
        <v>591.35393540000007</v>
      </c>
    </row>
    <row r="293" spans="1:20" x14ac:dyDescent="0.25">
      <c r="A293" s="40" t="s">
        <v>44</v>
      </c>
      <c r="B293" s="40" t="str">
        <f>CL!$A$15</f>
        <v>CL 50:2</v>
      </c>
      <c r="C293" s="39" t="str">
        <f>CL!$L$15</f>
        <v>C59H110O17P2</v>
      </c>
      <c r="D293" s="39">
        <f>CL!$M$15</f>
        <v>1152.7217869999999</v>
      </c>
      <c r="E293" s="39">
        <f>CL!$N$15</f>
        <v>1153.7290616</v>
      </c>
      <c r="F293" s="39">
        <f>CL!$O$15</f>
        <v>1135.7179416000001</v>
      </c>
      <c r="G293" s="39">
        <f>CL!$P$15</f>
        <v>1170.7556070000001</v>
      </c>
      <c r="H293" s="39">
        <f>CL!$Q$15</f>
        <v>1175.7110069999999</v>
      </c>
      <c r="I293" s="39">
        <f>CL!$R$15</f>
        <v>1191.684947</v>
      </c>
      <c r="J293" s="39">
        <f>CL!$S$15</f>
        <v>1159.737247</v>
      </c>
      <c r="K293" s="39">
        <f>CL!$T$15</f>
        <v>1151.7145123999999</v>
      </c>
      <c r="L293" s="39">
        <f>CL!$U$15</f>
        <v>1197.7200069999999</v>
      </c>
      <c r="M293" s="39">
        <f>CL!$V$15</f>
        <v>1211.7356569999999</v>
      </c>
      <c r="N293" s="39">
        <f>CL!$W$15</f>
        <v>575.3536188999999</v>
      </c>
      <c r="O293" s="39">
        <f>CL!$X$15</f>
        <v>0</v>
      </c>
      <c r="P293" s="39">
        <f>CL!$Y$15</f>
        <v>594.39471349999997</v>
      </c>
      <c r="Q293" s="39">
        <f>CL!$Z$15</f>
        <v>599.35011350000002</v>
      </c>
      <c r="R293" s="39">
        <f>CL!$AA$15</f>
        <v>615.32405349999999</v>
      </c>
      <c r="S293" s="39">
        <f>CL!$AB$15</f>
        <v>588.35914079999998</v>
      </c>
      <c r="T293" s="39">
        <f>CL!$AC$15</f>
        <v>596.34611080000002</v>
      </c>
    </row>
    <row r="294" spans="1:20" x14ac:dyDescent="0.25">
      <c r="A294" s="40" t="s">
        <v>44</v>
      </c>
      <c r="B294" s="40" t="str">
        <f>CL!$A$16</f>
        <v>CL 50:1</v>
      </c>
      <c r="C294" s="39" t="str">
        <f>CL!$L$16</f>
        <v>C59H112O17P2</v>
      </c>
      <c r="D294" s="39">
        <f>CL!$M$16</f>
        <v>1154.7374362</v>
      </c>
      <c r="E294" s="39">
        <f>CL!$N$16</f>
        <v>1155.7447108000001</v>
      </c>
      <c r="F294" s="39">
        <f>CL!$O$16</f>
        <v>1137.7335908000002</v>
      </c>
      <c r="G294" s="39">
        <f>CL!$P$16</f>
        <v>1172.7712562000002</v>
      </c>
      <c r="H294" s="39">
        <f>CL!$Q$16</f>
        <v>1177.7266562</v>
      </c>
      <c r="I294" s="39">
        <f>CL!$R$16</f>
        <v>1193.7005962000001</v>
      </c>
      <c r="J294" s="39">
        <f>CL!$S$16</f>
        <v>1161.7528962000001</v>
      </c>
      <c r="K294" s="39">
        <f>CL!$T$16</f>
        <v>1153.7301616</v>
      </c>
      <c r="L294" s="39">
        <f>CL!$U$16</f>
        <v>1199.7356562</v>
      </c>
      <c r="M294" s="39">
        <f>CL!$V$16</f>
        <v>1213.7513062</v>
      </c>
      <c r="N294" s="39">
        <f>CL!$W$16</f>
        <v>576.36144349999995</v>
      </c>
      <c r="O294" s="39">
        <f>CL!$X$16</f>
        <v>0</v>
      </c>
      <c r="P294" s="39">
        <f>CL!$Y$16</f>
        <v>595.40253810000002</v>
      </c>
      <c r="Q294" s="39">
        <f>CL!$Z$16</f>
        <v>600.35793810000007</v>
      </c>
      <c r="R294" s="39">
        <f>CL!$AA$16</f>
        <v>616.33187810000004</v>
      </c>
      <c r="S294" s="39">
        <f>CL!$AB$16</f>
        <v>589.36696540000003</v>
      </c>
      <c r="T294" s="39">
        <f>CL!$AC$16</f>
        <v>597.35393540000007</v>
      </c>
    </row>
    <row r="295" spans="1:20" x14ac:dyDescent="0.25">
      <c r="A295" s="40" t="s">
        <v>44</v>
      </c>
      <c r="B295" s="40" t="str">
        <f>CL!$A$17</f>
        <v>CL 50:0</v>
      </c>
      <c r="C295" s="39" t="str">
        <f>CL!$L$17</f>
        <v>C59H114O17P2</v>
      </c>
      <c r="D295" s="39">
        <f>CL!$M$17</f>
        <v>1156.7530853999999</v>
      </c>
      <c r="E295" s="39">
        <f>CL!$N$17</f>
        <v>1157.76036</v>
      </c>
      <c r="F295" s="39">
        <f>CL!$O$17</f>
        <v>1139.7492400000001</v>
      </c>
      <c r="G295" s="39">
        <f>CL!$P$17</f>
        <v>1174.7869054</v>
      </c>
      <c r="H295" s="39">
        <f>CL!$Q$17</f>
        <v>1179.7423053999999</v>
      </c>
      <c r="I295" s="39">
        <f>CL!$R$17</f>
        <v>1195.7162453999999</v>
      </c>
      <c r="J295" s="39">
        <f>CL!$S$17</f>
        <v>1163.7685454</v>
      </c>
      <c r="K295" s="39">
        <f>CL!$T$17</f>
        <v>1155.7458107999998</v>
      </c>
      <c r="L295" s="39">
        <f>CL!$U$17</f>
        <v>1201.7513053999999</v>
      </c>
      <c r="M295" s="39">
        <f>CL!$V$17</f>
        <v>1215.7669553999999</v>
      </c>
      <c r="N295" s="39">
        <f>CL!$W$17</f>
        <v>577.36926809999989</v>
      </c>
      <c r="O295" s="39">
        <f>CL!$X$17</f>
        <v>0</v>
      </c>
      <c r="P295" s="39">
        <f>CL!$Y$17</f>
        <v>596.41036269999995</v>
      </c>
      <c r="Q295" s="39">
        <f>CL!$Z$17</f>
        <v>601.3657627</v>
      </c>
      <c r="R295" s="39">
        <f>CL!$AA$17</f>
        <v>617.33970269999998</v>
      </c>
      <c r="S295" s="39">
        <f>CL!$AB$17</f>
        <v>590.37478999999996</v>
      </c>
      <c r="T295" s="39">
        <f>CL!$AC$17</f>
        <v>598.36176</v>
      </c>
    </row>
    <row r="296" spans="1:20" x14ac:dyDescent="0.25">
      <c r="A296" s="40" t="s">
        <v>44</v>
      </c>
      <c r="B296" s="40" t="str">
        <f>CL!$A$18</f>
        <v>CL 51:3</v>
      </c>
      <c r="C296" s="39" t="str">
        <f>CL!$L$18</f>
        <v>C60H110O17P2</v>
      </c>
      <c r="D296" s="39">
        <f>CL!$M$18</f>
        <v>1164.7217869999999</v>
      </c>
      <c r="E296" s="39">
        <f>CL!$N$18</f>
        <v>1165.7290616</v>
      </c>
      <c r="F296" s="39">
        <f>CL!$O$18</f>
        <v>1147.7179416000001</v>
      </c>
      <c r="G296" s="39">
        <f>CL!$P$18</f>
        <v>1182.7556070000001</v>
      </c>
      <c r="H296" s="39">
        <f>CL!$Q$18</f>
        <v>1187.7110069999999</v>
      </c>
      <c r="I296" s="39">
        <f>CL!$R$18</f>
        <v>1203.684947</v>
      </c>
      <c r="J296" s="39">
        <f>CL!$S$18</f>
        <v>1171.737247</v>
      </c>
      <c r="K296" s="39">
        <f>CL!$T$18</f>
        <v>1163.7145123999999</v>
      </c>
      <c r="L296" s="39">
        <f>CL!$U$18</f>
        <v>1209.7200069999999</v>
      </c>
      <c r="M296" s="39">
        <f>CL!$V$18</f>
        <v>1223.7356569999999</v>
      </c>
      <c r="N296" s="39">
        <f>CL!$W$18</f>
        <v>581.3536188999999</v>
      </c>
      <c r="O296" s="39">
        <f>CL!$X$18</f>
        <v>0</v>
      </c>
      <c r="P296" s="39">
        <f>CL!$Y$18</f>
        <v>600.39471349999997</v>
      </c>
      <c r="Q296" s="39">
        <f>CL!$Z$18</f>
        <v>605.35011350000002</v>
      </c>
      <c r="R296" s="39">
        <f>CL!$AA$18</f>
        <v>621.32405349999999</v>
      </c>
      <c r="S296" s="39">
        <f>CL!$AB$18</f>
        <v>594.35914079999998</v>
      </c>
      <c r="T296" s="39">
        <f>CL!$AC$18</f>
        <v>602.34611080000002</v>
      </c>
    </row>
    <row r="297" spans="1:20" x14ac:dyDescent="0.25">
      <c r="A297" s="40" t="s">
        <v>44</v>
      </c>
      <c r="B297" s="40" t="str">
        <f>CL!$A$19</f>
        <v>CL 51:2</v>
      </c>
      <c r="C297" s="39" t="str">
        <f>CL!$L$19</f>
        <v>C60H112O17P2</v>
      </c>
      <c r="D297" s="39">
        <f>CL!$M$19</f>
        <v>1166.7374362</v>
      </c>
      <c r="E297" s="39">
        <f>CL!$N$19</f>
        <v>1167.7447108000001</v>
      </c>
      <c r="F297" s="39">
        <f>CL!$O$19</f>
        <v>1149.7335908000002</v>
      </c>
      <c r="G297" s="39">
        <f>CL!$P$19</f>
        <v>1184.7712562000002</v>
      </c>
      <c r="H297" s="39">
        <f>CL!$Q$19</f>
        <v>1189.7266562</v>
      </c>
      <c r="I297" s="39">
        <f>CL!$R$19</f>
        <v>1205.7005962000001</v>
      </c>
      <c r="J297" s="39">
        <f>CL!$S$19</f>
        <v>1173.7528962000001</v>
      </c>
      <c r="K297" s="39">
        <f>CL!$T$19</f>
        <v>1165.7301616</v>
      </c>
      <c r="L297" s="39">
        <f>CL!$U$19</f>
        <v>1211.7356562</v>
      </c>
      <c r="M297" s="39">
        <f>CL!$V$19</f>
        <v>1225.7513062</v>
      </c>
      <c r="N297" s="39">
        <f>CL!$W$19</f>
        <v>582.36144349999995</v>
      </c>
      <c r="O297" s="39">
        <f>CL!$X$19</f>
        <v>0</v>
      </c>
      <c r="P297" s="39">
        <f>CL!$Y$19</f>
        <v>601.40253810000002</v>
      </c>
      <c r="Q297" s="39">
        <f>CL!$Z$19</f>
        <v>606.35793810000007</v>
      </c>
      <c r="R297" s="39">
        <f>CL!$AA$19</f>
        <v>622.33187810000004</v>
      </c>
      <c r="S297" s="39">
        <f>CL!$AB$19</f>
        <v>595.36696540000003</v>
      </c>
      <c r="T297" s="39">
        <f>CL!$AC$19</f>
        <v>603.35393540000007</v>
      </c>
    </row>
    <row r="298" spans="1:20" x14ac:dyDescent="0.25">
      <c r="A298" s="40" t="s">
        <v>44</v>
      </c>
      <c r="B298" s="40" t="str">
        <f>CL!$A$20</f>
        <v>CL 51:1</v>
      </c>
      <c r="C298" s="39" t="str">
        <f>CL!$L$20</f>
        <v>C60H114O17P2</v>
      </c>
      <c r="D298" s="39">
        <f>CL!$M$20</f>
        <v>1168.7530853999999</v>
      </c>
      <c r="E298" s="39">
        <f>CL!$N$20</f>
        <v>1169.76036</v>
      </c>
      <c r="F298" s="39">
        <f>CL!$O$20</f>
        <v>1151.7492400000001</v>
      </c>
      <c r="G298" s="39">
        <f>CL!$P$20</f>
        <v>1186.7869054</v>
      </c>
      <c r="H298" s="39">
        <f>CL!$Q$20</f>
        <v>1191.7423053999999</v>
      </c>
      <c r="I298" s="39">
        <f>CL!$R$20</f>
        <v>1207.7162453999999</v>
      </c>
      <c r="J298" s="39">
        <f>CL!$S$20</f>
        <v>1175.7685454</v>
      </c>
      <c r="K298" s="39">
        <f>CL!$T$20</f>
        <v>1167.7458107999998</v>
      </c>
      <c r="L298" s="39">
        <f>CL!$U$20</f>
        <v>1213.7513053999999</v>
      </c>
      <c r="M298" s="39">
        <f>CL!$V$20</f>
        <v>1227.7669553999999</v>
      </c>
      <c r="N298" s="39">
        <f>CL!$W$20</f>
        <v>583.36926809999989</v>
      </c>
      <c r="O298" s="39">
        <f>CL!$X$20</f>
        <v>0</v>
      </c>
      <c r="P298" s="39">
        <f>CL!$Y$20</f>
        <v>602.41036269999995</v>
      </c>
      <c r="Q298" s="39">
        <f>CL!$Z$20</f>
        <v>607.3657627</v>
      </c>
      <c r="R298" s="39">
        <f>CL!$AA$20</f>
        <v>623.33970269999998</v>
      </c>
      <c r="S298" s="39">
        <f>CL!$AB$20</f>
        <v>596.37478999999996</v>
      </c>
      <c r="T298" s="39">
        <f>CL!$AC$20</f>
        <v>604.36176</v>
      </c>
    </row>
    <row r="299" spans="1:20" x14ac:dyDescent="0.25">
      <c r="A299" s="40" t="s">
        <v>44</v>
      </c>
      <c r="B299" s="40" t="str">
        <f>CL!$A$21</f>
        <v>CL 51:0</v>
      </c>
      <c r="C299" s="39" t="str">
        <f>CL!$L$21</f>
        <v>C60H116O17P2</v>
      </c>
      <c r="D299" s="39">
        <f>CL!$M$21</f>
        <v>1170.7687346</v>
      </c>
      <c r="E299" s="39">
        <f>CL!$N$21</f>
        <v>1171.7760092000001</v>
      </c>
      <c r="F299" s="39">
        <f>CL!$O$21</f>
        <v>1153.7648892000002</v>
      </c>
      <c r="G299" s="39">
        <f>CL!$P$21</f>
        <v>1188.8025546000001</v>
      </c>
      <c r="H299" s="39">
        <f>CL!$Q$21</f>
        <v>1193.7579545999999</v>
      </c>
      <c r="I299" s="39">
        <f>CL!$R$21</f>
        <v>1209.7318946</v>
      </c>
      <c r="J299" s="39">
        <f>CL!$S$21</f>
        <v>1177.7841946000001</v>
      </c>
      <c r="K299" s="39">
        <f>CL!$T$21</f>
        <v>1169.7614599999999</v>
      </c>
      <c r="L299" s="39">
        <f>CL!$U$21</f>
        <v>1215.7669546</v>
      </c>
      <c r="M299" s="39">
        <f>CL!$V$21</f>
        <v>1229.7826046</v>
      </c>
      <c r="N299" s="39">
        <f>CL!$W$21</f>
        <v>584.37709269999993</v>
      </c>
      <c r="O299" s="39">
        <f>CL!$X$21</f>
        <v>0</v>
      </c>
      <c r="P299" s="39">
        <f>CL!$Y$21</f>
        <v>603.4181873</v>
      </c>
      <c r="Q299" s="39">
        <f>CL!$Z$21</f>
        <v>608.37358730000005</v>
      </c>
      <c r="R299" s="39">
        <f>CL!$AA$21</f>
        <v>624.34752730000002</v>
      </c>
      <c r="S299" s="39">
        <f>CL!$AB$21</f>
        <v>597.38261460000001</v>
      </c>
      <c r="T299" s="39">
        <f>CL!$AC$21</f>
        <v>605.36958460000005</v>
      </c>
    </row>
    <row r="300" spans="1:20" x14ac:dyDescent="0.25">
      <c r="A300" s="40" t="s">
        <v>44</v>
      </c>
      <c r="B300" s="40" t="str">
        <f>CL!$A$22</f>
        <v>CL 52:2</v>
      </c>
      <c r="C300" s="39" t="str">
        <f>CL!$L$22</f>
        <v>C61H114O17P2</v>
      </c>
      <c r="D300" s="39">
        <f>CL!$M$22</f>
        <v>1180.7530853999999</v>
      </c>
      <c r="E300" s="39">
        <f>CL!$N$22</f>
        <v>1181.76036</v>
      </c>
      <c r="F300" s="39">
        <f>CL!$O$22</f>
        <v>1163.7492400000001</v>
      </c>
      <c r="G300" s="39">
        <f>CL!$P$22</f>
        <v>1198.7869054</v>
      </c>
      <c r="H300" s="39">
        <f>CL!$Q$22</f>
        <v>1203.7423053999999</v>
      </c>
      <c r="I300" s="39">
        <f>CL!$R$22</f>
        <v>1219.7162453999999</v>
      </c>
      <c r="J300" s="39">
        <f>CL!$S$22</f>
        <v>1187.7685454</v>
      </c>
      <c r="K300" s="39">
        <f>CL!$T$22</f>
        <v>1179.7458107999998</v>
      </c>
      <c r="L300" s="39">
        <f>CL!$U$22</f>
        <v>1225.7513053999999</v>
      </c>
      <c r="M300" s="39">
        <f>CL!$V$22</f>
        <v>1239.7669553999999</v>
      </c>
      <c r="N300" s="39">
        <f>CL!$W$22</f>
        <v>589.36926809999989</v>
      </c>
      <c r="O300" s="39">
        <f>CL!$X$22</f>
        <v>0</v>
      </c>
      <c r="P300" s="39">
        <f>CL!$Y$22</f>
        <v>608.41036269999995</v>
      </c>
      <c r="Q300" s="39">
        <f>CL!$Z$22</f>
        <v>613.3657627</v>
      </c>
      <c r="R300" s="39">
        <f>CL!$AA$22</f>
        <v>629.33970269999998</v>
      </c>
      <c r="S300" s="39">
        <f>CL!$AB$22</f>
        <v>602.37478999999996</v>
      </c>
      <c r="T300" s="39">
        <f>CL!$AC$22</f>
        <v>610.36176</v>
      </c>
    </row>
    <row r="301" spans="1:20" x14ac:dyDescent="0.25">
      <c r="A301" s="40" t="s">
        <v>44</v>
      </c>
      <c r="B301" s="40" t="str">
        <f>CL!$A$23</f>
        <v>CL 52:1</v>
      </c>
      <c r="C301" s="39" t="str">
        <f>CL!$L$23</f>
        <v>C61H116O17P2</v>
      </c>
      <c r="D301" s="39">
        <f>CL!$M$23</f>
        <v>1182.7687346</v>
      </c>
      <c r="E301" s="39">
        <f>CL!$N$23</f>
        <v>1183.7760092000001</v>
      </c>
      <c r="F301" s="39">
        <f>CL!$O$23</f>
        <v>1165.7648892000002</v>
      </c>
      <c r="G301" s="39">
        <f>CL!$P$23</f>
        <v>1200.8025546000001</v>
      </c>
      <c r="H301" s="39">
        <f>CL!$Q$23</f>
        <v>1205.7579545999999</v>
      </c>
      <c r="I301" s="39">
        <f>CL!$R$23</f>
        <v>1221.7318946</v>
      </c>
      <c r="J301" s="39">
        <f>CL!$S$23</f>
        <v>1189.7841946000001</v>
      </c>
      <c r="K301" s="39">
        <f>CL!$T$23</f>
        <v>1181.7614599999999</v>
      </c>
      <c r="L301" s="39">
        <f>CL!$U$23</f>
        <v>1227.7669546</v>
      </c>
      <c r="M301" s="39">
        <f>CL!$V$23</f>
        <v>1241.7826046</v>
      </c>
      <c r="N301" s="39">
        <f>CL!$W$23</f>
        <v>590.37709269999993</v>
      </c>
      <c r="O301" s="39">
        <f>CL!$X$23</f>
        <v>0</v>
      </c>
      <c r="P301" s="39">
        <f>CL!$Y$23</f>
        <v>609.4181873</v>
      </c>
      <c r="Q301" s="39">
        <f>CL!$Z$23</f>
        <v>614.37358730000005</v>
      </c>
      <c r="R301" s="39">
        <f>CL!$AA$23</f>
        <v>630.34752730000002</v>
      </c>
      <c r="S301" s="39">
        <f>CL!$AB$23</f>
        <v>603.38261460000001</v>
      </c>
      <c r="T301" s="39">
        <f>CL!$AC$23</f>
        <v>611.36958460000005</v>
      </c>
    </row>
    <row r="302" spans="1:20" x14ac:dyDescent="0.25">
      <c r="A302" s="40" t="s">
        <v>44</v>
      </c>
      <c r="B302" s="40" t="str">
        <f>CL!$A$24</f>
        <v>CL 52:0</v>
      </c>
      <c r="C302" s="39" t="str">
        <f>CL!$L$24</f>
        <v>C61H118O17P2</v>
      </c>
      <c r="D302" s="39">
        <f>CL!$M$24</f>
        <v>1184.7843837999999</v>
      </c>
      <c r="E302" s="39">
        <f>CL!$N$24</f>
        <v>1185.7916584</v>
      </c>
      <c r="F302" s="39">
        <f>CL!$O$24</f>
        <v>1167.7805384000001</v>
      </c>
      <c r="G302" s="39">
        <f>CL!$P$24</f>
        <v>1202.8182038</v>
      </c>
      <c r="H302" s="39">
        <f>CL!$Q$24</f>
        <v>1207.7736037999998</v>
      </c>
      <c r="I302" s="39">
        <f>CL!$R$24</f>
        <v>1223.7475437999999</v>
      </c>
      <c r="J302" s="39">
        <f>CL!$S$24</f>
        <v>1191.7998438</v>
      </c>
      <c r="K302" s="39">
        <f>CL!$T$24</f>
        <v>1183.7771091999998</v>
      </c>
      <c r="L302" s="39">
        <f>CL!$U$24</f>
        <v>1229.7826037999998</v>
      </c>
      <c r="M302" s="39">
        <f>CL!$V$24</f>
        <v>1243.7982537999999</v>
      </c>
      <c r="N302" s="39">
        <f>CL!$W$24</f>
        <v>591.38491729999987</v>
      </c>
      <c r="O302" s="39">
        <f>CL!$X$24</f>
        <v>0</v>
      </c>
      <c r="P302" s="39">
        <f>CL!$Y$24</f>
        <v>610.42601189999993</v>
      </c>
      <c r="Q302" s="39">
        <f>CL!$Z$24</f>
        <v>615.38141189999999</v>
      </c>
      <c r="R302" s="39">
        <f>CL!$AA$24</f>
        <v>631.35535189999996</v>
      </c>
      <c r="S302" s="39">
        <f>CL!$AB$24</f>
        <v>604.39043919999995</v>
      </c>
      <c r="T302" s="39">
        <f>CL!$AC$24</f>
        <v>612.37740919999999</v>
      </c>
    </row>
    <row r="303" spans="1:20" x14ac:dyDescent="0.25">
      <c r="A303" s="40" t="s">
        <v>44</v>
      </c>
      <c r="B303" s="40" t="str">
        <f>CL!$A$25</f>
        <v>CL 53:2</v>
      </c>
      <c r="C303" s="39" t="str">
        <f>CL!$L$25</f>
        <v>C62H116O17P2</v>
      </c>
      <c r="D303" s="39">
        <f>CL!$M$25</f>
        <v>1194.7687346</v>
      </c>
      <c r="E303" s="39">
        <f>CL!$N$25</f>
        <v>1195.7760092000001</v>
      </c>
      <c r="F303" s="39">
        <f>CL!$O$25</f>
        <v>1177.7648892000002</v>
      </c>
      <c r="G303" s="39">
        <f>CL!$P$25</f>
        <v>1212.8025546000001</v>
      </c>
      <c r="H303" s="39">
        <f>CL!$Q$25</f>
        <v>1217.7579545999999</v>
      </c>
      <c r="I303" s="39">
        <f>CL!$R$25</f>
        <v>1233.7318946</v>
      </c>
      <c r="J303" s="39">
        <f>CL!$S$25</f>
        <v>1201.7841946000001</v>
      </c>
      <c r="K303" s="39">
        <f>CL!$T$25</f>
        <v>1193.7614599999999</v>
      </c>
      <c r="L303" s="39">
        <f>CL!$U$25</f>
        <v>1239.7669546</v>
      </c>
      <c r="M303" s="39">
        <f>CL!$V$25</f>
        <v>1253.7826046</v>
      </c>
      <c r="N303" s="39">
        <f>CL!$W$25</f>
        <v>596.37709269999993</v>
      </c>
      <c r="O303" s="39">
        <f>CL!$X$25</f>
        <v>0</v>
      </c>
      <c r="P303" s="39">
        <f>CL!$Y$25</f>
        <v>615.4181873</v>
      </c>
      <c r="Q303" s="39">
        <f>CL!$Z$25</f>
        <v>620.37358730000005</v>
      </c>
      <c r="R303" s="39">
        <f>CL!$AA$25</f>
        <v>636.34752730000002</v>
      </c>
      <c r="S303" s="39">
        <f>CL!$AB$25</f>
        <v>609.38261460000001</v>
      </c>
      <c r="T303" s="39">
        <f>CL!$AC$25</f>
        <v>617.36958460000005</v>
      </c>
    </row>
    <row r="304" spans="1:20" x14ac:dyDescent="0.25">
      <c r="A304" s="40" t="s">
        <v>44</v>
      </c>
      <c r="B304" s="40" t="str">
        <f>CL!$A$26</f>
        <v>CL 53:1</v>
      </c>
      <c r="C304" s="39" t="str">
        <f>CL!$L$26</f>
        <v>C62H118O17P2</v>
      </c>
      <c r="D304" s="39">
        <f>CL!$M$26</f>
        <v>1196.7843837999999</v>
      </c>
      <c r="E304" s="39">
        <f>CL!$N$26</f>
        <v>1197.7916584</v>
      </c>
      <c r="F304" s="39">
        <f>CL!$O$26</f>
        <v>1179.7805384000001</v>
      </c>
      <c r="G304" s="39">
        <f>CL!$P$26</f>
        <v>1214.8182038</v>
      </c>
      <c r="H304" s="39">
        <f>CL!$Q$26</f>
        <v>1219.7736037999998</v>
      </c>
      <c r="I304" s="39">
        <f>CL!$R$26</f>
        <v>1235.7475437999999</v>
      </c>
      <c r="J304" s="39">
        <f>CL!$S$26</f>
        <v>1203.7998438</v>
      </c>
      <c r="K304" s="39">
        <f>CL!$T$26</f>
        <v>1195.7771091999998</v>
      </c>
      <c r="L304" s="39">
        <f>CL!$U$26</f>
        <v>1241.7826037999998</v>
      </c>
      <c r="M304" s="39">
        <f>CL!$V$26</f>
        <v>1255.7982537999999</v>
      </c>
      <c r="N304" s="39">
        <f>CL!$W$26</f>
        <v>597.38491729999987</v>
      </c>
      <c r="O304" s="39">
        <f>CL!$X$26</f>
        <v>0</v>
      </c>
      <c r="P304" s="39">
        <f>CL!$Y$26</f>
        <v>616.42601189999993</v>
      </c>
      <c r="Q304" s="39">
        <f>CL!$Z$26</f>
        <v>621.38141189999999</v>
      </c>
      <c r="R304" s="39">
        <f>CL!$AA$26</f>
        <v>637.35535189999996</v>
      </c>
      <c r="S304" s="39">
        <f>CL!$AB$26</f>
        <v>610.39043919999995</v>
      </c>
      <c r="T304" s="39">
        <f>CL!$AC$26</f>
        <v>618.37740919999999</v>
      </c>
    </row>
    <row r="305" spans="1:20" x14ac:dyDescent="0.25">
      <c r="A305" s="40" t="s">
        <v>44</v>
      </c>
      <c r="B305" s="40" t="str">
        <f>CL!$A$27</f>
        <v>CL 53:0</v>
      </c>
      <c r="C305" s="39" t="str">
        <f>CL!$L$27</f>
        <v>C62H120O17P2</v>
      </c>
      <c r="D305" s="39">
        <f>CL!$M$27</f>
        <v>1198.800033</v>
      </c>
      <c r="E305" s="39">
        <f>CL!$N$27</f>
        <v>1199.8073076000001</v>
      </c>
      <c r="F305" s="39">
        <f>CL!$O$27</f>
        <v>1181.7961876000002</v>
      </c>
      <c r="G305" s="39">
        <f>CL!$P$27</f>
        <v>1216.8338530000001</v>
      </c>
      <c r="H305" s="39">
        <f>CL!$Q$27</f>
        <v>1221.7892529999999</v>
      </c>
      <c r="I305" s="39">
        <f>CL!$R$27</f>
        <v>1237.763193</v>
      </c>
      <c r="J305" s="39">
        <f>CL!$S$27</f>
        <v>1205.8154930000001</v>
      </c>
      <c r="K305" s="39">
        <f>CL!$T$27</f>
        <v>1197.7927583999999</v>
      </c>
      <c r="L305" s="39">
        <f>CL!$U$27</f>
        <v>1243.7982529999999</v>
      </c>
      <c r="M305" s="39">
        <f>CL!$V$27</f>
        <v>1257.813903</v>
      </c>
      <c r="N305" s="39">
        <f>CL!$W$27</f>
        <v>598.39274189999992</v>
      </c>
      <c r="O305" s="39">
        <f>CL!$X$27</f>
        <v>0</v>
      </c>
      <c r="P305" s="39">
        <f>CL!$Y$27</f>
        <v>617.43383649999998</v>
      </c>
      <c r="Q305" s="39">
        <f>CL!$Z$27</f>
        <v>622.38923650000004</v>
      </c>
      <c r="R305" s="39">
        <f>CL!$AA$27</f>
        <v>638.36317650000001</v>
      </c>
      <c r="S305" s="39">
        <f>CL!$AB$27</f>
        <v>611.3982638</v>
      </c>
      <c r="T305" s="39">
        <f>CL!$AC$27</f>
        <v>619.38523380000004</v>
      </c>
    </row>
    <row r="306" spans="1:20" x14ac:dyDescent="0.25">
      <c r="A306" s="40" t="s">
        <v>44</v>
      </c>
      <c r="B306" s="40" t="str">
        <f>CL!$A$28</f>
        <v>CL 54:2</v>
      </c>
      <c r="C306" s="39" t="str">
        <f>CL!$L$28</f>
        <v>C63H118O17P2</v>
      </c>
      <c r="D306" s="39">
        <f>CL!$M$28</f>
        <v>1208.7843837999999</v>
      </c>
      <c r="E306" s="39">
        <f>CL!$N$28</f>
        <v>1209.7916584</v>
      </c>
      <c r="F306" s="39">
        <f>CL!$O$28</f>
        <v>1191.7805384000001</v>
      </c>
      <c r="G306" s="39">
        <f>CL!$P$28</f>
        <v>1226.8182038</v>
      </c>
      <c r="H306" s="39">
        <f>CL!$Q$28</f>
        <v>1231.7736037999998</v>
      </c>
      <c r="I306" s="39">
        <f>CL!$R$28</f>
        <v>1247.7475437999999</v>
      </c>
      <c r="J306" s="39">
        <f>CL!$S$28</f>
        <v>1215.7998438</v>
      </c>
      <c r="K306" s="39">
        <f>CL!$T$28</f>
        <v>1207.7771091999998</v>
      </c>
      <c r="L306" s="39">
        <f>CL!$U$28</f>
        <v>1253.7826037999998</v>
      </c>
      <c r="M306" s="39">
        <f>CL!$V$28</f>
        <v>1267.7982537999999</v>
      </c>
      <c r="N306" s="39">
        <f>CL!$W$28</f>
        <v>603.38491729999987</v>
      </c>
      <c r="O306" s="39">
        <f>CL!$X$28</f>
        <v>0</v>
      </c>
      <c r="P306" s="39">
        <f>CL!$Y$28</f>
        <v>622.42601189999993</v>
      </c>
      <c r="Q306" s="39">
        <f>CL!$Z$28</f>
        <v>627.38141189999999</v>
      </c>
      <c r="R306" s="39">
        <f>CL!$AA$28</f>
        <v>643.35535189999996</v>
      </c>
      <c r="S306" s="39">
        <f>CL!$AB$28</f>
        <v>616.39043919999995</v>
      </c>
      <c r="T306" s="39">
        <f>CL!$AC$28</f>
        <v>624.37740919999999</v>
      </c>
    </row>
    <row r="307" spans="1:20" x14ac:dyDescent="0.25">
      <c r="A307" s="40" t="s">
        <v>44</v>
      </c>
      <c r="B307" s="40" t="str">
        <f>CL!$A$29</f>
        <v>CL 54:1</v>
      </c>
      <c r="C307" s="39" t="str">
        <f>CL!$L$29</f>
        <v>C63H120O17P2</v>
      </c>
      <c r="D307" s="39">
        <f>CL!$M$29</f>
        <v>1210.800033</v>
      </c>
      <c r="E307" s="39">
        <f>CL!$N$29</f>
        <v>1211.8073076000001</v>
      </c>
      <c r="F307" s="39">
        <f>CL!$O$29</f>
        <v>1193.7961876000002</v>
      </c>
      <c r="G307" s="39">
        <f>CL!$P$29</f>
        <v>1228.8338530000001</v>
      </c>
      <c r="H307" s="39">
        <f>CL!$Q$29</f>
        <v>1233.7892529999999</v>
      </c>
      <c r="I307" s="39">
        <f>CL!$R$29</f>
        <v>1249.763193</v>
      </c>
      <c r="J307" s="39">
        <f>CL!$S$29</f>
        <v>1217.8154930000001</v>
      </c>
      <c r="K307" s="39">
        <f>CL!$T$29</f>
        <v>1209.7927583999999</v>
      </c>
      <c r="L307" s="39">
        <f>CL!$U$29</f>
        <v>1255.7982529999999</v>
      </c>
      <c r="M307" s="39">
        <f>CL!$V$29</f>
        <v>1269.813903</v>
      </c>
      <c r="N307" s="39">
        <f>CL!$W$29</f>
        <v>604.39274189999992</v>
      </c>
      <c r="O307" s="39">
        <f>CL!$X$29</f>
        <v>0</v>
      </c>
      <c r="P307" s="39">
        <f>CL!$Y$29</f>
        <v>623.43383649999998</v>
      </c>
      <c r="Q307" s="39">
        <f>CL!$Z$29</f>
        <v>628.38923650000004</v>
      </c>
      <c r="R307" s="39">
        <f>CL!$AA$29</f>
        <v>644.36317650000001</v>
      </c>
      <c r="S307" s="39">
        <f>CL!$AB$29</f>
        <v>617.3982638</v>
      </c>
      <c r="T307" s="39">
        <f>CL!$AC$29</f>
        <v>625.38523380000004</v>
      </c>
    </row>
    <row r="308" spans="1:20" x14ac:dyDescent="0.25">
      <c r="A308" s="40" t="s">
        <v>44</v>
      </c>
      <c r="B308" s="40" t="str">
        <f>CL!$A$30</f>
        <v>CL 54:0</v>
      </c>
      <c r="C308" s="39" t="str">
        <f>CL!$L$30</f>
        <v>C63H122O17P2</v>
      </c>
      <c r="D308" s="39">
        <f>CL!$M$30</f>
        <v>1212.8156821999999</v>
      </c>
      <c r="E308" s="39">
        <f>CL!$N$30</f>
        <v>1213.8229567999999</v>
      </c>
      <c r="F308" s="39">
        <f>CL!$O$30</f>
        <v>1195.8118368</v>
      </c>
      <c r="G308" s="39">
        <f>CL!$P$30</f>
        <v>1230.8495022</v>
      </c>
      <c r="H308" s="39">
        <f>CL!$Q$30</f>
        <v>1235.8049021999998</v>
      </c>
      <c r="I308" s="39">
        <f>CL!$R$30</f>
        <v>1251.7788421999999</v>
      </c>
      <c r="J308" s="39">
        <f>CL!$S$30</f>
        <v>1219.8311421999999</v>
      </c>
      <c r="K308" s="39">
        <f>CL!$T$30</f>
        <v>1211.8084075999998</v>
      </c>
      <c r="L308" s="39">
        <f>CL!$U$30</f>
        <v>1257.8139021999998</v>
      </c>
      <c r="M308" s="39">
        <f>CL!$V$30</f>
        <v>1271.8295521999999</v>
      </c>
      <c r="N308" s="39">
        <f>CL!$W$30</f>
        <v>605.40056649999985</v>
      </c>
      <c r="O308" s="39">
        <f>CL!$X$30</f>
        <v>0</v>
      </c>
      <c r="P308" s="39">
        <f>CL!$Y$30</f>
        <v>624.44166109999992</v>
      </c>
      <c r="Q308" s="39">
        <f>CL!$Z$30</f>
        <v>629.39706109999997</v>
      </c>
      <c r="R308" s="39">
        <f>CL!$AA$30</f>
        <v>645.37100109999994</v>
      </c>
      <c r="S308" s="39">
        <f>CL!$AB$30</f>
        <v>618.40608839999993</v>
      </c>
      <c r="T308" s="39">
        <f>CL!$AC$30</f>
        <v>626.39305839999997</v>
      </c>
    </row>
    <row r="309" spans="1:20" x14ac:dyDescent="0.25">
      <c r="A309" s="40" t="s">
        <v>44</v>
      </c>
      <c r="B309" s="40" t="str">
        <f>CL!$A$31</f>
        <v>CL 55:2</v>
      </c>
      <c r="C309" s="39" t="str">
        <f>CL!$L$31</f>
        <v>C64H120O17P2</v>
      </c>
      <c r="D309" s="39">
        <f>CL!$M$31</f>
        <v>1222.800033</v>
      </c>
      <c r="E309" s="39">
        <f>CL!$N$31</f>
        <v>1223.8073076000001</v>
      </c>
      <c r="F309" s="39">
        <f>CL!$O$31</f>
        <v>1205.7961876000002</v>
      </c>
      <c r="G309" s="39">
        <f>CL!$P$31</f>
        <v>1240.8338530000001</v>
      </c>
      <c r="H309" s="39">
        <f>CL!$Q$31</f>
        <v>1245.7892529999999</v>
      </c>
      <c r="I309" s="39">
        <f>CL!$R$31</f>
        <v>1261.763193</v>
      </c>
      <c r="J309" s="39">
        <f>CL!$S$31</f>
        <v>1229.8154930000001</v>
      </c>
      <c r="K309" s="39">
        <f>CL!$T$31</f>
        <v>1221.7927583999999</v>
      </c>
      <c r="L309" s="39">
        <f>CL!$U$31</f>
        <v>1267.7982529999999</v>
      </c>
      <c r="M309" s="39">
        <f>CL!$V$31</f>
        <v>1281.813903</v>
      </c>
      <c r="N309" s="39">
        <f>CL!$W$31</f>
        <v>610.39274189999992</v>
      </c>
      <c r="O309" s="39">
        <f>CL!$X$31</f>
        <v>0</v>
      </c>
      <c r="P309" s="39">
        <f>CL!$Y$31</f>
        <v>629.43383649999998</v>
      </c>
      <c r="Q309" s="39">
        <f>CL!$Z$31</f>
        <v>634.38923650000004</v>
      </c>
      <c r="R309" s="39">
        <f>CL!$AA$31</f>
        <v>650.36317650000001</v>
      </c>
      <c r="S309" s="39">
        <f>CL!$AB$31</f>
        <v>623.3982638</v>
      </c>
      <c r="T309" s="39">
        <f>CL!$AC$31</f>
        <v>631.38523380000004</v>
      </c>
    </row>
    <row r="310" spans="1:20" x14ac:dyDescent="0.25">
      <c r="A310" s="40" t="s">
        <v>44</v>
      </c>
      <c r="B310" s="40" t="str">
        <f>CL!$A$32</f>
        <v>CL 55:1</v>
      </c>
      <c r="C310" s="39" t="str">
        <f>CL!$L$32</f>
        <v>C64H122O17P2</v>
      </c>
      <c r="D310" s="39">
        <f>CL!$M$32</f>
        <v>1224.8156821999999</v>
      </c>
      <c r="E310" s="39">
        <f>CL!$N$32</f>
        <v>1225.8229567999999</v>
      </c>
      <c r="F310" s="39">
        <f>CL!$O$32</f>
        <v>1207.8118368</v>
      </c>
      <c r="G310" s="39">
        <f>CL!$P$32</f>
        <v>1242.8495022</v>
      </c>
      <c r="H310" s="39">
        <f>CL!$Q$32</f>
        <v>1247.8049021999998</v>
      </c>
      <c r="I310" s="39">
        <f>CL!$R$32</f>
        <v>1263.7788421999999</v>
      </c>
      <c r="J310" s="39">
        <f>CL!$S$32</f>
        <v>1231.8311421999999</v>
      </c>
      <c r="K310" s="39">
        <f>CL!$T$32</f>
        <v>1223.8084075999998</v>
      </c>
      <c r="L310" s="39">
        <f>CL!$U$32</f>
        <v>1269.8139021999998</v>
      </c>
      <c r="M310" s="39">
        <f>CL!$V$32</f>
        <v>1283.8295521999999</v>
      </c>
      <c r="N310" s="39">
        <f>CL!$W$32</f>
        <v>611.40056649999985</v>
      </c>
      <c r="O310" s="39">
        <f>CL!$X$32</f>
        <v>0</v>
      </c>
      <c r="P310" s="39">
        <f>CL!$Y$32</f>
        <v>630.44166109999992</v>
      </c>
      <c r="Q310" s="39">
        <f>CL!$Z$32</f>
        <v>635.39706109999997</v>
      </c>
      <c r="R310" s="39">
        <f>CL!$AA$32</f>
        <v>651.37100109999994</v>
      </c>
      <c r="S310" s="39">
        <f>CL!$AB$32</f>
        <v>624.40608839999993</v>
      </c>
      <c r="T310" s="39">
        <f>CL!$AC$32</f>
        <v>632.39305839999997</v>
      </c>
    </row>
    <row r="311" spans="1:20" x14ac:dyDescent="0.25">
      <c r="A311" s="40" t="s">
        <v>44</v>
      </c>
      <c r="B311" s="40" t="str">
        <f>CL!$A$33</f>
        <v>CL 55:0</v>
      </c>
      <c r="C311" s="39" t="str">
        <f>CL!$L$33</f>
        <v>C64H124O17P2</v>
      </c>
      <c r="D311" s="39">
        <f>CL!$M$33</f>
        <v>1226.8313314</v>
      </c>
      <c r="E311" s="39">
        <f>CL!$N$33</f>
        <v>1227.838606</v>
      </c>
      <c r="F311" s="39">
        <f>CL!$O$33</f>
        <v>1209.8274860000001</v>
      </c>
      <c r="G311" s="39">
        <f>CL!$P$33</f>
        <v>1244.8651514000001</v>
      </c>
      <c r="H311" s="39">
        <f>CL!$Q$33</f>
        <v>1249.8205513999999</v>
      </c>
      <c r="I311" s="39">
        <f>CL!$R$33</f>
        <v>1265.7944914</v>
      </c>
      <c r="J311" s="39">
        <f>CL!$S$33</f>
        <v>1233.8467914</v>
      </c>
      <c r="K311" s="39">
        <f>CL!$T$33</f>
        <v>1225.8240567999999</v>
      </c>
      <c r="L311" s="39">
        <f>CL!$U$33</f>
        <v>1271.8295513999999</v>
      </c>
      <c r="M311" s="39">
        <f>CL!$V$33</f>
        <v>1285.8452014</v>
      </c>
      <c r="N311" s="39">
        <f>CL!$W$33</f>
        <v>612.4083910999999</v>
      </c>
      <c r="O311" s="39">
        <f>CL!$X$33</f>
        <v>0</v>
      </c>
      <c r="P311" s="39">
        <f>CL!$Y$33</f>
        <v>631.44948569999997</v>
      </c>
      <c r="Q311" s="39">
        <f>CL!$Z$33</f>
        <v>636.40488570000002</v>
      </c>
      <c r="R311" s="39">
        <f>CL!$AA$33</f>
        <v>652.37882569999999</v>
      </c>
      <c r="S311" s="39">
        <f>CL!$AB$33</f>
        <v>625.41391299999998</v>
      </c>
      <c r="T311" s="39">
        <f>CL!$AC$33</f>
        <v>633.40088300000002</v>
      </c>
    </row>
    <row r="312" spans="1:20" x14ac:dyDescent="0.25">
      <c r="A312" s="40" t="s">
        <v>44</v>
      </c>
      <c r="B312" s="40" t="str">
        <f>CL!$A$34</f>
        <v>CL 56:2</v>
      </c>
      <c r="C312" s="39" t="str">
        <f>CL!$L$34</f>
        <v>C65H122O17P2</v>
      </c>
      <c r="D312" s="39">
        <f>CL!$M$34</f>
        <v>1236.8156821999999</v>
      </c>
      <c r="E312" s="39">
        <f>CL!$N$34</f>
        <v>1237.8229567999999</v>
      </c>
      <c r="F312" s="39">
        <f>CL!$O$34</f>
        <v>1219.8118368</v>
      </c>
      <c r="G312" s="39">
        <f>CL!$P$34</f>
        <v>1254.8495022</v>
      </c>
      <c r="H312" s="39">
        <f>CL!$Q$34</f>
        <v>1259.8049021999998</v>
      </c>
      <c r="I312" s="39">
        <f>CL!$R$34</f>
        <v>1275.7788421999999</v>
      </c>
      <c r="J312" s="39">
        <f>CL!$S$34</f>
        <v>1243.8311421999999</v>
      </c>
      <c r="K312" s="39">
        <f>CL!$T$34</f>
        <v>1235.8084075999998</v>
      </c>
      <c r="L312" s="39">
        <f>CL!$U$34</f>
        <v>1281.8139021999998</v>
      </c>
      <c r="M312" s="39">
        <f>CL!$V$34</f>
        <v>1295.8295521999999</v>
      </c>
      <c r="N312" s="39">
        <f>CL!$W$34</f>
        <v>617.40056649999985</v>
      </c>
      <c r="O312" s="39">
        <f>CL!$X$34</f>
        <v>0</v>
      </c>
      <c r="P312" s="39">
        <f>CL!$Y$34</f>
        <v>636.44166109999992</v>
      </c>
      <c r="Q312" s="39">
        <f>CL!$Z$34</f>
        <v>641.39706109999997</v>
      </c>
      <c r="R312" s="39">
        <f>CL!$AA$34</f>
        <v>657.37100109999994</v>
      </c>
      <c r="S312" s="39">
        <f>CL!$AB$34</f>
        <v>630.40608839999993</v>
      </c>
      <c r="T312" s="39">
        <f>CL!$AC$34</f>
        <v>638.39305839999997</v>
      </c>
    </row>
    <row r="313" spans="1:20" x14ac:dyDescent="0.25">
      <c r="A313" s="40" t="s">
        <v>44</v>
      </c>
      <c r="B313" s="40" t="str">
        <f>CL!$A$35</f>
        <v>CL 56:1</v>
      </c>
      <c r="C313" s="39" t="str">
        <f>CL!$L$35</f>
        <v>C65H124O17P2</v>
      </c>
      <c r="D313" s="39">
        <f>CL!$M$35</f>
        <v>1238.8313314</v>
      </c>
      <c r="E313" s="39">
        <f>CL!$N$35</f>
        <v>1239.838606</v>
      </c>
      <c r="F313" s="39">
        <f>CL!$O$35</f>
        <v>1221.8274860000001</v>
      </c>
      <c r="G313" s="39">
        <f>CL!$P$35</f>
        <v>1256.8651514000001</v>
      </c>
      <c r="H313" s="39">
        <f>CL!$Q$35</f>
        <v>1261.8205513999999</v>
      </c>
      <c r="I313" s="39">
        <f>CL!$R$35</f>
        <v>1277.7944914</v>
      </c>
      <c r="J313" s="39">
        <f>CL!$S$35</f>
        <v>1245.8467914</v>
      </c>
      <c r="K313" s="39">
        <f>CL!$T$35</f>
        <v>1237.8240567999999</v>
      </c>
      <c r="L313" s="39">
        <f>CL!$U$35</f>
        <v>1283.8295513999999</v>
      </c>
      <c r="M313" s="39">
        <f>CL!$V$35</f>
        <v>1297.8452014</v>
      </c>
      <c r="N313" s="39">
        <f>CL!$W$35</f>
        <v>618.4083910999999</v>
      </c>
      <c r="O313" s="39">
        <f>CL!$X$35</f>
        <v>0</v>
      </c>
      <c r="P313" s="39">
        <f>CL!$Y$35</f>
        <v>637.44948569999997</v>
      </c>
      <c r="Q313" s="39">
        <f>CL!$Z$35</f>
        <v>642.40488570000002</v>
      </c>
      <c r="R313" s="39">
        <f>CL!$AA$35</f>
        <v>658.37882569999999</v>
      </c>
      <c r="S313" s="39">
        <f>CL!$AB$35</f>
        <v>631.41391299999998</v>
      </c>
      <c r="T313" s="39">
        <f>CL!$AC$35</f>
        <v>639.40088300000002</v>
      </c>
    </row>
    <row r="314" spans="1:20" x14ac:dyDescent="0.25">
      <c r="A314" s="40" t="s">
        <v>44</v>
      </c>
      <c r="B314" s="40" t="str">
        <f>CL!$A$36</f>
        <v>CL 56:0</v>
      </c>
      <c r="C314" s="39" t="str">
        <f>CL!$L$36</f>
        <v>C65H126O17P2</v>
      </c>
      <c r="D314" s="39">
        <f>CL!$M$36</f>
        <v>1240.8469806000001</v>
      </c>
      <c r="E314" s="39">
        <f>CL!$N$36</f>
        <v>1241.8542552000001</v>
      </c>
      <c r="F314" s="39">
        <f>CL!$O$36</f>
        <v>1223.8431352000002</v>
      </c>
      <c r="G314" s="39">
        <f>CL!$P$36</f>
        <v>1258.8808006000002</v>
      </c>
      <c r="H314" s="39">
        <f>CL!$Q$36</f>
        <v>1263.8362006</v>
      </c>
      <c r="I314" s="39">
        <f>CL!$R$36</f>
        <v>1279.8101406000001</v>
      </c>
      <c r="J314" s="39">
        <f>CL!$S$36</f>
        <v>1247.8624406000001</v>
      </c>
      <c r="K314" s="39">
        <f>CL!$T$36</f>
        <v>1239.839706</v>
      </c>
      <c r="L314" s="39">
        <f>CL!$U$36</f>
        <v>1285.8452006</v>
      </c>
      <c r="M314" s="39">
        <f>CL!$V$36</f>
        <v>1299.8608506</v>
      </c>
      <c r="N314" s="39">
        <f>CL!$W$36</f>
        <v>619.41621569999995</v>
      </c>
      <c r="O314" s="39">
        <f>CL!$X$36</f>
        <v>0</v>
      </c>
      <c r="P314" s="39">
        <f>CL!$Y$36</f>
        <v>638.45731030000002</v>
      </c>
      <c r="Q314" s="39">
        <f>CL!$Z$36</f>
        <v>643.41271030000007</v>
      </c>
      <c r="R314" s="39">
        <f>CL!$AA$36</f>
        <v>659.38665030000004</v>
      </c>
      <c r="S314" s="39">
        <f>CL!$AB$36</f>
        <v>632.42173760000003</v>
      </c>
      <c r="T314" s="39">
        <f>CL!$AC$36</f>
        <v>640.40870760000007</v>
      </c>
    </row>
    <row r="315" spans="1:20" x14ac:dyDescent="0.25">
      <c r="A315" s="40" t="s">
        <v>44</v>
      </c>
      <c r="B315" s="40" t="str">
        <f>CL!$A$37</f>
        <v>CL 57:2</v>
      </c>
      <c r="C315" s="39" t="str">
        <f>CL!$L$37</f>
        <v>C66H124O17P2</v>
      </c>
      <c r="D315" s="39">
        <f>CL!$M$37</f>
        <v>1250.8313314</v>
      </c>
      <c r="E315" s="39">
        <f>CL!$N$37</f>
        <v>1251.838606</v>
      </c>
      <c r="F315" s="39">
        <f>CL!$O$37</f>
        <v>1233.8274860000001</v>
      </c>
      <c r="G315" s="39">
        <f>CL!$P$37</f>
        <v>1268.8651514000001</v>
      </c>
      <c r="H315" s="39">
        <f>CL!$Q$37</f>
        <v>1273.8205513999999</v>
      </c>
      <c r="I315" s="39">
        <f>CL!$R$37</f>
        <v>1289.7944914</v>
      </c>
      <c r="J315" s="39">
        <f>CL!$S$37</f>
        <v>1257.8467914</v>
      </c>
      <c r="K315" s="39">
        <f>CL!$T$37</f>
        <v>1249.8240567999999</v>
      </c>
      <c r="L315" s="39">
        <f>CL!$U$37</f>
        <v>1295.8295513999999</v>
      </c>
      <c r="M315" s="39">
        <f>CL!$V$37</f>
        <v>1309.8452014</v>
      </c>
      <c r="N315" s="39">
        <f>CL!$W$37</f>
        <v>624.4083910999999</v>
      </c>
      <c r="O315" s="39">
        <f>CL!$X$37</f>
        <v>0</v>
      </c>
      <c r="P315" s="39">
        <f>CL!$Y$37</f>
        <v>643.44948569999997</v>
      </c>
      <c r="Q315" s="39">
        <f>CL!$Z$37</f>
        <v>648.40488570000002</v>
      </c>
      <c r="R315" s="39">
        <f>CL!$AA$37</f>
        <v>664.37882569999999</v>
      </c>
      <c r="S315" s="39">
        <f>CL!$AB$37</f>
        <v>637.41391299999998</v>
      </c>
      <c r="T315" s="39">
        <f>CL!$AC$37</f>
        <v>645.40088300000002</v>
      </c>
    </row>
    <row r="316" spans="1:20" x14ac:dyDescent="0.25">
      <c r="A316" s="40" t="s">
        <v>44</v>
      </c>
      <c r="B316" s="40" t="str">
        <f>CL!$A$38</f>
        <v>CL 57:1</v>
      </c>
      <c r="C316" s="39" t="str">
        <f>CL!$L$38</f>
        <v>C66H126O17P2</v>
      </c>
      <c r="D316" s="39">
        <f>CL!$M$38</f>
        <v>1252.8469806000001</v>
      </c>
      <c r="E316" s="39">
        <f>CL!$N$38</f>
        <v>1253.8542552000001</v>
      </c>
      <c r="F316" s="39">
        <f>CL!$O$38</f>
        <v>1235.8431352000002</v>
      </c>
      <c r="G316" s="39">
        <f>CL!$P$38</f>
        <v>1270.8808006000002</v>
      </c>
      <c r="H316" s="39">
        <f>CL!$Q$38</f>
        <v>1275.8362006</v>
      </c>
      <c r="I316" s="39">
        <f>CL!$R$38</f>
        <v>1291.8101406000001</v>
      </c>
      <c r="J316" s="39">
        <f>CL!$S$38</f>
        <v>1259.8624406000001</v>
      </c>
      <c r="K316" s="39">
        <f>CL!$T$38</f>
        <v>1251.839706</v>
      </c>
      <c r="L316" s="39">
        <f>CL!$U$38</f>
        <v>1297.8452006</v>
      </c>
      <c r="M316" s="39">
        <f>CL!$V$38</f>
        <v>1311.8608506</v>
      </c>
      <c r="N316" s="39">
        <f>CL!$W$38</f>
        <v>625.41621569999995</v>
      </c>
      <c r="O316" s="39">
        <f>CL!$X$38</f>
        <v>0</v>
      </c>
      <c r="P316" s="39">
        <f>CL!$Y$38</f>
        <v>644.45731030000002</v>
      </c>
      <c r="Q316" s="39">
        <f>CL!$Z$38</f>
        <v>649.41271030000007</v>
      </c>
      <c r="R316" s="39">
        <f>CL!$AA$38</f>
        <v>665.38665030000004</v>
      </c>
      <c r="S316" s="39">
        <f>CL!$AB$38</f>
        <v>638.42173760000003</v>
      </c>
      <c r="T316" s="39">
        <f>CL!$AC$38</f>
        <v>646.40870760000007</v>
      </c>
    </row>
    <row r="317" spans="1:20" x14ac:dyDescent="0.25">
      <c r="A317" s="40" t="s">
        <v>44</v>
      </c>
      <c r="B317" s="40" t="str">
        <f>CL!$A$39</f>
        <v>CL 57:0</v>
      </c>
      <c r="C317" s="39" t="str">
        <f>CL!$L$39</f>
        <v>C66H128O17P2</v>
      </c>
      <c r="D317" s="39">
        <f>CL!$M$39</f>
        <v>1254.8626297999999</v>
      </c>
      <c r="E317" s="39">
        <f>CL!$N$39</f>
        <v>1255.8699044</v>
      </c>
      <c r="F317" s="39">
        <f>CL!$O$39</f>
        <v>1237.8587844000001</v>
      </c>
      <c r="G317" s="39">
        <f>CL!$P$39</f>
        <v>1272.8964498</v>
      </c>
      <c r="H317" s="39">
        <f>CL!$Q$39</f>
        <v>1277.8518497999999</v>
      </c>
      <c r="I317" s="39">
        <f>CL!$R$39</f>
        <v>1293.8257897999999</v>
      </c>
      <c r="J317" s="39">
        <f>CL!$S$39</f>
        <v>1261.8780898</v>
      </c>
      <c r="K317" s="39">
        <f>CL!$T$39</f>
        <v>1253.8553551999998</v>
      </c>
      <c r="L317" s="39">
        <f>CL!$U$39</f>
        <v>1299.8608497999999</v>
      </c>
      <c r="M317" s="39">
        <f>CL!$V$39</f>
        <v>1313.8764997999999</v>
      </c>
      <c r="N317" s="39">
        <f>CL!$W$39</f>
        <v>626.42404029999989</v>
      </c>
      <c r="O317" s="39">
        <f>CL!$X$39</f>
        <v>0</v>
      </c>
      <c r="P317" s="39">
        <f>CL!$Y$39</f>
        <v>645.46513489999995</v>
      </c>
      <c r="Q317" s="39">
        <f>CL!$Z$39</f>
        <v>650.42053490000001</v>
      </c>
      <c r="R317" s="39">
        <f>CL!$AA$39</f>
        <v>666.39447489999998</v>
      </c>
      <c r="S317" s="39">
        <f>CL!$AB$39</f>
        <v>639.42956219999996</v>
      </c>
      <c r="T317" s="39">
        <f>CL!$AC$39</f>
        <v>647.41653220000001</v>
      </c>
    </row>
    <row r="318" spans="1:20" x14ac:dyDescent="0.25">
      <c r="A318" s="40" t="s">
        <v>44</v>
      </c>
      <c r="B318" s="40" t="str">
        <f>CL!$A$40</f>
        <v>CL 58:2</v>
      </c>
      <c r="C318" s="39" t="str">
        <f>CL!$L$40</f>
        <v>C67H126O17P2</v>
      </c>
      <c r="D318" s="39">
        <f>CL!$M$40</f>
        <v>1264.8469806000001</v>
      </c>
      <c r="E318" s="39">
        <f>CL!$N$40</f>
        <v>1265.8542552000001</v>
      </c>
      <c r="F318" s="39">
        <f>CL!$O$40</f>
        <v>1247.8431352000002</v>
      </c>
      <c r="G318" s="39">
        <f>CL!$P$40</f>
        <v>1282.8808006000002</v>
      </c>
      <c r="H318" s="39">
        <f>CL!$Q$40</f>
        <v>1287.8362006</v>
      </c>
      <c r="I318" s="39">
        <f>CL!$R$40</f>
        <v>1303.8101406000001</v>
      </c>
      <c r="J318" s="39">
        <f>CL!$S$40</f>
        <v>1271.8624406000001</v>
      </c>
      <c r="K318" s="39">
        <f>CL!$T$40</f>
        <v>1263.839706</v>
      </c>
      <c r="L318" s="39">
        <f>CL!$U$40</f>
        <v>1309.8452006</v>
      </c>
      <c r="M318" s="39">
        <f>CL!$V$40</f>
        <v>1323.8608506</v>
      </c>
      <c r="N318" s="39">
        <f>CL!$W$40</f>
        <v>631.41621569999995</v>
      </c>
      <c r="O318" s="39">
        <f>CL!$X$40</f>
        <v>0</v>
      </c>
      <c r="P318" s="39">
        <f>CL!$Y$40</f>
        <v>650.45731030000002</v>
      </c>
      <c r="Q318" s="39">
        <f>CL!$Z$40</f>
        <v>655.41271030000007</v>
      </c>
      <c r="R318" s="39">
        <f>CL!$AA$40</f>
        <v>671.38665030000004</v>
      </c>
      <c r="S318" s="39">
        <f>CL!$AB$40</f>
        <v>644.42173760000003</v>
      </c>
      <c r="T318" s="39">
        <f>CL!$AC$40</f>
        <v>652.40870760000007</v>
      </c>
    </row>
    <row r="319" spans="1:20" x14ac:dyDescent="0.25">
      <c r="A319" s="40" t="s">
        <v>44</v>
      </c>
      <c r="B319" s="40" t="str">
        <f>CL!$A$41</f>
        <v>CL 58:1</v>
      </c>
      <c r="C319" s="39" t="str">
        <f>CL!$L$41</f>
        <v>C67H128O17P2</v>
      </c>
      <c r="D319" s="39">
        <f>CL!$M$41</f>
        <v>1266.8626297999999</v>
      </c>
      <c r="E319" s="39">
        <f>CL!$N$41</f>
        <v>1267.8699044</v>
      </c>
      <c r="F319" s="39">
        <f>CL!$O$41</f>
        <v>1249.8587844000001</v>
      </c>
      <c r="G319" s="39">
        <f>CL!$P$41</f>
        <v>1284.8964498</v>
      </c>
      <c r="H319" s="39">
        <f>CL!$Q$41</f>
        <v>1289.8518497999999</v>
      </c>
      <c r="I319" s="39">
        <f>CL!$R$41</f>
        <v>1305.8257897999999</v>
      </c>
      <c r="J319" s="39">
        <f>CL!$S$41</f>
        <v>1273.8780898</v>
      </c>
      <c r="K319" s="39">
        <f>CL!$T$41</f>
        <v>1265.8553551999998</v>
      </c>
      <c r="L319" s="39">
        <f>CL!$U$41</f>
        <v>1311.8608497999999</v>
      </c>
      <c r="M319" s="39">
        <f>CL!$V$41</f>
        <v>1325.8764997999999</v>
      </c>
      <c r="N319" s="39">
        <f>CL!$W$41</f>
        <v>632.42404029999989</v>
      </c>
      <c r="O319" s="39">
        <f>CL!$X$41</f>
        <v>0</v>
      </c>
      <c r="P319" s="39">
        <f>CL!$Y$41</f>
        <v>651.46513489999995</v>
      </c>
      <c r="Q319" s="39">
        <f>CL!$Z$41</f>
        <v>656.42053490000001</v>
      </c>
      <c r="R319" s="39">
        <f>CL!$AA$41</f>
        <v>672.39447489999998</v>
      </c>
      <c r="S319" s="39">
        <f>CL!$AB$41</f>
        <v>645.42956219999996</v>
      </c>
      <c r="T319" s="39">
        <f>CL!$AC$41</f>
        <v>653.41653220000001</v>
      </c>
    </row>
    <row r="320" spans="1:20" x14ac:dyDescent="0.25">
      <c r="A320" s="40" t="s">
        <v>44</v>
      </c>
      <c r="B320" s="40" t="str">
        <f>CL!$A$42</f>
        <v>CL 58:0</v>
      </c>
      <c r="C320" s="39" t="str">
        <f>CL!$L$42</f>
        <v>C67H130O17P2</v>
      </c>
      <c r="D320" s="39">
        <f>CL!$M$42</f>
        <v>1268.878279</v>
      </c>
      <c r="E320" s="39">
        <f>CL!$N$42</f>
        <v>1269.8855536000001</v>
      </c>
      <c r="F320" s="39">
        <f>CL!$O$42</f>
        <v>1251.8744336000002</v>
      </c>
      <c r="G320" s="39">
        <f>CL!$P$42</f>
        <v>1286.9120990000001</v>
      </c>
      <c r="H320" s="39">
        <f>CL!$Q$42</f>
        <v>1291.867499</v>
      </c>
      <c r="I320" s="39">
        <f>CL!$R$42</f>
        <v>1307.841439</v>
      </c>
      <c r="J320" s="39">
        <f>CL!$S$42</f>
        <v>1275.8937390000001</v>
      </c>
      <c r="K320" s="39">
        <f>CL!$T$42</f>
        <v>1267.8710043999999</v>
      </c>
      <c r="L320" s="39">
        <f>CL!$U$42</f>
        <v>1313.876499</v>
      </c>
      <c r="M320" s="39">
        <f>CL!$V$42</f>
        <v>1327.892149</v>
      </c>
      <c r="N320" s="39">
        <f>CL!$W$42</f>
        <v>633.43186489999994</v>
      </c>
      <c r="O320" s="39">
        <f>CL!$X$42</f>
        <v>0</v>
      </c>
      <c r="P320" s="39">
        <f>CL!$Y$42</f>
        <v>652.4729595</v>
      </c>
      <c r="Q320" s="39">
        <f>CL!$Z$42</f>
        <v>657.42835950000006</v>
      </c>
      <c r="R320" s="39">
        <f>CL!$AA$42</f>
        <v>673.40229950000003</v>
      </c>
      <c r="S320" s="39">
        <f>CL!$AB$42</f>
        <v>646.43738680000001</v>
      </c>
      <c r="T320" s="39">
        <f>CL!$AC$42</f>
        <v>654.42435680000006</v>
      </c>
    </row>
    <row r="321" spans="1:20" x14ac:dyDescent="0.25">
      <c r="A321" s="40" t="s">
        <v>44</v>
      </c>
      <c r="B321" s="40" t="str">
        <f>CL!$A$43</f>
        <v>CL 59:3</v>
      </c>
      <c r="C321" s="39" t="str">
        <f>CL!$L$43</f>
        <v>C68H126O17P2</v>
      </c>
      <c r="D321" s="39">
        <f>CL!$M$43</f>
        <v>1276.8469806000001</v>
      </c>
      <c r="E321" s="39">
        <f>CL!$N$43</f>
        <v>1277.8542552000001</v>
      </c>
      <c r="F321" s="39">
        <f>CL!$O$43</f>
        <v>1259.8431352000002</v>
      </c>
      <c r="G321" s="39">
        <f>CL!$P$43</f>
        <v>1294.8808006000002</v>
      </c>
      <c r="H321" s="39">
        <f>CL!$Q$43</f>
        <v>1299.8362006</v>
      </c>
      <c r="I321" s="39">
        <f>CL!$R$43</f>
        <v>1315.8101406000001</v>
      </c>
      <c r="J321" s="39">
        <f>CL!$S$43</f>
        <v>1283.8624406000001</v>
      </c>
      <c r="K321" s="39">
        <f>CL!$T$43</f>
        <v>1275.839706</v>
      </c>
      <c r="L321" s="39">
        <f>CL!$U$43</f>
        <v>1321.8452006</v>
      </c>
      <c r="M321" s="39">
        <f>CL!$V$43</f>
        <v>1335.8608506</v>
      </c>
      <c r="N321" s="39">
        <f>CL!$W$43</f>
        <v>637.41621569999995</v>
      </c>
      <c r="O321" s="39">
        <f>CL!$X$43</f>
        <v>0</v>
      </c>
      <c r="P321" s="39">
        <f>CL!$Y$43</f>
        <v>656.45731030000002</v>
      </c>
      <c r="Q321" s="39">
        <f>CL!$Z$43</f>
        <v>661.41271030000007</v>
      </c>
      <c r="R321" s="39">
        <f>CL!$AA$43</f>
        <v>677.38665030000004</v>
      </c>
      <c r="S321" s="39">
        <f>CL!$AB$43</f>
        <v>650.42173760000003</v>
      </c>
      <c r="T321" s="39">
        <f>CL!$AC$43</f>
        <v>658.40870760000007</v>
      </c>
    </row>
    <row r="322" spans="1:20" x14ac:dyDescent="0.25">
      <c r="A322" s="40" t="s">
        <v>44</v>
      </c>
      <c r="B322" s="40" t="str">
        <f>CL!$A$44</f>
        <v>CL 59:2</v>
      </c>
      <c r="C322" s="39" t="str">
        <f>CL!$L$44</f>
        <v>C68H128O17P2</v>
      </c>
      <c r="D322" s="39">
        <f>CL!$M$44</f>
        <v>1278.8626297999999</v>
      </c>
      <c r="E322" s="39">
        <f>CL!$N$44</f>
        <v>1279.8699044</v>
      </c>
      <c r="F322" s="39">
        <f>CL!$O$44</f>
        <v>1261.8587844000001</v>
      </c>
      <c r="G322" s="39">
        <f>CL!$P$44</f>
        <v>1296.8964498</v>
      </c>
      <c r="H322" s="39">
        <f>CL!$Q$44</f>
        <v>1301.8518497999999</v>
      </c>
      <c r="I322" s="39">
        <f>CL!$R$44</f>
        <v>1317.8257897999999</v>
      </c>
      <c r="J322" s="39">
        <f>CL!$S$44</f>
        <v>1285.8780898</v>
      </c>
      <c r="K322" s="39">
        <f>CL!$T$44</f>
        <v>1277.8553551999998</v>
      </c>
      <c r="L322" s="39">
        <f>CL!$U$44</f>
        <v>1323.8608497999999</v>
      </c>
      <c r="M322" s="39">
        <f>CL!$V$44</f>
        <v>1337.8764997999999</v>
      </c>
      <c r="N322" s="39">
        <f>CL!$W$44</f>
        <v>638.42404029999989</v>
      </c>
      <c r="O322" s="39">
        <f>CL!$X$44</f>
        <v>0</v>
      </c>
      <c r="P322" s="39">
        <f>CL!$Y$44</f>
        <v>657.46513489999995</v>
      </c>
      <c r="Q322" s="39">
        <f>CL!$Z$44</f>
        <v>662.42053490000001</v>
      </c>
      <c r="R322" s="39">
        <f>CL!$AA$44</f>
        <v>678.39447489999998</v>
      </c>
      <c r="S322" s="39">
        <f>CL!$AB$44</f>
        <v>651.42956219999996</v>
      </c>
      <c r="T322" s="39">
        <f>CL!$AC$44</f>
        <v>659.41653220000001</v>
      </c>
    </row>
    <row r="323" spans="1:20" x14ac:dyDescent="0.25">
      <c r="A323" s="40" t="s">
        <v>44</v>
      </c>
      <c r="B323" s="40" t="str">
        <f>CL!$A$45</f>
        <v>CL 59:1</v>
      </c>
      <c r="C323" s="39" t="str">
        <f>CL!$L$45</f>
        <v>C68H130O17P2</v>
      </c>
      <c r="D323" s="39">
        <f>CL!$M$45</f>
        <v>1280.878279</v>
      </c>
      <c r="E323" s="39">
        <f>CL!$N$45</f>
        <v>1281.8855536000001</v>
      </c>
      <c r="F323" s="39">
        <f>CL!$O$45</f>
        <v>1263.8744336000002</v>
      </c>
      <c r="G323" s="39">
        <f>CL!$P$45</f>
        <v>1298.9120990000001</v>
      </c>
      <c r="H323" s="39">
        <f>CL!$Q$45</f>
        <v>1303.867499</v>
      </c>
      <c r="I323" s="39">
        <f>CL!$R$45</f>
        <v>1319.841439</v>
      </c>
      <c r="J323" s="39">
        <f>CL!$S$45</f>
        <v>1287.8937390000001</v>
      </c>
      <c r="K323" s="39">
        <f>CL!$T$45</f>
        <v>1279.8710043999999</v>
      </c>
      <c r="L323" s="39">
        <f>CL!$U$45</f>
        <v>1325.876499</v>
      </c>
      <c r="M323" s="39">
        <f>CL!$V$45</f>
        <v>1339.892149</v>
      </c>
      <c r="N323" s="39">
        <f>CL!$W$45</f>
        <v>639.43186489999994</v>
      </c>
      <c r="O323" s="39">
        <f>CL!$X$45</f>
        <v>0</v>
      </c>
      <c r="P323" s="39">
        <f>CL!$Y$45</f>
        <v>658.4729595</v>
      </c>
      <c r="Q323" s="39">
        <f>CL!$Z$45</f>
        <v>663.42835950000006</v>
      </c>
      <c r="R323" s="39">
        <f>CL!$AA$45</f>
        <v>679.40229950000003</v>
      </c>
      <c r="S323" s="39">
        <f>CL!$AB$45</f>
        <v>652.43738680000001</v>
      </c>
      <c r="T323" s="39">
        <f>CL!$AC$45</f>
        <v>660.42435680000006</v>
      </c>
    </row>
    <row r="324" spans="1:20" x14ac:dyDescent="0.25">
      <c r="A324" s="40" t="s">
        <v>44</v>
      </c>
      <c r="B324" s="40" t="str">
        <f>CL!$A$46</f>
        <v>CL 59:0</v>
      </c>
      <c r="C324" s="39" t="str">
        <f>CL!$L$46</f>
        <v>C68H132O17P2</v>
      </c>
      <c r="D324" s="39">
        <f>CL!$M$46</f>
        <v>1282.8939281999999</v>
      </c>
      <c r="E324" s="39">
        <f>CL!$N$46</f>
        <v>1283.9012028</v>
      </c>
      <c r="F324" s="39">
        <f>CL!$O$46</f>
        <v>1265.8900828000001</v>
      </c>
      <c r="G324" s="39">
        <f>CL!$P$46</f>
        <v>1300.9277482</v>
      </c>
      <c r="H324" s="39">
        <f>CL!$Q$46</f>
        <v>1305.8831481999998</v>
      </c>
      <c r="I324" s="39">
        <f>CL!$R$46</f>
        <v>1321.8570881999999</v>
      </c>
      <c r="J324" s="39">
        <f>CL!$S$46</f>
        <v>1289.9093882</v>
      </c>
      <c r="K324" s="39">
        <f>CL!$T$46</f>
        <v>1281.8866535999998</v>
      </c>
      <c r="L324" s="39">
        <f>CL!$U$46</f>
        <v>1327.8921481999998</v>
      </c>
      <c r="M324" s="39">
        <f>CL!$V$46</f>
        <v>1341.9077981999999</v>
      </c>
      <c r="N324" s="39">
        <f>CL!$W$46</f>
        <v>640.43968949999987</v>
      </c>
      <c r="O324" s="39">
        <f>CL!$X$46</f>
        <v>0</v>
      </c>
      <c r="P324" s="39">
        <f>CL!$Y$46</f>
        <v>659.48078409999994</v>
      </c>
      <c r="Q324" s="39">
        <f>CL!$Z$46</f>
        <v>664.43618409999999</v>
      </c>
      <c r="R324" s="39">
        <f>CL!$AA$46</f>
        <v>680.41012409999996</v>
      </c>
      <c r="S324" s="39">
        <f>CL!$AB$46</f>
        <v>653.44521139999995</v>
      </c>
      <c r="T324" s="39">
        <f>CL!$AC$46</f>
        <v>661.43218139999999</v>
      </c>
    </row>
    <row r="325" spans="1:20" x14ac:dyDescent="0.25">
      <c r="A325" s="40" t="s">
        <v>44</v>
      </c>
      <c r="B325" s="40" t="str">
        <f>CL!$A$47</f>
        <v>CL 60:2</v>
      </c>
      <c r="C325" s="39" t="str">
        <f>CL!$L$47</f>
        <v>C69H130O17P2</v>
      </c>
      <c r="D325" s="39">
        <f>CL!$M$47</f>
        <v>1292.878279</v>
      </c>
      <c r="E325" s="39">
        <f>CL!$N$47</f>
        <v>1293.8855536000001</v>
      </c>
      <c r="F325" s="39">
        <f>CL!$O$47</f>
        <v>1275.8744336000002</v>
      </c>
      <c r="G325" s="39">
        <f>CL!$P$47</f>
        <v>1310.9120990000001</v>
      </c>
      <c r="H325" s="39">
        <f>CL!$Q$47</f>
        <v>1315.867499</v>
      </c>
      <c r="I325" s="39">
        <f>CL!$R$47</f>
        <v>1331.841439</v>
      </c>
      <c r="J325" s="39">
        <f>CL!$S$47</f>
        <v>1299.8937390000001</v>
      </c>
      <c r="K325" s="39">
        <f>CL!$T$47</f>
        <v>1291.8710043999999</v>
      </c>
      <c r="L325" s="39">
        <f>CL!$U$47</f>
        <v>1337.876499</v>
      </c>
      <c r="M325" s="39">
        <f>CL!$V$47</f>
        <v>1351.892149</v>
      </c>
      <c r="N325" s="39">
        <f>CL!$W$47</f>
        <v>645.43186489999994</v>
      </c>
      <c r="O325" s="39">
        <f>CL!$X$47</f>
        <v>0</v>
      </c>
      <c r="P325" s="39">
        <f>CL!$Y$47</f>
        <v>664.4729595</v>
      </c>
      <c r="Q325" s="39">
        <f>CL!$Z$47</f>
        <v>669.42835950000006</v>
      </c>
      <c r="R325" s="39">
        <f>CL!$AA$47</f>
        <v>685.40229950000003</v>
      </c>
      <c r="S325" s="39">
        <f>CL!$AB$47</f>
        <v>658.43738680000001</v>
      </c>
      <c r="T325" s="39">
        <f>CL!$AC$47</f>
        <v>666.42435680000006</v>
      </c>
    </row>
    <row r="326" spans="1:20" x14ac:dyDescent="0.25">
      <c r="A326" s="40" t="s">
        <v>44</v>
      </c>
      <c r="B326" s="40" t="str">
        <f>CL!$A$48</f>
        <v>CL 60:1</v>
      </c>
      <c r="C326" s="39" t="str">
        <f>CL!$L$48</f>
        <v>C69H132O17P2</v>
      </c>
      <c r="D326" s="39">
        <f>CL!$M$48</f>
        <v>1294.8939281999999</v>
      </c>
      <c r="E326" s="39">
        <f>CL!$N$48</f>
        <v>1295.9012028</v>
      </c>
      <c r="F326" s="39">
        <f>CL!$O$48</f>
        <v>1277.8900828000001</v>
      </c>
      <c r="G326" s="39">
        <f>CL!$P$48</f>
        <v>1312.9277482</v>
      </c>
      <c r="H326" s="39">
        <f>CL!$Q$48</f>
        <v>1317.8831481999998</v>
      </c>
      <c r="I326" s="39">
        <f>CL!$R$48</f>
        <v>1333.8570881999999</v>
      </c>
      <c r="J326" s="39">
        <f>CL!$S$48</f>
        <v>1301.9093882</v>
      </c>
      <c r="K326" s="39">
        <f>CL!$T$48</f>
        <v>1293.8866535999998</v>
      </c>
      <c r="L326" s="39">
        <f>CL!$U$48</f>
        <v>1339.8921481999998</v>
      </c>
      <c r="M326" s="39">
        <f>CL!$V$48</f>
        <v>1353.9077981999999</v>
      </c>
      <c r="N326" s="39">
        <f>CL!$W$48</f>
        <v>646.43968949999987</v>
      </c>
      <c r="O326" s="39">
        <f>CL!$X$48</f>
        <v>0</v>
      </c>
      <c r="P326" s="39">
        <f>CL!$Y$48</f>
        <v>665.48078409999994</v>
      </c>
      <c r="Q326" s="39">
        <f>CL!$Z$48</f>
        <v>670.43618409999999</v>
      </c>
      <c r="R326" s="39">
        <f>CL!$AA$48</f>
        <v>686.41012409999996</v>
      </c>
      <c r="S326" s="39">
        <f>CL!$AB$48</f>
        <v>659.44521139999995</v>
      </c>
      <c r="T326" s="39">
        <f>CL!$AC$48</f>
        <v>667.43218139999999</v>
      </c>
    </row>
    <row r="327" spans="1:20" x14ac:dyDescent="0.25">
      <c r="A327" s="40" t="s">
        <v>44</v>
      </c>
      <c r="B327" s="40" t="str">
        <f>CL!$A$49</f>
        <v>CL 60:0</v>
      </c>
      <c r="C327" s="39" t="str">
        <f>CL!$L$49</f>
        <v>C69H134O17P2</v>
      </c>
      <c r="D327" s="39">
        <f>CL!$M$49</f>
        <v>1296.9095774</v>
      </c>
      <c r="E327" s="39">
        <f>CL!$N$49</f>
        <v>1297.9168520000001</v>
      </c>
      <c r="F327" s="39">
        <f>CL!$O$49</f>
        <v>1279.9057320000002</v>
      </c>
      <c r="G327" s="39">
        <f>CL!$P$49</f>
        <v>1314.9433974000001</v>
      </c>
      <c r="H327" s="39">
        <f>CL!$Q$49</f>
        <v>1319.8987973999999</v>
      </c>
      <c r="I327" s="39">
        <f>CL!$R$49</f>
        <v>1335.8727374</v>
      </c>
      <c r="J327" s="39">
        <f>CL!$S$49</f>
        <v>1303.9250374000001</v>
      </c>
      <c r="K327" s="39">
        <f>CL!$T$49</f>
        <v>1295.9023027999999</v>
      </c>
      <c r="L327" s="39">
        <f>CL!$U$49</f>
        <v>1341.9077973999999</v>
      </c>
      <c r="M327" s="39">
        <f>CL!$V$49</f>
        <v>1355.9234474</v>
      </c>
      <c r="N327" s="39">
        <f>CL!$W$49</f>
        <v>647.44751409999992</v>
      </c>
      <c r="O327" s="39">
        <f>CL!$X$49</f>
        <v>0</v>
      </c>
      <c r="P327" s="39">
        <f>CL!$Y$49</f>
        <v>666.48860869999999</v>
      </c>
      <c r="Q327" s="39">
        <f>CL!$Z$49</f>
        <v>671.44400870000004</v>
      </c>
      <c r="R327" s="39">
        <f>CL!$AA$49</f>
        <v>687.41794870000001</v>
      </c>
      <c r="S327" s="39">
        <f>CL!$AB$49</f>
        <v>660.453036</v>
      </c>
      <c r="T327" s="39">
        <f>CL!$AC$49</f>
        <v>668.44000600000004</v>
      </c>
    </row>
    <row r="328" spans="1:20" x14ac:dyDescent="0.25">
      <c r="A328" s="40" t="s">
        <v>44</v>
      </c>
      <c r="B328" s="40" t="str">
        <f>CL!$A$50</f>
        <v>CL 61:3</v>
      </c>
      <c r="C328" s="39" t="str">
        <f>CL!$L$50</f>
        <v>C70H130O17P2</v>
      </c>
      <c r="D328" s="39">
        <f>CL!$M$50</f>
        <v>1304.878279</v>
      </c>
      <c r="E328" s="39">
        <f>CL!$N$50</f>
        <v>1305.8855536000001</v>
      </c>
      <c r="F328" s="39">
        <f>CL!$O$50</f>
        <v>1287.8744336000002</v>
      </c>
      <c r="G328" s="39">
        <f>CL!$P$50</f>
        <v>1322.9120990000001</v>
      </c>
      <c r="H328" s="39">
        <f>CL!$Q$50</f>
        <v>1327.867499</v>
      </c>
      <c r="I328" s="39">
        <f>CL!$R$50</f>
        <v>1343.841439</v>
      </c>
      <c r="J328" s="39">
        <f>CL!$S$50</f>
        <v>1311.8937390000001</v>
      </c>
      <c r="K328" s="39">
        <f>CL!$T$50</f>
        <v>1303.8710043999999</v>
      </c>
      <c r="L328" s="39">
        <f>CL!$U$50</f>
        <v>1349.876499</v>
      </c>
      <c r="M328" s="39">
        <f>CL!$V$50</f>
        <v>1363.892149</v>
      </c>
      <c r="N328" s="39">
        <f>CL!$W$50</f>
        <v>651.43186489999994</v>
      </c>
      <c r="O328" s="39">
        <f>CL!$X$50</f>
        <v>0</v>
      </c>
      <c r="P328" s="39">
        <f>CL!$Y$50</f>
        <v>670.4729595</v>
      </c>
      <c r="Q328" s="39">
        <f>CL!$Z$50</f>
        <v>675.42835950000006</v>
      </c>
      <c r="R328" s="39">
        <f>CL!$AA$50</f>
        <v>691.40229950000003</v>
      </c>
      <c r="S328" s="39">
        <f>CL!$AB$50</f>
        <v>664.43738680000001</v>
      </c>
      <c r="T328" s="39">
        <f>CL!$AC$50</f>
        <v>672.42435680000006</v>
      </c>
    </row>
    <row r="329" spans="1:20" x14ac:dyDescent="0.25">
      <c r="A329" s="40" t="s">
        <v>44</v>
      </c>
      <c r="B329" s="40" t="str">
        <f>CL!$A$51</f>
        <v>CL 61:2</v>
      </c>
      <c r="C329" s="39" t="str">
        <f>CL!$L$51</f>
        <v>C70H132O17P2</v>
      </c>
      <c r="D329" s="39">
        <f>CL!$M$51</f>
        <v>1306.8939281999999</v>
      </c>
      <c r="E329" s="39">
        <f>CL!$N$51</f>
        <v>1307.9012028</v>
      </c>
      <c r="F329" s="39">
        <f>CL!$O$51</f>
        <v>1289.8900828000001</v>
      </c>
      <c r="G329" s="39">
        <f>CL!$P$51</f>
        <v>1324.9277482</v>
      </c>
      <c r="H329" s="39">
        <f>CL!$Q$51</f>
        <v>1329.8831481999998</v>
      </c>
      <c r="I329" s="39">
        <f>CL!$R$51</f>
        <v>1345.8570881999999</v>
      </c>
      <c r="J329" s="39">
        <f>CL!$S$51</f>
        <v>1313.9093882</v>
      </c>
      <c r="K329" s="39">
        <f>CL!$T$51</f>
        <v>1305.8866535999998</v>
      </c>
      <c r="L329" s="39">
        <f>CL!$U$51</f>
        <v>1351.8921481999998</v>
      </c>
      <c r="M329" s="39">
        <f>CL!$V$51</f>
        <v>1365.9077981999999</v>
      </c>
      <c r="N329" s="39">
        <f>CL!$W$51</f>
        <v>652.43968949999987</v>
      </c>
      <c r="O329" s="39">
        <f>CL!$X$51</f>
        <v>0</v>
      </c>
      <c r="P329" s="39">
        <f>CL!$Y$51</f>
        <v>671.48078409999994</v>
      </c>
      <c r="Q329" s="39">
        <f>CL!$Z$51</f>
        <v>676.43618409999999</v>
      </c>
      <c r="R329" s="39">
        <f>CL!$AA$51</f>
        <v>692.41012409999996</v>
      </c>
      <c r="S329" s="39">
        <f>CL!$AB$51</f>
        <v>665.44521139999995</v>
      </c>
      <c r="T329" s="39">
        <f>CL!$AC$51</f>
        <v>673.43218139999999</v>
      </c>
    </row>
    <row r="330" spans="1:20" x14ac:dyDescent="0.25">
      <c r="A330" s="40" t="s">
        <v>44</v>
      </c>
      <c r="B330" s="40" t="str">
        <f>CL!$A$52</f>
        <v>CL 61:1</v>
      </c>
      <c r="C330" s="39" t="str">
        <f>CL!$L$52</f>
        <v>C70H134O17P2</v>
      </c>
      <c r="D330" s="39">
        <f>CL!$M$52</f>
        <v>1308.9095774</v>
      </c>
      <c r="E330" s="39">
        <f>CL!$N$52</f>
        <v>1309.9168520000001</v>
      </c>
      <c r="F330" s="39">
        <f>CL!$O$52</f>
        <v>1291.9057320000002</v>
      </c>
      <c r="G330" s="39">
        <f>CL!$P$52</f>
        <v>1326.9433974000001</v>
      </c>
      <c r="H330" s="39">
        <f>CL!$Q$52</f>
        <v>1331.8987973999999</v>
      </c>
      <c r="I330" s="39">
        <f>CL!$R$52</f>
        <v>1347.8727374</v>
      </c>
      <c r="J330" s="39">
        <f>CL!$S$52</f>
        <v>1315.9250374000001</v>
      </c>
      <c r="K330" s="39">
        <f>CL!$T$52</f>
        <v>1307.9023027999999</v>
      </c>
      <c r="L330" s="39">
        <f>CL!$U$52</f>
        <v>1353.9077973999999</v>
      </c>
      <c r="M330" s="39">
        <f>CL!$V$52</f>
        <v>1367.9234474</v>
      </c>
      <c r="N330" s="39">
        <f>CL!$W$52</f>
        <v>653.44751409999992</v>
      </c>
      <c r="O330" s="39">
        <f>CL!$X$52</f>
        <v>0</v>
      </c>
      <c r="P330" s="39">
        <f>CL!$Y$52</f>
        <v>672.48860869999999</v>
      </c>
      <c r="Q330" s="39">
        <f>CL!$Z$52</f>
        <v>677.44400870000004</v>
      </c>
      <c r="R330" s="39">
        <f>CL!$AA$52</f>
        <v>693.41794870000001</v>
      </c>
      <c r="S330" s="39">
        <f>CL!$AB$52</f>
        <v>666.453036</v>
      </c>
      <c r="T330" s="39">
        <f>CL!$AC$52</f>
        <v>674.44000600000004</v>
      </c>
    </row>
    <row r="331" spans="1:20" x14ac:dyDescent="0.25">
      <c r="A331" s="40" t="s">
        <v>44</v>
      </c>
      <c r="B331" s="40" t="str">
        <f>CL!$A$53</f>
        <v>CL 61:0</v>
      </c>
      <c r="C331" s="39" t="str">
        <f>CL!$L$53</f>
        <v>C70H136O17P2</v>
      </c>
      <c r="D331" s="39">
        <f>CL!$M$53</f>
        <v>1310.9252265999999</v>
      </c>
      <c r="E331" s="39">
        <f>CL!$N$53</f>
        <v>1311.9325011999999</v>
      </c>
      <c r="F331" s="39">
        <f>CL!$O$53</f>
        <v>1293.9213812</v>
      </c>
      <c r="G331" s="39">
        <f>CL!$P$53</f>
        <v>1328.9590466</v>
      </c>
      <c r="H331" s="39">
        <f>CL!$Q$53</f>
        <v>1333.9144465999998</v>
      </c>
      <c r="I331" s="39">
        <f>CL!$R$53</f>
        <v>1349.8883865999999</v>
      </c>
      <c r="J331" s="39">
        <f>CL!$S$53</f>
        <v>1317.9406865999999</v>
      </c>
      <c r="K331" s="39">
        <f>CL!$T$53</f>
        <v>1309.9179519999998</v>
      </c>
      <c r="L331" s="39">
        <f>CL!$U$53</f>
        <v>1355.9234465999998</v>
      </c>
      <c r="M331" s="39">
        <f>CL!$V$53</f>
        <v>1369.9390965999999</v>
      </c>
      <c r="N331" s="39">
        <f>CL!$W$53</f>
        <v>654.45533869999986</v>
      </c>
      <c r="O331" s="39">
        <f>CL!$X$53</f>
        <v>0</v>
      </c>
      <c r="P331" s="39">
        <f>CL!$Y$53</f>
        <v>673.49643329999992</v>
      </c>
      <c r="Q331" s="39">
        <f>CL!$Z$53</f>
        <v>678.45183329999998</v>
      </c>
      <c r="R331" s="39">
        <f>CL!$AA$53</f>
        <v>694.42577329999995</v>
      </c>
      <c r="S331" s="39">
        <f>CL!$AB$53</f>
        <v>667.46086059999993</v>
      </c>
      <c r="T331" s="39">
        <f>CL!$AC$53</f>
        <v>675.44783059999997</v>
      </c>
    </row>
    <row r="332" spans="1:20" x14ac:dyDescent="0.25">
      <c r="A332" s="40" t="s">
        <v>44</v>
      </c>
      <c r="B332" s="40" t="str">
        <f>CL!$A$54</f>
        <v>CL 62:3</v>
      </c>
      <c r="C332" s="39" t="str">
        <f>CL!$L$54</f>
        <v>C71H132O17P2</v>
      </c>
      <c r="D332" s="39">
        <f>CL!$M$54</f>
        <v>1318.8939281999999</v>
      </c>
      <c r="E332" s="39">
        <f>CL!$N$54</f>
        <v>1319.9012028</v>
      </c>
      <c r="F332" s="39">
        <f>CL!$O$54</f>
        <v>1301.8900828000001</v>
      </c>
      <c r="G332" s="39">
        <f>CL!$P$54</f>
        <v>1336.9277482</v>
      </c>
      <c r="H332" s="39">
        <f>CL!$Q$54</f>
        <v>1341.8831481999998</v>
      </c>
      <c r="I332" s="39">
        <f>CL!$R$54</f>
        <v>1357.8570881999999</v>
      </c>
      <c r="J332" s="39">
        <f>CL!$S$54</f>
        <v>1325.9093882</v>
      </c>
      <c r="K332" s="39">
        <f>CL!$T$54</f>
        <v>1317.8866535999998</v>
      </c>
      <c r="L332" s="39">
        <f>CL!$U$54</f>
        <v>1363.8921481999998</v>
      </c>
      <c r="M332" s="39">
        <f>CL!$V$54</f>
        <v>1377.9077981999999</v>
      </c>
      <c r="N332" s="39">
        <f>CL!$W$54</f>
        <v>658.43968949999987</v>
      </c>
      <c r="O332" s="39">
        <f>CL!$X$54</f>
        <v>0</v>
      </c>
      <c r="P332" s="39">
        <f>CL!$Y$54</f>
        <v>677.48078409999994</v>
      </c>
      <c r="Q332" s="39">
        <f>CL!$Z$54</f>
        <v>682.43618409999999</v>
      </c>
      <c r="R332" s="39">
        <f>CL!$AA$54</f>
        <v>698.41012409999996</v>
      </c>
      <c r="S332" s="39">
        <f>CL!$AB$54</f>
        <v>671.44521139999995</v>
      </c>
      <c r="T332" s="39">
        <f>CL!$AC$54</f>
        <v>679.43218139999999</v>
      </c>
    </row>
    <row r="333" spans="1:20" x14ac:dyDescent="0.25">
      <c r="A333" s="40" t="s">
        <v>44</v>
      </c>
      <c r="B333" s="40" t="str">
        <f>CL!$A$55</f>
        <v>CL 62:2</v>
      </c>
      <c r="C333" s="39" t="str">
        <f>CL!$L$55</f>
        <v>C71H134O17P2</v>
      </c>
      <c r="D333" s="39">
        <f>CL!$M$55</f>
        <v>1320.9095774</v>
      </c>
      <c r="E333" s="39">
        <f>CL!$N$55</f>
        <v>1321.9168520000001</v>
      </c>
      <c r="F333" s="39">
        <f>CL!$O$55</f>
        <v>1303.9057320000002</v>
      </c>
      <c r="G333" s="39">
        <f>CL!$P$55</f>
        <v>1338.9433974000001</v>
      </c>
      <c r="H333" s="39">
        <f>CL!$Q$55</f>
        <v>1343.8987973999999</v>
      </c>
      <c r="I333" s="39">
        <f>CL!$R$55</f>
        <v>1359.8727374</v>
      </c>
      <c r="J333" s="39">
        <f>CL!$S$55</f>
        <v>1327.9250374000001</v>
      </c>
      <c r="K333" s="39">
        <f>CL!$T$55</f>
        <v>1319.9023027999999</v>
      </c>
      <c r="L333" s="39">
        <f>CL!$U$55</f>
        <v>1365.9077973999999</v>
      </c>
      <c r="M333" s="39">
        <f>CL!$V$55</f>
        <v>1379.9234474</v>
      </c>
      <c r="N333" s="39">
        <f>CL!$W$55</f>
        <v>659.44751409999992</v>
      </c>
      <c r="O333" s="39">
        <f>CL!$X$55</f>
        <v>0</v>
      </c>
      <c r="P333" s="39">
        <f>CL!$Y$55</f>
        <v>678.48860869999999</v>
      </c>
      <c r="Q333" s="39">
        <f>CL!$Z$55</f>
        <v>683.44400870000004</v>
      </c>
      <c r="R333" s="39">
        <f>CL!$AA$55</f>
        <v>699.41794870000001</v>
      </c>
      <c r="S333" s="39">
        <f>CL!$AB$55</f>
        <v>672.453036</v>
      </c>
      <c r="T333" s="39">
        <f>CL!$AC$55</f>
        <v>680.44000600000004</v>
      </c>
    </row>
    <row r="334" spans="1:20" x14ac:dyDescent="0.25">
      <c r="A334" s="40" t="s">
        <v>44</v>
      </c>
      <c r="B334" s="40" t="str">
        <f>CL!$A$56</f>
        <v>CL 62:1</v>
      </c>
      <c r="C334" s="39" t="str">
        <f>CL!$L$56</f>
        <v>C71H136O17P2</v>
      </c>
      <c r="D334" s="39">
        <f>CL!$M$56</f>
        <v>1322.9252265999999</v>
      </c>
      <c r="E334" s="39">
        <f>CL!$N$56</f>
        <v>1323.9325011999999</v>
      </c>
      <c r="F334" s="39">
        <f>CL!$O$56</f>
        <v>1305.9213812</v>
      </c>
      <c r="G334" s="39">
        <f>CL!$P$56</f>
        <v>1340.9590466</v>
      </c>
      <c r="H334" s="39">
        <f>CL!$Q$56</f>
        <v>1345.9144465999998</v>
      </c>
      <c r="I334" s="39">
        <f>CL!$R$56</f>
        <v>1361.8883865999999</v>
      </c>
      <c r="J334" s="39">
        <f>CL!$S$56</f>
        <v>1329.9406865999999</v>
      </c>
      <c r="K334" s="39">
        <f>CL!$T$56</f>
        <v>1321.9179519999998</v>
      </c>
      <c r="L334" s="39">
        <f>CL!$U$56</f>
        <v>1367.9234465999998</v>
      </c>
      <c r="M334" s="39">
        <f>CL!$V$56</f>
        <v>1381.9390965999999</v>
      </c>
      <c r="N334" s="39">
        <f>CL!$W$56</f>
        <v>660.45533869999986</v>
      </c>
      <c r="O334" s="39">
        <f>CL!$X$56</f>
        <v>0</v>
      </c>
      <c r="P334" s="39">
        <f>CL!$Y$56</f>
        <v>679.49643329999992</v>
      </c>
      <c r="Q334" s="39">
        <f>CL!$Z$56</f>
        <v>684.45183329999998</v>
      </c>
      <c r="R334" s="39">
        <f>CL!$AA$56</f>
        <v>700.42577329999995</v>
      </c>
      <c r="S334" s="39">
        <f>CL!$AB$56</f>
        <v>673.46086059999993</v>
      </c>
      <c r="T334" s="39">
        <f>CL!$AC$56</f>
        <v>681.44783059999997</v>
      </c>
    </row>
    <row r="335" spans="1:20" x14ac:dyDescent="0.25">
      <c r="A335" s="40" t="s">
        <v>44</v>
      </c>
      <c r="B335" s="40" t="str">
        <f>CL!$A$57</f>
        <v>CL 62:0</v>
      </c>
      <c r="C335" s="39" t="str">
        <f>CL!$L$57</f>
        <v>C71H138O17P2</v>
      </c>
      <c r="D335" s="39">
        <f>CL!$M$57</f>
        <v>1324.9408758</v>
      </c>
      <c r="E335" s="39">
        <f>CL!$N$57</f>
        <v>1325.9481504</v>
      </c>
      <c r="F335" s="39">
        <f>CL!$O$57</f>
        <v>1307.9370304000001</v>
      </c>
      <c r="G335" s="39">
        <f>CL!$P$57</f>
        <v>1342.9746958000001</v>
      </c>
      <c r="H335" s="39">
        <f>CL!$Q$57</f>
        <v>1347.9300957999999</v>
      </c>
      <c r="I335" s="39">
        <f>CL!$R$57</f>
        <v>1363.9040358</v>
      </c>
      <c r="J335" s="39">
        <f>CL!$S$57</f>
        <v>1331.9563358</v>
      </c>
      <c r="K335" s="39">
        <f>CL!$T$57</f>
        <v>1323.9336011999999</v>
      </c>
      <c r="L335" s="39">
        <f>CL!$U$57</f>
        <v>1369.9390957999999</v>
      </c>
      <c r="M335" s="39">
        <f>CL!$V$57</f>
        <v>1383.9547458</v>
      </c>
      <c r="N335" s="39">
        <f>CL!$W$57</f>
        <v>661.46316329999991</v>
      </c>
      <c r="O335" s="39">
        <f>CL!$X$57</f>
        <v>0</v>
      </c>
      <c r="P335" s="39">
        <f>CL!$Y$57</f>
        <v>680.50425789999997</v>
      </c>
      <c r="Q335" s="39">
        <f>CL!$Z$57</f>
        <v>685.45965790000002</v>
      </c>
      <c r="R335" s="39">
        <f>CL!$AA$57</f>
        <v>701.4335979</v>
      </c>
      <c r="S335" s="39">
        <f>CL!$AB$57</f>
        <v>674.46868519999998</v>
      </c>
      <c r="T335" s="39">
        <f>CL!$AC$57</f>
        <v>682.45565520000002</v>
      </c>
    </row>
    <row r="336" spans="1:20" x14ac:dyDescent="0.25">
      <c r="A336" s="40" t="s">
        <v>44</v>
      </c>
      <c r="B336" s="40" t="str">
        <f>CL!$A$58</f>
        <v>CL 63:4</v>
      </c>
      <c r="C336" s="39" t="str">
        <f>CL!$L$58</f>
        <v>C72H132O17P2</v>
      </c>
      <c r="D336" s="39">
        <f>CL!$M$58</f>
        <v>1330.8939281999999</v>
      </c>
      <c r="E336" s="39">
        <f>CL!$N$58</f>
        <v>1331.9012028</v>
      </c>
      <c r="F336" s="39">
        <f>CL!$O$58</f>
        <v>1313.8900828000001</v>
      </c>
      <c r="G336" s="39">
        <f>CL!$P$58</f>
        <v>1348.9277482</v>
      </c>
      <c r="H336" s="39">
        <f>CL!$Q$58</f>
        <v>1353.8831481999998</v>
      </c>
      <c r="I336" s="39">
        <f>CL!$R$58</f>
        <v>1369.8570881999999</v>
      </c>
      <c r="J336" s="39">
        <f>CL!$S$58</f>
        <v>1337.9093882</v>
      </c>
      <c r="K336" s="39">
        <f>CL!$T$58</f>
        <v>1329.8866535999998</v>
      </c>
      <c r="L336" s="39">
        <f>CL!$U$58</f>
        <v>1375.8921481999998</v>
      </c>
      <c r="M336" s="39">
        <f>CL!$V$58</f>
        <v>1389.9077981999999</v>
      </c>
      <c r="N336" s="39">
        <f>CL!$W$58</f>
        <v>664.43968949999987</v>
      </c>
      <c r="O336" s="39">
        <f>CL!$X$58</f>
        <v>0</v>
      </c>
      <c r="P336" s="39">
        <f>CL!$Y$58</f>
        <v>683.48078409999994</v>
      </c>
      <c r="Q336" s="39">
        <f>CL!$Z$58</f>
        <v>688.43618409999999</v>
      </c>
      <c r="R336" s="39">
        <f>CL!$AA$58</f>
        <v>704.41012409999996</v>
      </c>
      <c r="S336" s="39">
        <f>CL!$AB$58</f>
        <v>677.44521139999995</v>
      </c>
      <c r="T336" s="39">
        <f>CL!$AC$58</f>
        <v>685.43218139999999</v>
      </c>
    </row>
    <row r="337" spans="1:20" x14ac:dyDescent="0.25">
      <c r="A337" s="40" t="s">
        <v>44</v>
      </c>
      <c r="B337" s="40" t="str">
        <f>CL!$A$59</f>
        <v>CL 63:3</v>
      </c>
      <c r="C337" s="39" t="str">
        <f>CL!$L$59</f>
        <v>C72H134O17P2</v>
      </c>
      <c r="D337" s="39">
        <f>CL!$M$59</f>
        <v>1332.9095774</v>
      </c>
      <c r="E337" s="39">
        <f>CL!$N$59</f>
        <v>1333.9168520000001</v>
      </c>
      <c r="F337" s="39">
        <f>CL!$O$59</f>
        <v>1315.9057320000002</v>
      </c>
      <c r="G337" s="39">
        <f>CL!$P$59</f>
        <v>1350.9433974000001</v>
      </c>
      <c r="H337" s="39">
        <f>CL!$Q$59</f>
        <v>1355.8987973999999</v>
      </c>
      <c r="I337" s="39">
        <f>CL!$R$59</f>
        <v>1371.8727374</v>
      </c>
      <c r="J337" s="39">
        <f>CL!$S$59</f>
        <v>1339.9250374000001</v>
      </c>
      <c r="K337" s="39">
        <f>CL!$T$59</f>
        <v>1331.9023027999999</v>
      </c>
      <c r="L337" s="39">
        <f>CL!$U$59</f>
        <v>1377.9077973999999</v>
      </c>
      <c r="M337" s="39">
        <f>CL!$V$59</f>
        <v>1391.9234474</v>
      </c>
      <c r="N337" s="39">
        <f>CL!$W$59</f>
        <v>665.44751409999992</v>
      </c>
      <c r="O337" s="39">
        <f>CL!$X$59</f>
        <v>0</v>
      </c>
      <c r="P337" s="39">
        <f>CL!$Y$59</f>
        <v>684.48860869999999</v>
      </c>
      <c r="Q337" s="39">
        <f>CL!$Z$59</f>
        <v>689.44400870000004</v>
      </c>
      <c r="R337" s="39">
        <f>CL!$AA$59</f>
        <v>705.41794870000001</v>
      </c>
      <c r="S337" s="39">
        <f>CL!$AB$59</f>
        <v>678.453036</v>
      </c>
      <c r="T337" s="39">
        <f>CL!$AC$59</f>
        <v>686.44000600000004</v>
      </c>
    </row>
    <row r="338" spans="1:20" x14ac:dyDescent="0.25">
      <c r="A338" s="40" t="s">
        <v>44</v>
      </c>
      <c r="B338" s="40" t="str">
        <f>CL!$A$60</f>
        <v>CL 63:2</v>
      </c>
      <c r="C338" s="39" t="str">
        <f>CL!$L$60</f>
        <v>C72H136O17P2</v>
      </c>
      <c r="D338" s="39">
        <f>CL!$M$60</f>
        <v>1334.9252265999999</v>
      </c>
      <c r="E338" s="39">
        <f>CL!$N$60</f>
        <v>1335.9325011999999</v>
      </c>
      <c r="F338" s="39">
        <f>CL!$O$60</f>
        <v>1317.9213812</v>
      </c>
      <c r="G338" s="39">
        <f>CL!$P$60</f>
        <v>1352.9590466</v>
      </c>
      <c r="H338" s="39">
        <f>CL!$Q$60</f>
        <v>1357.9144465999998</v>
      </c>
      <c r="I338" s="39">
        <f>CL!$R$60</f>
        <v>1373.8883865999999</v>
      </c>
      <c r="J338" s="39">
        <f>CL!$S$60</f>
        <v>1341.9406865999999</v>
      </c>
      <c r="K338" s="39">
        <f>CL!$T$60</f>
        <v>1333.9179519999998</v>
      </c>
      <c r="L338" s="39">
        <f>CL!$U$60</f>
        <v>1379.9234465999998</v>
      </c>
      <c r="M338" s="39">
        <f>CL!$V$60</f>
        <v>1393.9390965999999</v>
      </c>
      <c r="N338" s="39">
        <f>CL!$W$60</f>
        <v>666.45533869999986</v>
      </c>
      <c r="O338" s="39">
        <f>CL!$X$60</f>
        <v>0</v>
      </c>
      <c r="P338" s="39">
        <f>CL!$Y$60</f>
        <v>685.49643329999992</v>
      </c>
      <c r="Q338" s="39">
        <f>CL!$Z$60</f>
        <v>690.45183329999998</v>
      </c>
      <c r="R338" s="39">
        <f>CL!$AA$60</f>
        <v>706.42577329999995</v>
      </c>
      <c r="S338" s="39">
        <f>CL!$AB$60</f>
        <v>679.46086059999993</v>
      </c>
      <c r="T338" s="39">
        <f>CL!$AC$60</f>
        <v>687.44783059999997</v>
      </c>
    </row>
    <row r="339" spans="1:20" x14ac:dyDescent="0.25">
      <c r="A339" s="40" t="s">
        <v>44</v>
      </c>
      <c r="B339" s="40" t="str">
        <f>CL!$A$61</f>
        <v>CL 63:1</v>
      </c>
      <c r="C339" s="39" t="str">
        <f>CL!$L$61</f>
        <v>C72H138O17P2</v>
      </c>
      <c r="D339" s="39">
        <f>CL!$M$61</f>
        <v>1336.9408758</v>
      </c>
      <c r="E339" s="39">
        <f>CL!$N$61</f>
        <v>1337.9481504</v>
      </c>
      <c r="F339" s="39">
        <f>CL!$O$61</f>
        <v>1319.9370304000001</v>
      </c>
      <c r="G339" s="39">
        <f>CL!$P$61</f>
        <v>1354.9746958000001</v>
      </c>
      <c r="H339" s="39">
        <f>CL!$Q$61</f>
        <v>1359.9300957999999</v>
      </c>
      <c r="I339" s="39">
        <f>CL!$R$61</f>
        <v>1375.9040358</v>
      </c>
      <c r="J339" s="39">
        <f>CL!$S$61</f>
        <v>1343.9563358</v>
      </c>
      <c r="K339" s="39">
        <f>CL!$T$61</f>
        <v>1335.9336011999999</v>
      </c>
      <c r="L339" s="39">
        <f>CL!$U$61</f>
        <v>1381.9390957999999</v>
      </c>
      <c r="M339" s="39">
        <f>CL!$V$61</f>
        <v>1395.9547458</v>
      </c>
      <c r="N339" s="39">
        <f>CL!$W$61</f>
        <v>667.46316329999991</v>
      </c>
      <c r="O339" s="39">
        <f>CL!$X$61</f>
        <v>0</v>
      </c>
      <c r="P339" s="39">
        <f>CL!$Y$61</f>
        <v>686.50425789999997</v>
      </c>
      <c r="Q339" s="39">
        <f>CL!$Z$61</f>
        <v>691.45965790000002</v>
      </c>
      <c r="R339" s="39">
        <f>CL!$AA$61</f>
        <v>707.4335979</v>
      </c>
      <c r="S339" s="39">
        <f>CL!$AB$61</f>
        <v>680.46868519999998</v>
      </c>
      <c r="T339" s="39">
        <f>CL!$AC$61</f>
        <v>688.45565520000002</v>
      </c>
    </row>
    <row r="340" spans="1:20" x14ac:dyDescent="0.25">
      <c r="A340" s="40" t="s">
        <v>44</v>
      </c>
      <c r="B340" s="40" t="str">
        <f>CL!$A$62</f>
        <v>CL 63:0</v>
      </c>
      <c r="C340" s="39" t="str">
        <f>CL!$L$62</f>
        <v>C72H140O17P2</v>
      </c>
      <c r="D340" s="39">
        <f>CL!$M$62</f>
        <v>1338.9565250000001</v>
      </c>
      <c r="E340" s="39">
        <f>CL!$N$62</f>
        <v>1339.9637996000001</v>
      </c>
      <c r="F340" s="39">
        <f>CL!$O$62</f>
        <v>1321.9526796000002</v>
      </c>
      <c r="G340" s="39">
        <f>CL!$P$62</f>
        <v>1356.9903450000002</v>
      </c>
      <c r="H340" s="39">
        <f>CL!$Q$62</f>
        <v>1361.945745</v>
      </c>
      <c r="I340" s="39">
        <f>CL!$R$62</f>
        <v>1377.9196850000001</v>
      </c>
      <c r="J340" s="39">
        <f>CL!$S$62</f>
        <v>1345.9719850000001</v>
      </c>
      <c r="K340" s="39">
        <f>CL!$T$62</f>
        <v>1337.9492504</v>
      </c>
      <c r="L340" s="39">
        <f>CL!$U$62</f>
        <v>1383.954745</v>
      </c>
      <c r="M340" s="39">
        <f>CL!$V$62</f>
        <v>1397.9703950000001</v>
      </c>
      <c r="N340" s="39">
        <f>CL!$W$62</f>
        <v>668.47098789999995</v>
      </c>
      <c r="O340" s="39">
        <f>CL!$X$62</f>
        <v>0</v>
      </c>
      <c r="P340" s="39">
        <f>CL!$Y$62</f>
        <v>687.51208250000002</v>
      </c>
      <c r="Q340" s="39">
        <f>CL!$Z$62</f>
        <v>692.46748250000007</v>
      </c>
      <c r="R340" s="39">
        <f>CL!$AA$62</f>
        <v>708.44142250000004</v>
      </c>
      <c r="S340" s="39">
        <f>CL!$AB$62</f>
        <v>681.47650980000003</v>
      </c>
      <c r="T340" s="39">
        <f>CL!$AC$62</f>
        <v>689.46347980000007</v>
      </c>
    </row>
    <row r="341" spans="1:20" x14ac:dyDescent="0.25">
      <c r="A341" s="40" t="s">
        <v>44</v>
      </c>
      <c r="B341" s="40" t="str">
        <f>CL!$A$63</f>
        <v>CL 64:4</v>
      </c>
      <c r="C341" s="39" t="str">
        <f>CL!$L$63</f>
        <v>C73H134O17P2</v>
      </c>
      <c r="D341" s="39">
        <f>CL!$M$63</f>
        <v>1344.9095774</v>
      </c>
      <c r="E341" s="39">
        <f>CL!$N$63</f>
        <v>1345.9168520000001</v>
      </c>
      <c r="F341" s="39">
        <f>CL!$O$63</f>
        <v>1327.9057320000002</v>
      </c>
      <c r="G341" s="39">
        <f>CL!$P$63</f>
        <v>1362.9433974000001</v>
      </c>
      <c r="H341" s="39">
        <f>CL!$Q$63</f>
        <v>1367.8987973999999</v>
      </c>
      <c r="I341" s="39">
        <f>CL!$R$63</f>
        <v>1383.8727374</v>
      </c>
      <c r="J341" s="39">
        <f>CL!$S$63</f>
        <v>1351.9250374000001</v>
      </c>
      <c r="K341" s="39">
        <f>CL!$T$63</f>
        <v>1343.9023027999999</v>
      </c>
      <c r="L341" s="39">
        <f>CL!$U$63</f>
        <v>1389.9077973999999</v>
      </c>
      <c r="M341" s="39">
        <f>CL!$V$63</f>
        <v>1403.9234474</v>
      </c>
      <c r="N341" s="39">
        <f>CL!$W$63</f>
        <v>671.44751409999992</v>
      </c>
      <c r="O341" s="39">
        <f>CL!$X$63</f>
        <v>0</v>
      </c>
      <c r="P341" s="39">
        <f>CL!$Y$63</f>
        <v>690.48860869999999</v>
      </c>
      <c r="Q341" s="39">
        <f>CL!$Z$63</f>
        <v>695.44400870000004</v>
      </c>
      <c r="R341" s="39">
        <f>CL!$AA$63</f>
        <v>711.41794870000001</v>
      </c>
      <c r="S341" s="39">
        <f>CL!$AB$63</f>
        <v>684.453036</v>
      </c>
      <c r="T341" s="39">
        <f>CL!$AC$63</f>
        <v>692.44000600000004</v>
      </c>
    </row>
    <row r="342" spans="1:20" x14ac:dyDescent="0.25">
      <c r="A342" s="40" t="s">
        <v>44</v>
      </c>
      <c r="B342" s="40" t="str">
        <f>CL!$A$64</f>
        <v>CL 64:3</v>
      </c>
      <c r="C342" s="39" t="str">
        <f>CL!$L$64</f>
        <v>C73H136O17P2</v>
      </c>
      <c r="D342" s="39">
        <f>CL!$M$64</f>
        <v>1346.9252265999999</v>
      </c>
      <c r="E342" s="39">
        <f>CL!$N$64</f>
        <v>1347.9325011999999</v>
      </c>
      <c r="F342" s="39">
        <f>CL!$O$64</f>
        <v>1329.9213812</v>
      </c>
      <c r="G342" s="39">
        <f>CL!$P$64</f>
        <v>1364.9590466</v>
      </c>
      <c r="H342" s="39">
        <f>CL!$Q$64</f>
        <v>1369.9144465999998</v>
      </c>
      <c r="I342" s="39">
        <f>CL!$R$64</f>
        <v>1385.8883865999999</v>
      </c>
      <c r="J342" s="39">
        <f>CL!$S$64</f>
        <v>1353.9406865999999</v>
      </c>
      <c r="K342" s="39">
        <f>CL!$T$64</f>
        <v>1345.9179519999998</v>
      </c>
      <c r="L342" s="39">
        <f>CL!$U$64</f>
        <v>1391.9234465999998</v>
      </c>
      <c r="M342" s="39">
        <f>CL!$V$64</f>
        <v>1405.9390965999999</v>
      </c>
      <c r="N342" s="39">
        <f>CL!$W$64</f>
        <v>672.45533869999986</v>
      </c>
      <c r="O342" s="39">
        <f>CL!$X$64</f>
        <v>0</v>
      </c>
      <c r="P342" s="39">
        <f>CL!$Y$64</f>
        <v>691.49643329999992</v>
      </c>
      <c r="Q342" s="39">
        <f>CL!$Z$64</f>
        <v>696.45183329999998</v>
      </c>
      <c r="R342" s="39">
        <f>CL!$AA$64</f>
        <v>712.42577329999995</v>
      </c>
      <c r="S342" s="39">
        <f>CL!$AB$64</f>
        <v>685.46086059999993</v>
      </c>
      <c r="T342" s="39">
        <f>CL!$AC$64</f>
        <v>693.44783059999997</v>
      </c>
    </row>
    <row r="343" spans="1:20" x14ac:dyDescent="0.25">
      <c r="A343" s="40" t="s">
        <v>44</v>
      </c>
      <c r="B343" s="40" t="str">
        <f>CL!$A$65</f>
        <v>CL 64:2</v>
      </c>
      <c r="C343" s="39" t="str">
        <f>CL!$L$65</f>
        <v>C73H138O17P2</v>
      </c>
      <c r="D343" s="39">
        <f>CL!$M$65</f>
        <v>1348.9408758</v>
      </c>
      <c r="E343" s="39">
        <f>CL!$N$65</f>
        <v>1349.9481504</v>
      </c>
      <c r="F343" s="39">
        <f>CL!$O$65</f>
        <v>1331.9370304000001</v>
      </c>
      <c r="G343" s="39">
        <f>CL!$P$65</f>
        <v>1366.9746958000001</v>
      </c>
      <c r="H343" s="39">
        <f>CL!$Q$65</f>
        <v>1371.9300957999999</v>
      </c>
      <c r="I343" s="39">
        <f>CL!$R$65</f>
        <v>1387.9040358</v>
      </c>
      <c r="J343" s="39">
        <f>CL!$S$65</f>
        <v>1355.9563358</v>
      </c>
      <c r="K343" s="39">
        <f>CL!$T$65</f>
        <v>1347.9336011999999</v>
      </c>
      <c r="L343" s="39">
        <f>CL!$U$65</f>
        <v>1393.9390957999999</v>
      </c>
      <c r="M343" s="39">
        <f>CL!$V$65</f>
        <v>1407.9547458</v>
      </c>
      <c r="N343" s="39">
        <f>CL!$W$65</f>
        <v>673.46316329999991</v>
      </c>
      <c r="O343" s="39">
        <f>CL!$X$65</f>
        <v>0</v>
      </c>
      <c r="P343" s="39">
        <f>CL!$Y$65</f>
        <v>692.50425789999997</v>
      </c>
      <c r="Q343" s="39">
        <f>CL!$Z$65</f>
        <v>697.45965790000002</v>
      </c>
      <c r="R343" s="39">
        <f>CL!$AA$65</f>
        <v>713.4335979</v>
      </c>
      <c r="S343" s="39">
        <f>CL!$AB$65</f>
        <v>686.46868519999998</v>
      </c>
      <c r="T343" s="39">
        <f>CL!$AC$65</f>
        <v>694.45565520000002</v>
      </c>
    </row>
    <row r="344" spans="1:20" x14ac:dyDescent="0.25">
      <c r="A344" s="40" t="s">
        <v>44</v>
      </c>
      <c r="B344" s="40" t="str">
        <f>CL!$A$66</f>
        <v>CL 64:1</v>
      </c>
      <c r="C344" s="39" t="str">
        <f>CL!$L$66</f>
        <v>C73H140O17P2</v>
      </c>
      <c r="D344" s="39">
        <f>CL!$M$66</f>
        <v>1350.9565250000001</v>
      </c>
      <c r="E344" s="39">
        <f>CL!$N$66</f>
        <v>1351.9637996000001</v>
      </c>
      <c r="F344" s="39">
        <f>CL!$O$66</f>
        <v>1333.9526796000002</v>
      </c>
      <c r="G344" s="39">
        <f>CL!$P$66</f>
        <v>1368.9903450000002</v>
      </c>
      <c r="H344" s="39">
        <f>CL!$Q$66</f>
        <v>1373.945745</v>
      </c>
      <c r="I344" s="39">
        <f>CL!$R$66</f>
        <v>1389.9196850000001</v>
      </c>
      <c r="J344" s="39">
        <f>CL!$S$66</f>
        <v>1357.9719850000001</v>
      </c>
      <c r="K344" s="39">
        <f>CL!$T$66</f>
        <v>1349.9492504</v>
      </c>
      <c r="L344" s="39">
        <f>CL!$U$66</f>
        <v>1395.954745</v>
      </c>
      <c r="M344" s="39">
        <f>CL!$V$66</f>
        <v>1409.9703950000001</v>
      </c>
      <c r="N344" s="39">
        <f>CL!$W$66</f>
        <v>674.47098789999995</v>
      </c>
      <c r="O344" s="39">
        <f>CL!$X$66</f>
        <v>0</v>
      </c>
      <c r="P344" s="39">
        <f>CL!$Y$66</f>
        <v>693.51208250000002</v>
      </c>
      <c r="Q344" s="39">
        <f>CL!$Z$66</f>
        <v>698.46748250000007</v>
      </c>
      <c r="R344" s="39">
        <f>CL!$AA$66</f>
        <v>714.44142250000004</v>
      </c>
      <c r="S344" s="39">
        <f>CL!$AB$66</f>
        <v>687.47650980000003</v>
      </c>
      <c r="T344" s="39">
        <f>CL!$AC$66</f>
        <v>695.46347980000007</v>
      </c>
    </row>
    <row r="345" spans="1:20" x14ac:dyDescent="0.25">
      <c r="A345" s="40" t="s">
        <v>44</v>
      </c>
      <c r="B345" s="40" t="str">
        <f>CL!$A$67</f>
        <v>CL 64:0</v>
      </c>
      <c r="C345" s="39" t="str">
        <f>CL!$L$67</f>
        <v>C73H142O17P2</v>
      </c>
      <c r="D345" s="39">
        <f>CL!$M$67</f>
        <v>1352.9721741999999</v>
      </c>
      <c r="E345" s="39">
        <f>CL!$N$67</f>
        <v>1353.9794488</v>
      </c>
      <c r="F345" s="39">
        <f>CL!$O$67</f>
        <v>1335.9683288000001</v>
      </c>
      <c r="G345" s="39">
        <f>CL!$P$67</f>
        <v>1371.0059942</v>
      </c>
      <c r="H345" s="39">
        <f>CL!$Q$67</f>
        <v>1375.9613941999999</v>
      </c>
      <c r="I345" s="39">
        <f>CL!$R$67</f>
        <v>1391.9353341999999</v>
      </c>
      <c r="J345" s="39">
        <f>CL!$S$67</f>
        <v>1359.9876342</v>
      </c>
      <c r="K345" s="39">
        <f>CL!$T$67</f>
        <v>1351.9648995999999</v>
      </c>
      <c r="L345" s="39">
        <f>CL!$U$67</f>
        <v>1397.9703941999999</v>
      </c>
      <c r="M345" s="39">
        <f>CL!$V$67</f>
        <v>1411.9860441999999</v>
      </c>
      <c r="N345" s="39">
        <f>CL!$W$67</f>
        <v>675.47881249999989</v>
      </c>
      <c r="O345" s="39">
        <f>CL!$X$67</f>
        <v>0</v>
      </c>
      <c r="P345" s="39">
        <f>CL!$Y$67</f>
        <v>694.51990709999995</v>
      </c>
      <c r="Q345" s="39">
        <f>CL!$Z$67</f>
        <v>699.47530710000001</v>
      </c>
      <c r="R345" s="39">
        <f>CL!$AA$67</f>
        <v>715.44924709999998</v>
      </c>
      <c r="S345" s="39">
        <f>CL!$AB$67</f>
        <v>688.48433439999997</v>
      </c>
      <c r="T345" s="39">
        <f>CL!$AC$67</f>
        <v>696.47130440000001</v>
      </c>
    </row>
    <row r="346" spans="1:20" x14ac:dyDescent="0.25">
      <c r="A346" s="40" t="s">
        <v>44</v>
      </c>
      <c r="B346" s="40" t="str">
        <f>CL!$A$68</f>
        <v>CL 65:5</v>
      </c>
      <c r="C346" s="39" t="str">
        <f>CL!$L$68</f>
        <v>C74H134O17P2</v>
      </c>
      <c r="D346" s="39">
        <f>CL!$M$68</f>
        <v>1356.9095774</v>
      </c>
      <c r="E346" s="39">
        <f>CL!$N$68</f>
        <v>1357.9168520000001</v>
      </c>
      <c r="F346" s="39">
        <f>CL!$O$68</f>
        <v>1339.9057320000002</v>
      </c>
      <c r="G346" s="39">
        <f>CL!$P$68</f>
        <v>1374.9433974000001</v>
      </c>
      <c r="H346" s="39">
        <f>CL!$Q$68</f>
        <v>1379.8987973999999</v>
      </c>
      <c r="I346" s="39">
        <f>CL!$R$68</f>
        <v>1395.8727374</v>
      </c>
      <c r="J346" s="39">
        <f>CL!$S$68</f>
        <v>1363.9250374000001</v>
      </c>
      <c r="K346" s="39">
        <f>CL!$T$68</f>
        <v>1355.9023027999999</v>
      </c>
      <c r="L346" s="39">
        <f>CL!$U$68</f>
        <v>1401.9077973999999</v>
      </c>
      <c r="M346" s="39">
        <f>CL!$V$68</f>
        <v>1415.9234474</v>
      </c>
      <c r="N346" s="39">
        <f>CL!$W$68</f>
        <v>677.44751409999992</v>
      </c>
      <c r="O346" s="39">
        <f>CL!$X$68</f>
        <v>0</v>
      </c>
      <c r="P346" s="39">
        <f>CL!$Y$68</f>
        <v>696.48860869999999</v>
      </c>
      <c r="Q346" s="39">
        <f>CL!$Z$68</f>
        <v>701.44400870000004</v>
      </c>
      <c r="R346" s="39">
        <f>CL!$AA$68</f>
        <v>717.41794870000001</v>
      </c>
      <c r="S346" s="39">
        <f>CL!$AB$68</f>
        <v>690.453036</v>
      </c>
      <c r="T346" s="39">
        <f>CL!$AC$68</f>
        <v>698.44000600000004</v>
      </c>
    </row>
    <row r="347" spans="1:20" x14ac:dyDescent="0.25">
      <c r="A347" s="40" t="s">
        <v>44</v>
      </c>
      <c r="B347" s="40" t="str">
        <f>CL!$A$69</f>
        <v>CL 65:4</v>
      </c>
      <c r="C347" s="39" t="str">
        <f>CL!$L$69</f>
        <v>C74H136O17P2</v>
      </c>
      <c r="D347" s="39">
        <f>CL!$M$69</f>
        <v>1358.9252266000001</v>
      </c>
      <c r="E347" s="39">
        <f>CL!$N$69</f>
        <v>1359.9325012000002</v>
      </c>
      <c r="F347" s="39">
        <f>CL!$O$69</f>
        <v>1341.9213812000003</v>
      </c>
      <c r="G347" s="39">
        <f>CL!$P$69</f>
        <v>1376.9590466000002</v>
      </c>
      <c r="H347" s="39">
        <f>CL!$Q$69</f>
        <v>1381.9144466</v>
      </c>
      <c r="I347" s="39">
        <f>CL!$R$69</f>
        <v>1397.8883866000001</v>
      </c>
      <c r="J347" s="39">
        <f>CL!$S$69</f>
        <v>1365.9406866000002</v>
      </c>
      <c r="K347" s="39">
        <f>CL!$T$69</f>
        <v>1357.917952</v>
      </c>
      <c r="L347" s="39">
        <f>CL!$U$69</f>
        <v>1403.9234466</v>
      </c>
      <c r="M347" s="39">
        <f>CL!$V$69</f>
        <v>1417.9390966000001</v>
      </c>
      <c r="N347" s="39">
        <f>CL!$W$69</f>
        <v>678.45533869999997</v>
      </c>
      <c r="O347" s="39">
        <f>CL!$X$69</f>
        <v>0</v>
      </c>
      <c r="P347" s="39">
        <f>CL!$Y$69</f>
        <v>697.49643330000004</v>
      </c>
      <c r="Q347" s="39">
        <f>CL!$Z$69</f>
        <v>702.45183330000009</v>
      </c>
      <c r="R347" s="39">
        <f>CL!$AA$69</f>
        <v>718.42577330000006</v>
      </c>
      <c r="S347" s="39">
        <f>CL!$AB$69</f>
        <v>691.46086060000005</v>
      </c>
      <c r="T347" s="39">
        <f>CL!$AC$69</f>
        <v>699.44783060000009</v>
      </c>
    </row>
    <row r="348" spans="1:20" x14ac:dyDescent="0.25">
      <c r="A348" s="40" t="s">
        <v>44</v>
      </c>
      <c r="B348" s="40" t="str">
        <f>CL!$A$70</f>
        <v>CL 65:3</v>
      </c>
      <c r="C348" s="39" t="str">
        <f>CL!$L$70</f>
        <v>C74H138O17P2</v>
      </c>
      <c r="D348" s="39">
        <f>CL!$M$70</f>
        <v>1360.9408758</v>
      </c>
      <c r="E348" s="39">
        <f>CL!$N$70</f>
        <v>1361.9481504</v>
      </c>
      <c r="F348" s="39">
        <f>CL!$O$70</f>
        <v>1343.9370304000001</v>
      </c>
      <c r="G348" s="39">
        <f>CL!$P$70</f>
        <v>1378.9746958000001</v>
      </c>
      <c r="H348" s="39">
        <f>CL!$Q$70</f>
        <v>1383.9300957999999</v>
      </c>
      <c r="I348" s="39">
        <f>CL!$R$70</f>
        <v>1399.9040358</v>
      </c>
      <c r="J348" s="39">
        <f>CL!$S$70</f>
        <v>1367.9563358</v>
      </c>
      <c r="K348" s="39">
        <f>CL!$T$70</f>
        <v>1359.9336011999999</v>
      </c>
      <c r="L348" s="39">
        <f>CL!$U$70</f>
        <v>1405.9390957999999</v>
      </c>
      <c r="M348" s="39">
        <f>CL!$V$70</f>
        <v>1419.9547458</v>
      </c>
      <c r="N348" s="39">
        <f>CL!$W$70</f>
        <v>679.46316329999991</v>
      </c>
      <c r="O348" s="39">
        <f>CL!$X$70</f>
        <v>0</v>
      </c>
      <c r="P348" s="39">
        <f>CL!$Y$70</f>
        <v>698.50425789999997</v>
      </c>
      <c r="Q348" s="39">
        <f>CL!$Z$70</f>
        <v>703.45965790000002</v>
      </c>
      <c r="R348" s="39">
        <f>CL!$AA$70</f>
        <v>719.4335979</v>
      </c>
      <c r="S348" s="39">
        <f>CL!$AB$70</f>
        <v>692.46868519999998</v>
      </c>
      <c r="T348" s="39">
        <f>CL!$AC$70</f>
        <v>700.45565520000002</v>
      </c>
    </row>
    <row r="349" spans="1:20" x14ac:dyDescent="0.25">
      <c r="A349" s="40" t="s">
        <v>44</v>
      </c>
      <c r="B349" s="40" t="str">
        <f>CL!$A$71</f>
        <v>CL 65:2</v>
      </c>
      <c r="C349" s="39" t="str">
        <f>CL!$L$71</f>
        <v>C74H140O17P2</v>
      </c>
      <c r="D349" s="39">
        <f>CL!$M$71</f>
        <v>1362.9565250000001</v>
      </c>
      <c r="E349" s="39">
        <f>CL!$N$71</f>
        <v>1363.9637996000001</v>
      </c>
      <c r="F349" s="39">
        <f>CL!$O$71</f>
        <v>1345.9526796000002</v>
      </c>
      <c r="G349" s="39">
        <f>CL!$P$71</f>
        <v>1380.9903450000002</v>
      </c>
      <c r="H349" s="39">
        <f>CL!$Q$71</f>
        <v>1385.945745</v>
      </c>
      <c r="I349" s="39">
        <f>CL!$R$71</f>
        <v>1401.9196850000001</v>
      </c>
      <c r="J349" s="39">
        <f>CL!$S$71</f>
        <v>1369.9719850000001</v>
      </c>
      <c r="K349" s="39">
        <f>CL!$T$71</f>
        <v>1361.9492504</v>
      </c>
      <c r="L349" s="39">
        <f>CL!$U$71</f>
        <v>1407.954745</v>
      </c>
      <c r="M349" s="39">
        <f>CL!$V$71</f>
        <v>1421.9703950000001</v>
      </c>
      <c r="N349" s="39">
        <f>CL!$W$71</f>
        <v>680.47098789999995</v>
      </c>
      <c r="O349" s="39">
        <f>CL!$X$71</f>
        <v>0</v>
      </c>
      <c r="P349" s="39">
        <f>CL!$Y$71</f>
        <v>699.51208250000002</v>
      </c>
      <c r="Q349" s="39">
        <f>CL!$Z$71</f>
        <v>704.46748250000007</v>
      </c>
      <c r="R349" s="39">
        <f>CL!$AA$71</f>
        <v>720.44142250000004</v>
      </c>
      <c r="S349" s="39">
        <f>CL!$AB$71</f>
        <v>693.47650980000003</v>
      </c>
      <c r="T349" s="39">
        <f>CL!$AC$71</f>
        <v>701.46347980000007</v>
      </c>
    </row>
    <row r="350" spans="1:20" x14ac:dyDescent="0.25">
      <c r="A350" s="40" t="s">
        <v>44</v>
      </c>
      <c r="B350" s="40" t="str">
        <f>CL!$A$72</f>
        <v>CL 65:1</v>
      </c>
      <c r="C350" s="39" t="str">
        <f>CL!$L$72</f>
        <v>C74H142O17P2</v>
      </c>
      <c r="D350" s="39">
        <f>CL!$M$72</f>
        <v>1364.9721741999999</v>
      </c>
      <c r="E350" s="39">
        <f>CL!$N$72</f>
        <v>1365.9794488</v>
      </c>
      <c r="F350" s="39">
        <f>CL!$O$72</f>
        <v>1347.9683288000001</v>
      </c>
      <c r="G350" s="39">
        <f>CL!$P$72</f>
        <v>1383.0059942</v>
      </c>
      <c r="H350" s="39">
        <f>CL!$Q$72</f>
        <v>1387.9613941999999</v>
      </c>
      <c r="I350" s="39">
        <f>CL!$R$72</f>
        <v>1403.9353341999999</v>
      </c>
      <c r="J350" s="39">
        <f>CL!$S$72</f>
        <v>1371.9876342</v>
      </c>
      <c r="K350" s="39">
        <f>CL!$T$72</f>
        <v>1363.9648995999999</v>
      </c>
      <c r="L350" s="39">
        <f>CL!$U$72</f>
        <v>1409.9703941999999</v>
      </c>
      <c r="M350" s="39">
        <f>CL!$V$72</f>
        <v>1423.9860441999999</v>
      </c>
      <c r="N350" s="39">
        <f>CL!$W$72</f>
        <v>681.47881249999989</v>
      </c>
      <c r="O350" s="39">
        <f>CL!$X$72</f>
        <v>0</v>
      </c>
      <c r="P350" s="39">
        <f>CL!$Y$72</f>
        <v>700.51990709999995</v>
      </c>
      <c r="Q350" s="39">
        <f>CL!$Z$72</f>
        <v>705.47530710000001</v>
      </c>
      <c r="R350" s="39">
        <f>CL!$AA$72</f>
        <v>721.44924709999998</v>
      </c>
      <c r="S350" s="39">
        <f>CL!$AB$72</f>
        <v>694.48433439999997</v>
      </c>
      <c r="T350" s="39">
        <f>CL!$AC$72</f>
        <v>702.47130440000001</v>
      </c>
    </row>
    <row r="351" spans="1:20" x14ac:dyDescent="0.25">
      <c r="A351" s="40" t="s">
        <v>44</v>
      </c>
      <c r="B351" s="40" t="str">
        <f>CL!$A$73</f>
        <v>CL 65:0</v>
      </c>
      <c r="C351" s="39" t="str">
        <f>CL!$L$73</f>
        <v>C74H144O17P2</v>
      </c>
      <c r="D351" s="39">
        <f>CL!$M$73</f>
        <v>1366.9878234</v>
      </c>
      <c r="E351" s="39">
        <f>CL!$N$73</f>
        <v>1367.9950980000001</v>
      </c>
      <c r="F351" s="39">
        <f>CL!$O$73</f>
        <v>1349.9839780000002</v>
      </c>
      <c r="G351" s="39">
        <f>CL!$P$73</f>
        <v>1385.0216434000001</v>
      </c>
      <c r="H351" s="39">
        <f>CL!$Q$73</f>
        <v>1389.9770434</v>
      </c>
      <c r="I351" s="39">
        <f>CL!$R$73</f>
        <v>1405.9509834</v>
      </c>
      <c r="J351" s="39">
        <f>CL!$S$73</f>
        <v>1374.0032834000001</v>
      </c>
      <c r="K351" s="39">
        <f>CL!$T$73</f>
        <v>1365.9805488</v>
      </c>
      <c r="L351" s="39">
        <f>CL!$U$73</f>
        <v>1411.9860434</v>
      </c>
      <c r="M351" s="39">
        <f>CL!$V$73</f>
        <v>1426.0016934</v>
      </c>
      <c r="N351" s="39">
        <f>CL!$W$73</f>
        <v>682.48663709999994</v>
      </c>
      <c r="O351" s="39">
        <f>CL!$X$73</f>
        <v>0</v>
      </c>
      <c r="P351" s="39">
        <f>CL!$Y$73</f>
        <v>701.5277317</v>
      </c>
      <c r="Q351" s="39">
        <f>CL!$Z$73</f>
        <v>706.48313170000006</v>
      </c>
      <c r="R351" s="39">
        <f>CL!$AA$73</f>
        <v>722.45707170000003</v>
      </c>
      <c r="S351" s="39">
        <f>CL!$AB$73</f>
        <v>695.49215900000002</v>
      </c>
      <c r="T351" s="39">
        <f>CL!$AC$73</f>
        <v>703.47912900000006</v>
      </c>
    </row>
    <row r="352" spans="1:20" x14ac:dyDescent="0.25">
      <c r="A352" s="40" t="s">
        <v>44</v>
      </c>
      <c r="B352" s="40" t="str">
        <f>CL!$A$74</f>
        <v>CL 66:5</v>
      </c>
      <c r="C352" s="39" t="str">
        <f>CL!$L$74</f>
        <v>C75H136O17P2</v>
      </c>
      <c r="D352" s="39">
        <f>CL!$M$74</f>
        <v>1370.9252266000001</v>
      </c>
      <c r="E352" s="39">
        <f>CL!$N$74</f>
        <v>1371.9325012000002</v>
      </c>
      <c r="F352" s="39">
        <f>CL!$O$74</f>
        <v>1353.9213812000003</v>
      </c>
      <c r="G352" s="39">
        <f>CL!$P$74</f>
        <v>1388.9590466000002</v>
      </c>
      <c r="H352" s="39">
        <f>CL!$Q$74</f>
        <v>1393.9144466</v>
      </c>
      <c r="I352" s="39">
        <f>CL!$R$74</f>
        <v>1409.8883866000001</v>
      </c>
      <c r="J352" s="39">
        <f>CL!$S$74</f>
        <v>1377.9406866000002</v>
      </c>
      <c r="K352" s="39">
        <f>CL!$T$74</f>
        <v>1369.917952</v>
      </c>
      <c r="L352" s="39">
        <f>CL!$U$74</f>
        <v>1415.9234466</v>
      </c>
      <c r="M352" s="39">
        <f>CL!$V$74</f>
        <v>1429.9390966000001</v>
      </c>
      <c r="N352" s="39">
        <f>CL!$W$74</f>
        <v>684.45533869999997</v>
      </c>
      <c r="O352" s="39">
        <f>CL!$X$74</f>
        <v>0</v>
      </c>
      <c r="P352" s="39">
        <f>CL!$Y$74</f>
        <v>703.49643330000004</v>
      </c>
      <c r="Q352" s="39">
        <f>CL!$Z$74</f>
        <v>708.45183330000009</v>
      </c>
      <c r="R352" s="39">
        <f>CL!$AA$74</f>
        <v>724.42577330000006</v>
      </c>
      <c r="S352" s="39">
        <f>CL!$AB$74</f>
        <v>697.46086060000005</v>
      </c>
      <c r="T352" s="39">
        <f>CL!$AC$74</f>
        <v>705.44783060000009</v>
      </c>
    </row>
    <row r="353" spans="1:20" x14ac:dyDescent="0.25">
      <c r="A353" s="40" t="s">
        <v>44</v>
      </c>
      <c r="B353" s="40" t="str">
        <f>CL!$A$75</f>
        <v>CL 66:4</v>
      </c>
      <c r="C353" s="39" t="str">
        <f>CL!$L$75</f>
        <v>C75H138O17P2</v>
      </c>
      <c r="D353" s="39">
        <f>CL!$M$75</f>
        <v>1372.9408758</v>
      </c>
      <c r="E353" s="39">
        <f>CL!$N$75</f>
        <v>1373.9481504</v>
      </c>
      <c r="F353" s="39">
        <f>CL!$O$75</f>
        <v>1355.9370304000001</v>
      </c>
      <c r="G353" s="39">
        <f>CL!$P$75</f>
        <v>1390.9746958000001</v>
      </c>
      <c r="H353" s="39">
        <f>CL!$Q$75</f>
        <v>1395.9300957999999</v>
      </c>
      <c r="I353" s="39">
        <f>CL!$R$75</f>
        <v>1411.9040358</v>
      </c>
      <c r="J353" s="39">
        <f>CL!$S$75</f>
        <v>1379.9563358</v>
      </c>
      <c r="K353" s="39">
        <f>CL!$T$75</f>
        <v>1371.9336011999999</v>
      </c>
      <c r="L353" s="39">
        <f>CL!$U$75</f>
        <v>1417.9390957999999</v>
      </c>
      <c r="M353" s="39">
        <f>CL!$V$75</f>
        <v>1431.9547458</v>
      </c>
      <c r="N353" s="39">
        <f>CL!$W$75</f>
        <v>685.46316329999991</v>
      </c>
      <c r="O353" s="39">
        <f>CL!$X$75</f>
        <v>0</v>
      </c>
      <c r="P353" s="39">
        <f>CL!$Y$75</f>
        <v>704.50425789999997</v>
      </c>
      <c r="Q353" s="39">
        <f>CL!$Z$75</f>
        <v>709.45965790000002</v>
      </c>
      <c r="R353" s="39">
        <f>CL!$AA$75</f>
        <v>725.4335979</v>
      </c>
      <c r="S353" s="39">
        <f>CL!$AB$75</f>
        <v>698.46868519999998</v>
      </c>
      <c r="T353" s="39">
        <f>CL!$AC$75</f>
        <v>706.45565520000002</v>
      </c>
    </row>
    <row r="354" spans="1:20" x14ac:dyDescent="0.25">
      <c r="A354" s="40" t="s">
        <v>44</v>
      </c>
      <c r="B354" s="40" t="str">
        <f>CL!$A$76</f>
        <v>CL 66:3</v>
      </c>
      <c r="C354" s="39" t="str">
        <f>CL!$L$76</f>
        <v>C75H140O17P2</v>
      </c>
      <c r="D354" s="39">
        <f>CL!$M$76</f>
        <v>1374.9565250000001</v>
      </c>
      <c r="E354" s="39">
        <f>CL!$N$76</f>
        <v>1375.9637996000001</v>
      </c>
      <c r="F354" s="39">
        <f>CL!$O$76</f>
        <v>1357.9526796000002</v>
      </c>
      <c r="G354" s="39">
        <f>CL!$P$76</f>
        <v>1392.9903450000002</v>
      </c>
      <c r="H354" s="39">
        <f>CL!$Q$76</f>
        <v>1397.945745</v>
      </c>
      <c r="I354" s="39">
        <f>CL!$R$76</f>
        <v>1413.9196850000001</v>
      </c>
      <c r="J354" s="39">
        <f>CL!$S$76</f>
        <v>1381.9719850000001</v>
      </c>
      <c r="K354" s="39">
        <f>CL!$T$76</f>
        <v>1373.9492504</v>
      </c>
      <c r="L354" s="39">
        <f>CL!$U$76</f>
        <v>1419.954745</v>
      </c>
      <c r="M354" s="39">
        <f>CL!$V$76</f>
        <v>1433.9703950000001</v>
      </c>
      <c r="N354" s="39">
        <f>CL!$W$76</f>
        <v>686.47098789999995</v>
      </c>
      <c r="O354" s="39">
        <f>CL!$X$76</f>
        <v>0</v>
      </c>
      <c r="P354" s="39">
        <f>CL!$Y$76</f>
        <v>705.51208250000002</v>
      </c>
      <c r="Q354" s="39">
        <f>CL!$Z$76</f>
        <v>710.46748250000007</v>
      </c>
      <c r="R354" s="39">
        <f>CL!$AA$76</f>
        <v>726.44142250000004</v>
      </c>
      <c r="S354" s="39">
        <f>CL!$AB$76</f>
        <v>699.47650980000003</v>
      </c>
      <c r="T354" s="39">
        <f>CL!$AC$76</f>
        <v>707.46347980000007</v>
      </c>
    </row>
    <row r="355" spans="1:20" x14ac:dyDescent="0.25">
      <c r="A355" s="40" t="s">
        <v>44</v>
      </c>
      <c r="B355" s="40" t="str">
        <f>CL!$A$77</f>
        <v>CL 66:2</v>
      </c>
      <c r="C355" s="39" t="str">
        <f>CL!$L$77</f>
        <v>C75H142O17P2</v>
      </c>
      <c r="D355" s="39">
        <f>CL!$M$77</f>
        <v>1376.9721741999999</v>
      </c>
      <c r="E355" s="39">
        <f>CL!$N$77</f>
        <v>1377.9794488</v>
      </c>
      <c r="F355" s="39">
        <f>CL!$O$77</f>
        <v>1359.9683288000001</v>
      </c>
      <c r="G355" s="39">
        <f>CL!$P$77</f>
        <v>1395.0059942</v>
      </c>
      <c r="H355" s="39">
        <f>CL!$Q$77</f>
        <v>1399.9613941999999</v>
      </c>
      <c r="I355" s="39">
        <f>CL!$R$77</f>
        <v>1415.9353341999999</v>
      </c>
      <c r="J355" s="39">
        <f>CL!$S$77</f>
        <v>1383.9876342</v>
      </c>
      <c r="K355" s="39">
        <f>CL!$T$77</f>
        <v>1375.9648995999999</v>
      </c>
      <c r="L355" s="39">
        <f>CL!$U$77</f>
        <v>1421.9703941999999</v>
      </c>
      <c r="M355" s="39">
        <f>CL!$V$77</f>
        <v>1435.9860441999999</v>
      </c>
      <c r="N355" s="39">
        <f>CL!$W$77</f>
        <v>687.47881249999989</v>
      </c>
      <c r="O355" s="39">
        <f>CL!$X$77</f>
        <v>0</v>
      </c>
      <c r="P355" s="39">
        <f>CL!$Y$77</f>
        <v>706.51990709999995</v>
      </c>
      <c r="Q355" s="39">
        <f>CL!$Z$77</f>
        <v>711.47530710000001</v>
      </c>
      <c r="R355" s="39">
        <f>CL!$AA$77</f>
        <v>727.44924709999998</v>
      </c>
      <c r="S355" s="39">
        <f>CL!$AB$77</f>
        <v>700.48433439999997</v>
      </c>
      <c r="T355" s="39">
        <f>CL!$AC$77</f>
        <v>708.47130440000001</v>
      </c>
    </row>
    <row r="356" spans="1:20" x14ac:dyDescent="0.25">
      <c r="A356" s="40" t="s">
        <v>44</v>
      </c>
      <c r="B356" s="40" t="str">
        <f>CL!$A$78</f>
        <v>CL 66:1</v>
      </c>
      <c r="C356" s="39" t="str">
        <f>CL!$L$78</f>
        <v>C75H144O17P2</v>
      </c>
      <c r="D356" s="39">
        <f>CL!$M$78</f>
        <v>1378.9878234</v>
      </c>
      <c r="E356" s="39">
        <f>CL!$N$78</f>
        <v>1379.9950980000001</v>
      </c>
      <c r="F356" s="39">
        <f>CL!$O$78</f>
        <v>1361.9839780000002</v>
      </c>
      <c r="G356" s="39">
        <f>CL!$P$78</f>
        <v>1397.0216434000001</v>
      </c>
      <c r="H356" s="39">
        <f>CL!$Q$78</f>
        <v>1401.9770434</v>
      </c>
      <c r="I356" s="39">
        <f>CL!$R$78</f>
        <v>1417.9509834</v>
      </c>
      <c r="J356" s="39">
        <f>CL!$S$78</f>
        <v>1386.0032834000001</v>
      </c>
      <c r="K356" s="39">
        <f>CL!$T$78</f>
        <v>1377.9805488</v>
      </c>
      <c r="L356" s="39">
        <f>CL!$U$78</f>
        <v>1423.9860434</v>
      </c>
      <c r="M356" s="39">
        <f>CL!$V$78</f>
        <v>1438.0016934</v>
      </c>
      <c r="N356" s="39">
        <f>CL!$W$78</f>
        <v>688.48663709999994</v>
      </c>
      <c r="O356" s="39">
        <f>CL!$X$78</f>
        <v>0</v>
      </c>
      <c r="P356" s="39">
        <f>CL!$Y$78</f>
        <v>707.5277317</v>
      </c>
      <c r="Q356" s="39">
        <f>CL!$Z$78</f>
        <v>712.48313170000006</v>
      </c>
      <c r="R356" s="39">
        <f>CL!$AA$78</f>
        <v>728.45707170000003</v>
      </c>
      <c r="S356" s="39">
        <f>CL!$AB$78</f>
        <v>701.49215900000002</v>
      </c>
      <c r="T356" s="39">
        <f>CL!$AC$78</f>
        <v>709.47912900000006</v>
      </c>
    </row>
    <row r="357" spans="1:20" x14ac:dyDescent="0.25">
      <c r="A357" s="40" t="s">
        <v>44</v>
      </c>
      <c r="B357" s="40" t="str">
        <f>CL!$A$79</f>
        <v>CL 66:0</v>
      </c>
      <c r="C357" s="39" t="str">
        <f>CL!$L$79</f>
        <v>C75H146O17P2</v>
      </c>
      <c r="D357" s="39">
        <f>CL!$M$79</f>
        <v>1381.0034725999999</v>
      </c>
      <c r="E357" s="39">
        <f>CL!$N$79</f>
        <v>1382.0107472</v>
      </c>
      <c r="F357" s="39">
        <f>CL!$O$79</f>
        <v>1363.9996272000001</v>
      </c>
      <c r="G357" s="39">
        <f>CL!$P$79</f>
        <v>1399.0372926</v>
      </c>
      <c r="H357" s="39">
        <f>CL!$Q$79</f>
        <v>1403.9926925999998</v>
      </c>
      <c r="I357" s="39">
        <f>CL!$R$79</f>
        <v>1419.9666325999999</v>
      </c>
      <c r="J357" s="39">
        <f>CL!$S$79</f>
        <v>1388.0189326</v>
      </c>
      <c r="K357" s="39">
        <f>CL!$T$79</f>
        <v>1379.9961979999998</v>
      </c>
      <c r="L357" s="39">
        <f>CL!$U$79</f>
        <v>1426.0016925999998</v>
      </c>
      <c r="M357" s="39">
        <f>CL!$V$79</f>
        <v>1440.0173425999999</v>
      </c>
      <c r="N357" s="39">
        <f>CL!$W$79</f>
        <v>689.49446169999987</v>
      </c>
      <c r="O357" s="39">
        <f>CL!$X$79</f>
        <v>0</v>
      </c>
      <c r="P357" s="39">
        <f>CL!$Y$79</f>
        <v>708.53555629999994</v>
      </c>
      <c r="Q357" s="39">
        <f>CL!$Z$79</f>
        <v>713.49095629999999</v>
      </c>
      <c r="R357" s="39">
        <f>CL!$AA$79</f>
        <v>729.46489629999996</v>
      </c>
      <c r="S357" s="39">
        <f>CL!$AB$79</f>
        <v>702.49998359999995</v>
      </c>
      <c r="T357" s="39">
        <f>CL!$AC$79</f>
        <v>710.48695359999999</v>
      </c>
    </row>
    <row r="358" spans="1:20" x14ac:dyDescent="0.25">
      <c r="A358" s="40" t="s">
        <v>44</v>
      </c>
      <c r="B358" s="40" t="str">
        <f>CL!$A$80</f>
        <v>CL 67:5</v>
      </c>
      <c r="C358" s="39" t="str">
        <f>CL!$L$80</f>
        <v>C76H138O17P2</v>
      </c>
      <c r="D358" s="39">
        <f>CL!$M$80</f>
        <v>1384.9408758</v>
      </c>
      <c r="E358" s="39">
        <f>CL!$N$80</f>
        <v>1385.9481504</v>
      </c>
      <c r="F358" s="39">
        <f>CL!$O$80</f>
        <v>1367.9370304000001</v>
      </c>
      <c r="G358" s="39">
        <f>CL!$P$80</f>
        <v>1402.9746958000001</v>
      </c>
      <c r="H358" s="39">
        <f>CL!$Q$80</f>
        <v>1407.9300957999999</v>
      </c>
      <c r="I358" s="39">
        <f>CL!$R$80</f>
        <v>1423.9040358</v>
      </c>
      <c r="J358" s="39">
        <f>CL!$S$80</f>
        <v>1391.9563358</v>
      </c>
      <c r="K358" s="39">
        <f>CL!$T$80</f>
        <v>1383.9336011999999</v>
      </c>
      <c r="L358" s="39">
        <f>CL!$U$80</f>
        <v>1429.9390957999999</v>
      </c>
      <c r="M358" s="39">
        <f>CL!$V$80</f>
        <v>1443.9547458</v>
      </c>
      <c r="N358" s="39">
        <f>CL!$W$80</f>
        <v>691.46316329999991</v>
      </c>
      <c r="O358" s="39">
        <f>CL!$X$80</f>
        <v>0</v>
      </c>
      <c r="P358" s="39">
        <f>CL!$Y$80</f>
        <v>710.50425789999997</v>
      </c>
      <c r="Q358" s="39">
        <f>CL!$Z$80</f>
        <v>715.45965790000002</v>
      </c>
      <c r="R358" s="39">
        <f>CL!$AA$80</f>
        <v>731.4335979</v>
      </c>
      <c r="S358" s="39">
        <f>CL!$AB$80</f>
        <v>704.46868519999998</v>
      </c>
      <c r="T358" s="39">
        <f>CL!$AC$80</f>
        <v>712.45565520000002</v>
      </c>
    </row>
    <row r="359" spans="1:20" x14ac:dyDescent="0.25">
      <c r="A359" s="40" t="s">
        <v>44</v>
      </c>
      <c r="B359" s="40" t="str">
        <f>CL!$A$81</f>
        <v>CL 67:4</v>
      </c>
      <c r="C359" s="39" t="str">
        <f>CL!$L$81</f>
        <v>C76H140O17P2</v>
      </c>
      <c r="D359" s="39">
        <f>CL!$M$81</f>
        <v>1386.9565250000001</v>
      </c>
      <c r="E359" s="39">
        <f>CL!$N$81</f>
        <v>1387.9637996000001</v>
      </c>
      <c r="F359" s="39">
        <f>CL!$O$81</f>
        <v>1369.9526796000002</v>
      </c>
      <c r="G359" s="39">
        <f>CL!$P$81</f>
        <v>1404.9903450000002</v>
      </c>
      <c r="H359" s="39">
        <f>CL!$Q$81</f>
        <v>1409.945745</v>
      </c>
      <c r="I359" s="39">
        <f>CL!$R$81</f>
        <v>1425.9196850000001</v>
      </c>
      <c r="J359" s="39">
        <f>CL!$S$81</f>
        <v>1393.9719850000001</v>
      </c>
      <c r="K359" s="39">
        <f>CL!$T$81</f>
        <v>1385.9492504</v>
      </c>
      <c r="L359" s="39">
        <f>CL!$U$81</f>
        <v>1431.954745</v>
      </c>
      <c r="M359" s="39">
        <f>CL!$V$81</f>
        <v>1445.9703950000001</v>
      </c>
      <c r="N359" s="39">
        <f>CL!$W$81</f>
        <v>692.47098789999995</v>
      </c>
      <c r="O359" s="39">
        <f>CL!$X$81</f>
        <v>0</v>
      </c>
      <c r="P359" s="39">
        <f>CL!$Y$81</f>
        <v>711.51208250000002</v>
      </c>
      <c r="Q359" s="39">
        <f>CL!$Z$81</f>
        <v>716.46748250000007</v>
      </c>
      <c r="R359" s="39">
        <f>CL!$AA$81</f>
        <v>732.44142250000004</v>
      </c>
      <c r="S359" s="39">
        <f>CL!$AB$81</f>
        <v>705.47650980000003</v>
      </c>
      <c r="T359" s="39">
        <f>CL!$AC$81</f>
        <v>713.46347980000007</v>
      </c>
    </row>
    <row r="360" spans="1:20" x14ac:dyDescent="0.25">
      <c r="A360" s="40" t="s">
        <v>44</v>
      </c>
      <c r="B360" s="40" t="str">
        <f>CL!$A$82</f>
        <v>CL 67:3</v>
      </c>
      <c r="C360" s="39" t="str">
        <f>CL!$L$82</f>
        <v>C76H142O17P2</v>
      </c>
      <c r="D360" s="39">
        <f>CL!$M$82</f>
        <v>1388.9721741999999</v>
      </c>
      <c r="E360" s="39">
        <f>CL!$N$82</f>
        <v>1389.9794488</v>
      </c>
      <c r="F360" s="39">
        <f>CL!$O$82</f>
        <v>1371.9683288000001</v>
      </c>
      <c r="G360" s="39">
        <f>CL!$P$82</f>
        <v>1407.0059942</v>
      </c>
      <c r="H360" s="39">
        <f>CL!$Q$82</f>
        <v>1411.9613941999999</v>
      </c>
      <c r="I360" s="39">
        <f>CL!$R$82</f>
        <v>1427.9353341999999</v>
      </c>
      <c r="J360" s="39">
        <f>CL!$S$82</f>
        <v>1395.9876342</v>
      </c>
      <c r="K360" s="39">
        <f>CL!$T$82</f>
        <v>1387.9648995999999</v>
      </c>
      <c r="L360" s="39">
        <f>CL!$U$82</f>
        <v>1433.9703941999999</v>
      </c>
      <c r="M360" s="39">
        <f>CL!$V$82</f>
        <v>1447.9860441999999</v>
      </c>
      <c r="N360" s="39">
        <f>CL!$W$82</f>
        <v>693.47881249999989</v>
      </c>
      <c r="O360" s="39">
        <f>CL!$X$82</f>
        <v>0</v>
      </c>
      <c r="P360" s="39">
        <f>CL!$Y$82</f>
        <v>712.51990709999995</v>
      </c>
      <c r="Q360" s="39">
        <f>CL!$Z$82</f>
        <v>717.47530710000001</v>
      </c>
      <c r="R360" s="39">
        <f>CL!$AA$82</f>
        <v>733.44924709999998</v>
      </c>
      <c r="S360" s="39">
        <f>CL!$AB$82</f>
        <v>706.48433439999997</v>
      </c>
      <c r="T360" s="39">
        <f>CL!$AC$82</f>
        <v>714.47130440000001</v>
      </c>
    </row>
    <row r="361" spans="1:20" x14ac:dyDescent="0.25">
      <c r="A361" s="40" t="s">
        <v>44</v>
      </c>
      <c r="B361" s="40" t="str">
        <f>CL!$A$83</f>
        <v>CL 67:2</v>
      </c>
      <c r="C361" s="39" t="str">
        <f>CL!$L$83</f>
        <v>C76H144O17P2</v>
      </c>
      <c r="D361" s="39">
        <f>CL!$M$83</f>
        <v>1390.9878234</v>
      </c>
      <c r="E361" s="39">
        <f>CL!$N$83</f>
        <v>1391.9950980000001</v>
      </c>
      <c r="F361" s="39">
        <f>CL!$O$83</f>
        <v>1373.9839780000002</v>
      </c>
      <c r="G361" s="39">
        <f>CL!$P$83</f>
        <v>1409.0216434000001</v>
      </c>
      <c r="H361" s="39">
        <f>CL!$Q$83</f>
        <v>1413.9770434</v>
      </c>
      <c r="I361" s="39">
        <f>CL!$R$83</f>
        <v>1429.9509834</v>
      </c>
      <c r="J361" s="39">
        <f>CL!$S$83</f>
        <v>1398.0032834000001</v>
      </c>
      <c r="K361" s="39">
        <f>CL!$T$83</f>
        <v>1389.9805488</v>
      </c>
      <c r="L361" s="39">
        <f>CL!$U$83</f>
        <v>1435.9860434</v>
      </c>
      <c r="M361" s="39">
        <f>CL!$V$83</f>
        <v>1450.0016934</v>
      </c>
      <c r="N361" s="39">
        <f>CL!$W$83</f>
        <v>694.48663709999994</v>
      </c>
      <c r="O361" s="39">
        <f>CL!$X$83</f>
        <v>0</v>
      </c>
      <c r="P361" s="39">
        <f>CL!$Y$83</f>
        <v>713.5277317</v>
      </c>
      <c r="Q361" s="39">
        <f>CL!$Z$83</f>
        <v>718.48313170000006</v>
      </c>
      <c r="R361" s="39">
        <f>CL!$AA$83</f>
        <v>734.45707170000003</v>
      </c>
      <c r="S361" s="39">
        <f>CL!$AB$83</f>
        <v>707.49215900000002</v>
      </c>
      <c r="T361" s="39">
        <f>CL!$AC$83</f>
        <v>715.47912900000006</v>
      </c>
    </row>
    <row r="362" spans="1:20" x14ac:dyDescent="0.25">
      <c r="A362" s="40" t="s">
        <v>44</v>
      </c>
      <c r="B362" s="40" t="str">
        <f>CL!$A$84</f>
        <v>CL 67:1</v>
      </c>
      <c r="C362" s="39" t="str">
        <f>CL!$L$84</f>
        <v>C76H146O17P2</v>
      </c>
      <c r="D362" s="39">
        <f>CL!$M$84</f>
        <v>1393.0034725999999</v>
      </c>
      <c r="E362" s="39">
        <f>CL!$N$84</f>
        <v>1394.0107472</v>
      </c>
      <c r="F362" s="39">
        <f>CL!$O$84</f>
        <v>1375.9996272000001</v>
      </c>
      <c r="G362" s="39">
        <f>CL!$P$84</f>
        <v>1411.0372926</v>
      </c>
      <c r="H362" s="39">
        <f>CL!$Q$84</f>
        <v>1415.9926925999998</v>
      </c>
      <c r="I362" s="39">
        <f>CL!$R$84</f>
        <v>1431.9666325999999</v>
      </c>
      <c r="J362" s="39">
        <f>CL!$S$84</f>
        <v>1400.0189326</v>
      </c>
      <c r="K362" s="39">
        <f>CL!$T$84</f>
        <v>1391.9961979999998</v>
      </c>
      <c r="L362" s="39">
        <f>CL!$U$84</f>
        <v>1438.0016925999998</v>
      </c>
      <c r="M362" s="39">
        <f>CL!$V$84</f>
        <v>1452.0173425999999</v>
      </c>
      <c r="N362" s="39">
        <f>CL!$W$84</f>
        <v>695.49446169999987</v>
      </c>
      <c r="O362" s="39">
        <f>CL!$X$84</f>
        <v>0</v>
      </c>
      <c r="P362" s="39">
        <f>CL!$Y$84</f>
        <v>714.53555629999994</v>
      </c>
      <c r="Q362" s="39">
        <f>CL!$Z$84</f>
        <v>719.49095629999999</v>
      </c>
      <c r="R362" s="39">
        <f>CL!$AA$84</f>
        <v>735.46489629999996</v>
      </c>
      <c r="S362" s="39">
        <f>CL!$AB$84</f>
        <v>708.49998359999995</v>
      </c>
      <c r="T362" s="39">
        <f>CL!$AC$84</f>
        <v>716.48695359999999</v>
      </c>
    </row>
    <row r="363" spans="1:20" x14ac:dyDescent="0.25">
      <c r="A363" s="40" t="s">
        <v>44</v>
      </c>
      <c r="B363" s="40" t="str">
        <f>CL!$A$85</f>
        <v>CL 67:0</v>
      </c>
      <c r="C363" s="39" t="str">
        <f>CL!$L$85</f>
        <v>C76H148O17P2</v>
      </c>
      <c r="D363" s="39">
        <f>CL!$M$85</f>
        <v>1395.0191218</v>
      </c>
      <c r="E363" s="39">
        <f>CL!$N$85</f>
        <v>1396.0263964000001</v>
      </c>
      <c r="F363" s="39">
        <f>CL!$O$85</f>
        <v>1378.0152764000002</v>
      </c>
      <c r="G363" s="39">
        <f>CL!$P$85</f>
        <v>1413.0529418000001</v>
      </c>
      <c r="H363" s="39">
        <f>CL!$Q$85</f>
        <v>1418.0083417999999</v>
      </c>
      <c r="I363" s="39">
        <f>CL!$R$85</f>
        <v>1433.9822818</v>
      </c>
      <c r="J363" s="39">
        <f>CL!$S$85</f>
        <v>1402.0345818000001</v>
      </c>
      <c r="K363" s="39">
        <f>CL!$T$85</f>
        <v>1394.0118471999999</v>
      </c>
      <c r="L363" s="39">
        <f>CL!$U$85</f>
        <v>1440.0173417999999</v>
      </c>
      <c r="M363" s="39">
        <f>CL!$V$85</f>
        <v>1454.0329918</v>
      </c>
      <c r="N363" s="39">
        <f>CL!$W$85</f>
        <v>696.50228629999992</v>
      </c>
      <c r="O363" s="39">
        <f>CL!$X$85</f>
        <v>0</v>
      </c>
      <c r="P363" s="39">
        <f>CL!$Y$85</f>
        <v>715.54338089999999</v>
      </c>
      <c r="Q363" s="39">
        <f>CL!$Z$85</f>
        <v>720.49878090000004</v>
      </c>
      <c r="R363" s="39">
        <f>CL!$AA$85</f>
        <v>736.47272090000001</v>
      </c>
      <c r="S363" s="39">
        <f>CL!$AB$85</f>
        <v>709.5078082</v>
      </c>
      <c r="T363" s="39">
        <f>CL!$AC$85</f>
        <v>717.49477820000004</v>
      </c>
    </row>
    <row r="364" spans="1:20" x14ac:dyDescent="0.25">
      <c r="A364" s="40" t="s">
        <v>44</v>
      </c>
      <c r="B364" s="40" t="str">
        <f>CL!$A$86</f>
        <v>CL 68:5</v>
      </c>
      <c r="C364" s="39" t="str">
        <f>CL!$L$86</f>
        <v>C77H140O17P2</v>
      </c>
      <c r="D364" s="39">
        <f>CL!$M$86</f>
        <v>1398.9565250000001</v>
      </c>
      <c r="E364" s="39">
        <f>CL!$N$86</f>
        <v>1399.9637996000001</v>
      </c>
      <c r="F364" s="39">
        <f>CL!$O$86</f>
        <v>1381.9526796000002</v>
      </c>
      <c r="G364" s="39">
        <f>CL!$P$86</f>
        <v>1416.9903450000002</v>
      </c>
      <c r="H364" s="39">
        <f>CL!$Q$86</f>
        <v>1421.945745</v>
      </c>
      <c r="I364" s="39">
        <f>CL!$R$86</f>
        <v>1437.9196850000001</v>
      </c>
      <c r="J364" s="39">
        <f>CL!$S$86</f>
        <v>1405.9719850000001</v>
      </c>
      <c r="K364" s="39">
        <f>CL!$T$86</f>
        <v>1397.9492504</v>
      </c>
      <c r="L364" s="39">
        <f>CL!$U$86</f>
        <v>1443.954745</v>
      </c>
      <c r="M364" s="39">
        <f>CL!$V$86</f>
        <v>1457.9703950000001</v>
      </c>
      <c r="N364" s="39">
        <f>CL!$W$86</f>
        <v>698.47098789999995</v>
      </c>
      <c r="O364" s="39">
        <f>CL!$X$86</f>
        <v>0</v>
      </c>
      <c r="P364" s="39">
        <f>CL!$Y$86</f>
        <v>717.51208250000002</v>
      </c>
      <c r="Q364" s="39">
        <f>CL!$Z$86</f>
        <v>722.46748250000007</v>
      </c>
      <c r="R364" s="39">
        <f>CL!$AA$86</f>
        <v>738.44142250000004</v>
      </c>
      <c r="S364" s="39">
        <f>CL!$AB$86</f>
        <v>711.47650980000003</v>
      </c>
      <c r="T364" s="39">
        <f>CL!$AC$86</f>
        <v>719.46347980000007</v>
      </c>
    </row>
    <row r="365" spans="1:20" x14ac:dyDescent="0.25">
      <c r="A365" s="40" t="s">
        <v>44</v>
      </c>
      <c r="B365" s="40" t="str">
        <f>CL!$A$87</f>
        <v>CL 68:4</v>
      </c>
      <c r="C365" s="39" t="str">
        <f>CL!$L$87</f>
        <v>C77H142O17P2</v>
      </c>
      <c r="D365" s="39">
        <f>CL!$M$87</f>
        <v>1400.9721741999999</v>
      </c>
      <c r="E365" s="39">
        <f>CL!$N$87</f>
        <v>1401.9794488</v>
      </c>
      <c r="F365" s="39">
        <f>CL!$O$87</f>
        <v>1383.9683288000001</v>
      </c>
      <c r="G365" s="39">
        <f>CL!$P$87</f>
        <v>1419.0059942</v>
      </c>
      <c r="H365" s="39">
        <f>CL!$Q$87</f>
        <v>1423.9613941999999</v>
      </c>
      <c r="I365" s="39">
        <f>CL!$R$87</f>
        <v>1439.9353341999999</v>
      </c>
      <c r="J365" s="39">
        <f>CL!$S$87</f>
        <v>1407.9876342</v>
      </c>
      <c r="K365" s="39">
        <f>CL!$T$87</f>
        <v>1399.9648995999999</v>
      </c>
      <c r="L365" s="39">
        <f>CL!$U$87</f>
        <v>1445.9703941999999</v>
      </c>
      <c r="M365" s="39">
        <f>CL!$V$87</f>
        <v>1459.9860441999999</v>
      </c>
      <c r="N365" s="39">
        <f>CL!$W$87</f>
        <v>699.47881249999989</v>
      </c>
      <c r="O365" s="39">
        <f>CL!$X$87</f>
        <v>0</v>
      </c>
      <c r="P365" s="39">
        <f>CL!$Y$87</f>
        <v>718.51990709999995</v>
      </c>
      <c r="Q365" s="39">
        <f>CL!$Z$87</f>
        <v>723.47530710000001</v>
      </c>
      <c r="R365" s="39">
        <f>CL!$AA$87</f>
        <v>739.44924709999998</v>
      </c>
      <c r="S365" s="39">
        <f>CL!$AB$87</f>
        <v>712.48433439999997</v>
      </c>
      <c r="T365" s="39">
        <f>CL!$AC$87</f>
        <v>720.47130440000001</v>
      </c>
    </row>
    <row r="366" spans="1:20" x14ac:dyDescent="0.25">
      <c r="A366" s="40" t="s">
        <v>44</v>
      </c>
      <c r="B366" s="40" t="str">
        <f>CL!$A$88</f>
        <v>CL 68:3</v>
      </c>
      <c r="C366" s="39" t="str">
        <f>CL!$L$88</f>
        <v>C77H144O17P2</v>
      </c>
      <c r="D366" s="39">
        <f>CL!$M$88</f>
        <v>1402.9878234</v>
      </c>
      <c r="E366" s="39">
        <f>CL!$N$88</f>
        <v>1403.9950980000001</v>
      </c>
      <c r="F366" s="39">
        <f>CL!$O$88</f>
        <v>1385.9839780000002</v>
      </c>
      <c r="G366" s="39">
        <f>CL!$P$88</f>
        <v>1421.0216434000001</v>
      </c>
      <c r="H366" s="39">
        <f>CL!$Q$88</f>
        <v>1425.9770434</v>
      </c>
      <c r="I366" s="39">
        <f>CL!$R$88</f>
        <v>1441.9509834</v>
      </c>
      <c r="J366" s="39">
        <f>CL!$S$88</f>
        <v>1410.0032834000001</v>
      </c>
      <c r="K366" s="39">
        <f>CL!$T$88</f>
        <v>1401.9805488</v>
      </c>
      <c r="L366" s="39">
        <f>CL!$U$88</f>
        <v>1447.9860434</v>
      </c>
      <c r="M366" s="39">
        <f>CL!$V$88</f>
        <v>1462.0016934</v>
      </c>
      <c r="N366" s="39">
        <f>CL!$W$88</f>
        <v>700.48663709999994</v>
      </c>
      <c r="O366" s="39">
        <f>CL!$X$88</f>
        <v>0</v>
      </c>
      <c r="P366" s="39">
        <f>CL!$Y$88</f>
        <v>719.5277317</v>
      </c>
      <c r="Q366" s="39">
        <f>CL!$Z$88</f>
        <v>724.48313170000006</v>
      </c>
      <c r="R366" s="39">
        <f>CL!$AA$88</f>
        <v>740.45707170000003</v>
      </c>
      <c r="S366" s="39">
        <f>CL!$AB$88</f>
        <v>713.49215900000002</v>
      </c>
      <c r="T366" s="39">
        <f>CL!$AC$88</f>
        <v>721.47912900000006</v>
      </c>
    </row>
    <row r="367" spans="1:20" x14ac:dyDescent="0.25">
      <c r="A367" s="40" t="s">
        <v>44</v>
      </c>
      <c r="B367" s="40" t="str">
        <f>CL!$A$89</f>
        <v>CL 68:2</v>
      </c>
      <c r="C367" s="39" t="str">
        <f>CL!$L$89</f>
        <v>C77H146O17P2</v>
      </c>
      <c r="D367" s="39">
        <f>CL!$M$89</f>
        <v>1405.0034725999999</v>
      </c>
      <c r="E367" s="39">
        <f>CL!$N$89</f>
        <v>1406.0107472</v>
      </c>
      <c r="F367" s="39">
        <f>CL!$O$89</f>
        <v>1387.9996272000001</v>
      </c>
      <c r="G367" s="39">
        <f>CL!$P$89</f>
        <v>1423.0372926</v>
      </c>
      <c r="H367" s="39">
        <f>CL!$Q$89</f>
        <v>1427.9926925999998</v>
      </c>
      <c r="I367" s="39">
        <f>CL!$R$89</f>
        <v>1443.9666325999999</v>
      </c>
      <c r="J367" s="39">
        <f>CL!$S$89</f>
        <v>1412.0189326</v>
      </c>
      <c r="K367" s="39">
        <f>CL!$T$89</f>
        <v>1403.9961979999998</v>
      </c>
      <c r="L367" s="39">
        <f>CL!$U$89</f>
        <v>1450.0016925999998</v>
      </c>
      <c r="M367" s="39">
        <f>CL!$V$89</f>
        <v>1464.0173425999999</v>
      </c>
      <c r="N367" s="39">
        <f>CL!$W$89</f>
        <v>701.49446169999987</v>
      </c>
      <c r="O367" s="39">
        <f>CL!$X$89</f>
        <v>0</v>
      </c>
      <c r="P367" s="39">
        <f>CL!$Y$89</f>
        <v>720.53555629999994</v>
      </c>
      <c r="Q367" s="39">
        <f>CL!$Z$89</f>
        <v>725.49095629999999</v>
      </c>
      <c r="R367" s="39">
        <f>CL!$AA$89</f>
        <v>741.46489629999996</v>
      </c>
      <c r="S367" s="39">
        <f>CL!$AB$89</f>
        <v>714.49998359999995</v>
      </c>
      <c r="T367" s="39">
        <f>CL!$AC$89</f>
        <v>722.48695359999999</v>
      </c>
    </row>
    <row r="368" spans="1:20" x14ac:dyDescent="0.25">
      <c r="A368" s="40" t="s">
        <v>44</v>
      </c>
      <c r="B368" s="40" t="str">
        <f>CL!$A$90</f>
        <v>CL 68:1</v>
      </c>
      <c r="C368" s="39" t="str">
        <f>CL!$L$90</f>
        <v>C77H148O17P2</v>
      </c>
      <c r="D368" s="39">
        <f>CL!$M$90</f>
        <v>1407.0191218</v>
      </c>
      <c r="E368" s="39">
        <f>CL!$N$90</f>
        <v>1408.0263964000001</v>
      </c>
      <c r="F368" s="39">
        <f>CL!$O$90</f>
        <v>1390.0152764000002</v>
      </c>
      <c r="G368" s="39">
        <f>CL!$P$90</f>
        <v>1425.0529418000001</v>
      </c>
      <c r="H368" s="39">
        <f>CL!$Q$90</f>
        <v>1430.0083417999999</v>
      </c>
      <c r="I368" s="39">
        <f>CL!$R$90</f>
        <v>1445.9822818</v>
      </c>
      <c r="J368" s="39">
        <f>CL!$S$90</f>
        <v>1414.0345818000001</v>
      </c>
      <c r="K368" s="39">
        <f>CL!$T$90</f>
        <v>1406.0118471999999</v>
      </c>
      <c r="L368" s="39">
        <f>CL!$U$90</f>
        <v>1452.0173417999999</v>
      </c>
      <c r="M368" s="39">
        <f>CL!$V$90</f>
        <v>1466.0329918</v>
      </c>
      <c r="N368" s="39">
        <f>CL!$W$90</f>
        <v>702.50228629999992</v>
      </c>
      <c r="O368" s="39">
        <f>CL!$X$90</f>
        <v>0</v>
      </c>
      <c r="P368" s="39">
        <f>CL!$Y$90</f>
        <v>721.54338089999999</v>
      </c>
      <c r="Q368" s="39">
        <f>CL!$Z$90</f>
        <v>726.49878090000004</v>
      </c>
      <c r="R368" s="39">
        <f>CL!$AA$90</f>
        <v>742.47272090000001</v>
      </c>
      <c r="S368" s="39">
        <f>CL!$AB$90</f>
        <v>715.5078082</v>
      </c>
      <c r="T368" s="39">
        <f>CL!$AC$90</f>
        <v>723.49477820000004</v>
      </c>
    </row>
    <row r="369" spans="1:20" x14ac:dyDescent="0.25">
      <c r="A369" s="40" t="s">
        <v>44</v>
      </c>
      <c r="B369" s="40" t="str">
        <f>CL!$A$91</f>
        <v>CL 68:0</v>
      </c>
      <c r="C369" s="39" t="str">
        <f>CL!$L$91</f>
        <v>C77H150O17P2</v>
      </c>
      <c r="D369" s="39">
        <f>CL!$M$91</f>
        <v>1409.0347710000001</v>
      </c>
      <c r="E369" s="39">
        <f>CL!$N$91</f>
        <v>1410.0420456000002</v>
      </c>
      <c r="F369" s="39">
        <f>CL!$O$91</f>
        <v>1392.0309256000003</v>
      </c>
      <c r="G369" s="39">
        <f>CL!$P$91</f>
        <v>1427.0685910000002</v>
      </c>
      <c r="H369" s="39">
        <f>CL!$Q$91</f>
        <v>1432.023991</v>
      </c>
      <c r="I369" s="39">
        <f>CL!$R$91</f>
        <v>1447.9979310000001</v>
      </c>
      <c r="J369" s="39">
        <f>CL!$S$91</f>
        <v>1416.0502310000002</v>
      </c>
      <c r="K369" s="39">
        <f>CL!$T$91</f>
        <v>1408.0274964</v>
      </c>
      <c r="L369" s="39">
        <f>CL!$U$91</f>
        <v>1454.032991</v>
      </c>
      <c r="M369" s="39">
        <f>CL!$V$91</f>
        <v>1468.0486410000001</v>
      </c>
      <c r="N369" s="39">
        <f>CL!$W$91</f>
        <v>703.51011089999997</v>
      </c>
      <c r="O369" s="39">
        <f>CL!$X$91</f>
        <v>0</v>
      </c>
      <c r="P369" s="39">
        <f>CL!$Y$91</f>
        <v>722.55120550000004</v>
      </c>
      <c r="Q369" s="39">
        <f>CL!$Z$91</f>
        <v>727.50660550000009</v>
      </c>
      <c r="R369" s="39">
        <f>CL!$AA$91</f>
        <v>743.48054550000006</v>
      </c>
      <c r="S369" s="39">
        <f>CL!$AB$91</f>
        <v>716.51563280000005</v>
      </c>
      <c r="T369" s="39">
        <f>CL!$AC$91</f>
        <v>724.50260280000009</v>
      </c>
    </row>
    <row r="370" spans="1:20" x14ac:dyDescent="0.25">
      <c r="A370" s="40" t="s">
        <v>44</v>
      </c>
      <c r="B370" s="40" t="str">
        <f>CL!$A$92</f>
        <v>CL 69:6</v>
      </c>
      <c r="C370" s="39" t="str">
        <f>CL!$L$92</f>
        <v>C78H140O17P2</v>
      </c>
      <c r="D370" s="39">
        <f>CL!$M$92</f>
        <v>1410.9565250000001</v>
      </c>
      <c r="E370" s="39">
        <f>CL!$N$92</f>
        <v>1411.9637996000001</v>
      </c>
      <c r="F370" s="39">
        <f>CL!$O$92</f>
        <v>1393.9526796000002</v>
      </c>
      <c r="G370" s="39">
        <f>CL!$P$92</f>
        <v>1428.9903450000002</v>
      </c>
      <c r="H370" s="39">
        <f>CL!$Q$92</f>
        <v>1433.945745</v>
      </c>
      <c r="I370" s="39">
        <f>CL!$R$92</f>
        <v>1449.9196850000001</v>
      </c>
      <c r="J370" s="39">
        <f>CL!$S$92</f>
        <v>1417.9719850000001</v>
      </c>
      <c r="K370" s="39">
        <f>CL!$T$92</f>
        <v>1409.9492504</v>
      </c>
      <c r="L370" s="39">
        <f>CL!$U$92</f>
        <v>1455.954745</v>
      </c>
      <c r="M370" s="39">
        <f>CL!$V$92</f>
        <v>1469.9703950000001</v>
      </c>
      <c r="N370" s="39">
        <f>CL!$W$92</f>
        <v>704.47098789999995</v>
      </c>
      <c r="O370" s="39">
        <f>CL!$X$92</f>
        <v>0</v>
      </c>
      <c r="P370" s="39">
        <f>CL!$Y$92</f>
        <v>723.51208250000002</v>
      </c>
      <c r="Q370" s="39">
        <f>CL!$Z$92</f>
        <v>728.46748250000007</v>
      </c>
      <c r="R370" s="39">
        <f>CL!$AA$92</f>
        <v>744.44142250000004</v>
      </c>
      <c r="S370" s="39">
        <f>CL!$AB$92</f>
        <v>717.47650980000003</v>
      </c>
      <c r="T370" s="39">
        <f>CL!$AC$92</f>
        <v>725.46347980000007</v>
      </c>
    </row>
    <row r="371" spans="1:20" x14ac:dyDescent="0.25">
      <c r="A371" s="40" t="s">
        <v>44</v>
      </c>
      <c r="B371" s="40" t="str">
        <f>CL!$A$93</f>
        <v>CL 69:5</v>
      </c>
      <c r="C371" s="39" t="str">
        <f>CL!$L$93</f>
        <v>C78H142O17P2</v>
      </c>
      <c r="D371" s="39">
        <f>CL!$M$93</f>
        <v>1412.9721741999999</v>
      </c>
      <c r="E371" s="39">
        <f>CL!$N$93</f>
        <v>1413.9794488</v>
      </c>
      <c r="F371" s="39">
        <f>CL!$O$93</f>
        <v>1395.9683288000001</v>
      </c>
      <c r="G371" s="39">
        <f>CL!$P$93</f>
        <v>1431.0059942</v>
      </c>
      <c r="H371" s="39">
        <f>CL!$Q$93</f>
        <v>1435.9613941999999</v>
      </c>
      <c r="I371" s="39">
        <f>CL!$R$93</f>
        <v>1451.9353341999999</v>
      </c>
      <c r="J371" s="39">
        <f>CL!$S$93</f>
        <v>1419.9876342</v>
      </c>
      <c r="K371" s="39">
        <f>CL!$T$93</f>
        <v>1411.9648995999999</v>
      </c>
      <c r="L371" s="39">
        <f>CL!$U$93</f>
        <v>1457.9703941999999</v>
      </c>
      <c r="M371" s="39">
        <f>CL!$V$93</f>
        <v>1471.9860441999999</v>
      </c>
      <c r="N371" s="39">
        <f>CL!$W$93</f>
        <v>705.47881249999989</v>
      </c>
      <c r="O371" s="39">
        <f>CL!$X$93</f>
        <v>0</v>
      </c>
      <c r="P371" s="39">
        <f>CL!$Y$93</f>
        <v>724.51990709999995</v>
      </c>
      <c r="Q371" s="39">
        <f>CL!$Z$93</f>
        <v>729.47530710000001</v>
      </c>
      <c r="R371" s="39">
        <f>CL!$AA$93</f>
        <v>745.44924709999998</v>
      </c>
      <c r="S371" s="39">
        <f>CL!$AB$93</f>
        <v>718.48433439999997</v>
      </c>
      <c r="T371" s="39">
        <f>CL!$AC$93</f>
        <v>726.47130440000001</v>
      </c>
    </row>
    <row r="372" spans="1:20" x14ac:dyDescent="0.25">
      <c r="A372" s="40" t="s">
        <v>44</v>
      </c>
      <c r="B372" s="40" t="str">
        <f>CL!$A$94</f>
        <v>CL 69:4</v>
      </c>
      <c r="C372" s="39" t="str">
        <f>CL!$L$94</f>
        <v>C78H144O17P2</v>
      </c>
      <c r="D372" s="39">
        <f>CL!$M$94</f>
        <v>1414.9878234</v>
      </c>
      <c r="E372" s="39">
        <f>CL!$N$94</f>
        <v>1415.9950980000001</v>
      </c>
      <c r="F372" s="39">
        <f>CL!$O$94</f>
        <v>1397.9839780000002</v>
      </c>
      <c r="G372" s="39">
        <f>CL!$P$94</f>
        <v>1433.0216434000001</v>
      </c>
      <c r="H372" s="39">
        <f>CL!$Q$94</f>
        <v>1437.9770434</v>
      </c>
      <c r="I372" s="39">
        <f>CL!$R$94</f>
        <v>1453.9509834</v>
      </c>
      <c r="J372" s="39">
        <f>CL!$S$94</f>
        <v>1422.0032834000001</v>
      </c>
      <c r="K372" s="39">
        <f>CL!$T$94</f>
        <v>1413.9805488</v>
      </c>
      <c r="L372" s="39">
        <f>CL!$U$94</f>
        <v>1459.9860434</v>
      </c>
      <c r="M372" s="39">
        <f>CL!$V$94</f>
        <v>1474.0016934</v>
      </c>
      <c r="N372" s="39">
        <f>CL!$W$94</f>
        <v>706.48663709999994</v>
      </c>
      <c r="O372" s="39">
        <f>CL!$X$94</f>
        <v>0</v>
      </c>
      <c r="P372" s="39">
        <f>CL!$Y$94</f>
        <v>725.5277317</v>
      </c>
      <c r="Q372" s="39">
        <f>CL!$Z$94</f>
        <v>730.48313170000006</v>
      </c>
      <c r="R372" s="39">
        <f>CL!$AA$94</f>
        <v>746.45707170000003</v>
      </c>
      <c r="S372" s="39">
        <f>CL!$AB$94</f>
        <v>719.49215900000002</v>
      </c>
      <c r="T372" s="39">
        <f>CL!$AC$94</f>
        <v>727.47912900000006</v>
      </c>
    </row>
    <row r="373" spans="1:20" x14ac:dyDescent="0.25">
      <c r="A373" s="40" t="s">
        <v>44</v>
      </c>
      <c r="B373" s="40" t="str">
        <f>CL!$A$95</f>
        <v>CL 69:3</v>
      </c>
      <c r="C373" s="39" t="str">
        <f>CL!$L$95</f>
        <v>C78H146O17P2</v>
      </c>
      <c r="D373" s="39">
        <f>CL!$M$95</f>
        <v>1417.0034725999999</v>
      </c>
      <c r="E373" s="39">
        <f>CL!$N$95</f>
        <v>1418.0107472</v>
      </c>
      <c r="F373" s="39">
        <f>CL!$O$95</f>
        <v>1399.9996272000001</v>
      </c>
      <c r="G373" s="39">
        <f>CL!$P$95</f>
        <v>1435.0372926</v>
      </c>
      <c r="H373" s="39">
        <f>CL!$Q$95</f>
        <v>1439.9926925999998</v>
      </c>
      <c r="I373" s="39">
        <f>CL!$R$95</f>
        <v>1455.9666325999999</v>
      </c>
      <c r="J373" s="39">
        <f>CL!$S$95</f>
        <v>1424.0189326</v>
      </c>
      <c r="K373" s="39">
        <f>CL!$T$95</f>
        <v>1415.9961979999998</v>
      </c>
      <c r="L373" s="39">
        <f>CL!$U$95</f>
        <v>1462.0016925999998</v>
      </c>
      <c r="M373" s="39">
        <f>CL!$V$95</f>
        <v>1476.0173425999999</v>
      </c>
      <c r="N373" s="39">
        <f>CL!$W$95</f>
        <v>707.49446169999987</v>
      </c>
      <c r="O373" s="39">
        <f>CL!$X$95</f>
        <v>0</v>
      </c>
      <c r="P373" s="39">
        <f>CL!$Y$95</f>
        <v>726.53555629999994</v>
      </c>
      <c r="Q373" s="39">
        <f>CL!$Z$95</f>
        <v>731.49095629999999</v>
      </c>
      <c r="R373" s="39">
        <f>CL!$AA$95</f>
        <v>747.46489629999996</v>
      </c>
      <c r="S373" s="39">
        <f>CL!$AB$95</f>
        <v>720.49998359999995</v>
      </c>
      <c r="T373" s="39">
        <f>CL!$AC$95</f>
        <v>728.48695359999999</v>
      </c>
    </row>
    <row r="374" spans="1:20" x14ac:dyDescent="0.25">
      <c r="A374" s="40" t="s">
        <v>44</v>
      </c>
      <c r="B374" s="40" t="str">
        <f>CL!$A$96</f>
        <v>CL 69:2</v>
      </c>
      <c r="C374" s="39" t="str">
        <f>CL!$L$96</f>
        <v>C78H148O17P2</v>
      </c>
      <c r="D374" s="39">
        <f>CL!$M$96</f>
        <v>1419.0191218</v>
      </c>
      <c r="E374" s="39">
        <f>CL!$N$96</f>
        <v>1420.0263964000001</v>
      </c>
      <c r="F374" s="39">
        <f>CL!$O$96</f>
        <v>1402.0152764000002</v>
      </c>
      <c r="G374" s="39">
        <f>CL!$P$96</f>
        <v>1437.0529418000001</v>
      </c>
      <c r="H374" s="39">
        <f>CL!$Q$96</f>
        <v>1442.0083417999999</v>
      </c>
      <c r="I374" s="39">
        <f>CL!$R$96</f>
        <v>1457.9822818</v>
      </c>
      <c r="J374" s="39">
        <f>CL!$S$96</f>
        <v>1426.0345818000001</v>
      </c>
      <c r="K374" s="39">
        <f>CL!$T$96</f>
        <v>1418.0118471999999</v>
      </c>
      <c r="L374" s="39">
        <f>CL!$U$96</f>
        <v>1464.0173417999999</v>
      </c>
      <c r="M374" s="39">
        <f>CL!$V$96</f>
        <v>1478.0329918</v>
      </c>
      <c r="N374" s="39">
        <f>CL!$W$96</f>
        <v>708.50228629999992</v>
      </c>
      <c r="O374" s="39">
        <f>CL!$X$96</f>
        <v>0</v>
      </c>
      <c r="P374" s="39">
        <f>CL!$Y$96</f>
        <v>727.54338089999999</v>
      </c>
      <c r="Q374" s="39">
        <f>CL!$Z$96</f>
        <v>732.49878090000004</v>
      </c>
      <c r="R374" s="39">
        <f>CL!$AA$96</f>
        <v>748.47272090000001</v>
      </c>
      <c r="S374" s="39">
        <f>CL!$AB$96</f>
        <v>721.5078082</v>
      </c>
      <c r="T374" s="39">
        <f>CL!$AC$96</f>
        <v>729.49477820000004</v>
      </c>
    </row>
    <row r="375" spans="1:20" x14ac:dyDescent="0.25">
      <c r="A375" s="40" t="s">
        <v>44</v>
      </c>
      <c r="B375" s="40" t="str">
        <f>CL!$A$97</f>
        <v>CL 69:1</v>
      </c>
      <c r="C375" s="39" t="str">
        <f>CL!$L$97</f>
        <v>C78H150O17P2</v>
      </c>
      <c r="D375" s="39">
        <f>CL!$M$97</f>
        <v>1421.0347710000001</v>
      </c>
      <c r="E375" s="39">
        <f>CL!$N$97</f>
        <v>1422.0420456000002</v>
      </c>
      <c r="F375" s="39">
        <f>CL!$O$97</f>
        <v>1404.0309256000003</v>
      </c>
      <c r="G375" s="39">
        <f>CL!$P$97</f>
        <v>1439.0685910000002</v>
      </c>
      <c r="H375" s="39">
        <f>CL!$Q$97</f>
        <v>1444.023991</v>
      </c>
      <c r="I375" s="39">
        <f>CL!$R$97</f>
        <v>1459.9979310000001</v>
      </c>
      <c r="J375" s="39">
        <f>CL!$S$97</f>
        <v>1428.0502310000002</v>
      </c>
      <c r="K375" s="39">
        <f>CL!$T$97</f>
        <v>1420.0274964</v>
      </c>
      <c r="L375" s="39">
        <f>CL!$U$97</f>
        <v>1466.032991</v>
      </c>
      <c r="M375" s="39">
        <f>CL!$V$97</f>
        <v>1480.0486410000001</v>
      </c>
      <c r="N375" s="39">
        <f>CL!$W$97</f>
        <v>709.51011089999997</v>
      </c>
      <c r="O375" s="39">
        <f>CL!$X$97</f>
        <v>0</v>
      </c>
      <c r="P375" s="39">
        <f>CL!$Y$97</f>
        <v>728.55120550000004</v>
      </c>
      <c r="Q375" s="39">
        <f>CL!$Z$97</f>
        <v>733.50660550000009</v>
      </c>
      <c r="R375" s="39">
        <f>CL!$AA$97</f>
        <v>749.48054550000006</v>
      </c>
      <c r="S375" s="39">
        <f>CL!$AB$97</f>
        <v>722.51563280000005</v>
      </c>
      <c r="T375" s="39">
        <f>CL!$AC$97</f>
        <v>730.50260280000009</v>
      </c>
    </row>
    <row r="376" spans="1:20" x14ac:dyDescent="0.25">
      <c r="A376" s="40" t="s">
        <v>44</v>
      </c>
      <c r="B376" s="40" t="str">
        <f>CL!$A$98</f>
        <v>CL 69:0</v>
      </c>
      <c r="C376" s="39" t="str">
        <f>CL!$L$98</f>
        <v>C78H152O17P2</v>
      </c>
      <c r="D376" s="39">
        <f>CL!$M$98</f>
        <v>1423.0504202</v>
      </c>
      <c r="E376" s="39">
        <f>CL!$N$98</f>
        <v>1424.0576948</v>
      </c>
      <c r="F376" s="39">
        <f>CL!$O$98</f>
        <v>1406.0465748000001</v>
      </c>
      <c r="G376" s="39">
        <f>CL!$P$98</f>
        <v>1441.0842402000001</v>
      </c>
      <c r="H376" s="39">
        <f>CL!$Q$98</f>
        <v>1446.0396401999999</v>
      </c>
      <c r="I376" s="39">
        <f>CL!$R$98</f>
        <v>1462.0135802</v>
      </c>
      <c r="J376" s="39">
        <f>CL!$S$98</f>
        <v>1430.0658802</v>
      </c>
      <c r="K376" s="39">
        <f>CL!$T$98</f>
        <v>1422.0431455999999</v>
      </c>
      <c r="L376" s="39">
        <f>CL!$U$98</f>
        <v>1468.0486401999999</v>
      </c>
      <c r="M376" s="39">
        <f>CL!$V$98</f>
        <v>1482.0642902</v>
      </c>
      <c r="N376" s="39">
        <f>CL!$W$98</f>
        <v>710.51793549999991</v>
      </c>
      <c r="O376" s="39">
        <f>CL!$X$98</f>
        <v>0</v>
      </c>
      <c r="P376" s="39">
        <f>CL!$Y$98</f>
        <v>729.55903009999997</v>
      </c>
      <c r="Q376" s="39">
        <f>CL!$Z$98</f>
        <v>734.51443010000003</v>
      </c>
      <c r="R376" s="39">
        <f>CL!$AA$98</f>
        <v>750.4883701</v>
      </c>
      <c r="S376" s="39">
        <f>CL!$AB$98</f>
        <v>723.52345739999998</v>
      </c>
      <c r="T376" s="39">
        <f>CL!$AC$98</f>
        <v>731.51042740000003</v>
      </c>
    </row>
    <row r="377" spans="1:20" x14ac:dyDescent="0.25">
      <c r="A377" s="40" t="s">
        <v>44</v>
      </c>
      <c r="B377" s="40" t="str">
        <f>CL!$A$99</f>
        <v>CL 70:5</v>
      </c>
      <c r="C377" s="39" t="str">
        <f>CL!$L$99</f>
        <v>C79H144O17P2</v>
      </c>
      <c r="D377" s="39">
        <f>CL!$M$99</f>
        <v>1426.9878234</v>
      </c>
      <c r="E377" s="39">
        <f>CL!$N$99</f>
        <v>1427.9950980000001</v>
      </c>
      <c r="F377" s="39">
        <f>CL!$O$99</f>
        <v>1409.9839780000002</v>
      </c>
      <c r="G377" s="39">
        <f>CL!$P$99</f>
        <v>1445.0216434000001</v>
      </c>
      <c r="H377" s="39">
        <f>CL!$Q$99</f>
        <v>1449.9770434</v>
      </c>
      <c r="I377" s="39">
        <f>CL!$R$99</f>
        <v>1465.9509834</v>
      </c>
      <c r="J377" s="39">
        <f>CL!$S$99</f>
        <v>1434.0032834000001</v>
      </c>
      <c r="K377" s="39">
        <f>CL!$T$99</f>
        <v>1425.9805488</v>
      </c>
      <c r="L377" s="39">
        <f>CL!$U$99</f>
        <v>1471.9860434</v>
      </c>
      <c r="M377" s="39">
        <f>CL!$V$99</f>
        <v>1486.0016934</v>
      </c>
      <c r="N377" s="39">
        <f>CL!$W$99</f>
        <v>712.48663709999994</v>
      </c>
      <c r="O377" s="39">
        <f>CL!$X$99</f>
        <v>0</v>
      </c>
      <c r="P377" s="39">
        <f>CL!$Y$99</f>
        <v>731.5277317</v>
      </c>
      <c r="Q377" s="39">
        <f>CL!$Z$99</f>
        <v>736.48313170000006</v>
      </c>
      <c r="R377" s="39">
        <f>CL!$AA$99</f>
        <v>752.45707170000003</v>
      </c>
      <c r="S377" s="39">
        <f>CL!$AB$99</f>
        <v>725.49215900000002</v>
      </c>
      <c r="T377" s="39">
        <f>CL!$AC$99</f>
        <v>733.47912900000006</v>
      </c>
    </row>
    <row r="378" spans="1:20" x14ac:dyDescent="0.25">
      <c r="A378" s="40" t="s">
        <v>44</v>
      </c>
      <c r="B378" s="40" t="str">
        <f>CL!$A$100</f>
        <v>CL 70:4</v>
      </c>
      <c r="C378" s="39" t="str">
        <f>CL!$L$100</f>
        <v>C79H146O17P2</v>
      </c>
      <c r="D378" s="39">
        <f>CL!$M$100</f>
        <v>1429.0034725999999</v>
      </c>
      <c r="E378" s="39">
        <f>CL!$N$100</f>
        <v>1430.0107472</v>
      </c>
      <c r="F378" s="39">
        <f>CL!$O$100</f>
        <v>1411.9996272000001</v>
      </c>
      <c r="G378" s="39">
        <f>CL!$P$100</f>
        <v>1447.0372926</v>
      </c>
      <c r="H378" s="39">
        <f>CL!$Q$100</f>
        <v>1451.9926925999998</v>
      </c>
      <c r="I378" s="39">
        <f>CL!$R$100</f>
        <v>1467.9666325999999</v>
      </c>
      <c r="J378" s="39">
        <f>CL!$S$100</f>
        <v>1436.0189326</v>
      </c>
      <c r="K378" s="39">
        <f>CL!$T$100</f>
        <v>1427.9961979999998</v>
      </c>
      <c r="L378" s="39">
        <f>CL!$U$100</f>
        <v>1474.0016925999998</v>
      </c>
      <c r="M378" s="39">
        <f>CL!$V$100</f>
        <v>1488.0173425999999</v>
      </c>
      <c r="N378" s="39">
        <f>CL!$W$100</f>
        <v>713.49446169999987</v>
      </c>
      <c r="O378" s="39">
        <f>CL!$X$100</f>
        <v>0</v>
      </c>
      <c r="P378" s="39">
        <f>CL!$Y$100</f>
        <v>732.53555629999994</v>
      </c>
      <c r="Q378" s="39">
        <f>CL!$Z$100</f>
        <v>737.49095629999999</v>
      </c>
      <c r="R378" s="39">
        <f>CL!$AA$100</f>
        <v>753.46489629999996</v>
      </c>
      <c r="S378" s="39">
        <f>CL!$AB$100</f>
        <v>726.49998359999995</v>
      </c>
      <c r="T378" s="39">
        <f>CL!$AC$100</f>
        <v>734.48695359999999</v>
      </c>
    </row>
    <row r="379" spans="1:20" x14ac:dyDescent="0.25">
      <c r="A379" s="40" t="s">
        <v>44</v>
      </c>
      <c r="B379" s="40" t="str">
        <f>CL!$A$101</f>
        <v>CL 70:3</v>
      </c>
      <c r="C379" s="39" t="str">
        <f>CL!$L$101</f>
        <v>C79H148O17P2</v>
      </c>
      <c r="D379" s="39">
        <f>CL!$M$101</f>
        <v>1431.0191218</v>
      </c>
      <c r="E379" s="39">
        <f>CL!$N$101</f>
        <v>1432.0263964000001</v>
      </c>
      <c r="F379" s="39">
        <f>CL!$O$101</f>
        <v>1414.0152764000002</v>
      </c>
      <c r="G379" s="39">
        <f>CL!$P$101</f>
        <v>1449.0529418000001</v>
      </c>
      <c r="H379" s="39">
        <f>CL!$Q$101</f>
        <v>1454.0083417999999</v>
      </c>
      <c r="I379" s="39">
        <f>CL!$R$101</f>
        <v>1469.9822818</v>
      </c>
      <c r="J379" s="39">
        <f>CL!$S$101</f>
        <v>1438.0345818000001</v>
      </c>
      <c r="K379" s="39">
        <f>CL!$T$101</f>
        <v>1430.0118471999999</v>
      </c>
      <c r="L379" s="39">
        <f>CL!$U$101</f>
        <v>1476.0173417999999</v>
      </c>
      <c r="M379" s="39">
        <f>CL!$V$101</f>
        <v>1490.0329918</v>
      </c>
      <c r="N379" s="39">
        <f>CL!$W$101</f>
        <v>714.50228629999992</v>
      </c>
      <c r="O379" s="39">
        <f>CL!$X$101</f>
        <v>0</v>
      </c>
      <c r="P379" s="39">
        <f>CL!$Y$101</f>
        <v>733.54338089999999</v>
      </c>
      <c r="Q379" s="39">
        <f>CL!$Z$101</f>
        <v>738.49878090000004</v>
      </c>
      <c r="R379" s="39">
        <f>CL!$AA$101</f>
        <v>754.47272090000001</v>
      </c>
      <c r="S379" s="39">
        <f>CL!$AB$101</f>
        <v>727.5078082</v>
      </c>
      <c r="T379" s="39">
        <f>CL!$AC$101</f>
        <v>735.49477820000004</v>
      </c>
    </row>
    <row r="380" spans="1:20" x14ac:dyDescent="0.25">
      <c r="A380" s="40" t="s">
        <v>44</v>
      </c>
      <c r="B380" s="40" t="str">
        <f>CL!$A$102</f>
        <v>CL 70:2</v>
      </c>
      <c r="C380" s="39" t="str">
        <f>CL!$L$102</f>
        <v>C79H150O17P2</v>
      </c>
      <c r="D380" s="39">
        <f>CL!$M$102</f>
        <v>1433.0347710000001</v>
      </c>
      <c r="E380" s="39">
        <f>CL!$N$102</f>
        <v>1434.0420456000002</v>
      </c>
      <c r="F380" s="39">
        <f>CL!$O$102</f>
        <v>1416.0309256000003</v>
      </c>
      <c r="G380" s="39">
        <f>CL!$P$102</f>
        <v>1451.0685910000002</v>
      </c>
      <c r="H380" s="39">
        <f>CL!$Q$102</f>
        <v>1456.023991</v>
      </c>
      <c r="I380" s="39">
        <f>CL!$R$102</f>
        <v>1471.9979310000001</v>
      </c>
      <c r="J380" s="39">
        <f>CL!$S$102</f>
        <v>1440.0502310000002</v>
      </c>
      <c r="K380" s="39">
        <f>CL!$T$102</f>
        <v>1432.0274964</v>
      </c>
      <c r="L380" s="39">
        <f>CL!$U$102</f>
        <v>1478.032991</v>
      </c>
      <c r="M380" s="39">
        <f>CL!$V$102</f>
        <v>1492.0486410000001</v>
      </c>
      <c r="N380" s="39">
        <f>CL!$W$102</f>
        <v>715.51011089999997</v>
      </c>
      <c r="O380" s="39">
        <f>CL!$X$102</f>
        <v>0</v>
      </c>
      <c r="P380" s="39">
        <f>CL!$Y$102</f>
        <v>734.55120550000004</v>
      </c>
      <c r="Q380" s="39">
        <f>CL!$Z$102</f>
        <v>739.50660550000009</v>
      </c>
      <c r="R380" s="39">
        <f>CL!$AA$102</f>
        <v>755.48054550000006</v>
      </c>
      <c r="S380" s="39">
        <f>CL!$AB$102</f>
        <v>728.51563280000005</v>
      </c>
      <c r="T380" s="39">
        <f>CL!$AC$102</f>
        <v>736.50260280000009</v>
      </c>
    </row>
    <row r="381" spans="1:20" x14ac:dyDescent="0.25">
      <c r="A381" s="40" t="s">
        <v>44</v>
      </c>
      <c r="B381" s="40" t="str">
        <f>CL!$A$103</f>
        <v>CL 70:1</v>
      </c>
      <c r="C381" s="39" t="str">
        <f>CL!$L$103</f>
        <v>C79H152O17P2</v>
      </c>
      <c r="D381" s="39">
        <f>CL!$M$103</f>
        <v>1435.0504202</v>
      </c>
      <c r="E381" s="39">
        <f>CL!$N$103</f>
        <v>1436.0576948</v>
      </c>
      <c r="F381" s="39">
        <f>CL!$O$103</f>
        <v>1418.0465748000001</v>
      </c>
      <c r="G381" s="39">
        <f>CL!$P$103</f>
        <v>1453.0842402000001</v>
      </c>
      <c r="H381" s="39">
        <f>CL!$Q$103</f>
        <v>1458.0396401999999</v>
      </c>
      <c r="I381" s="39">
        <f>CL!$R$103</f>
        <v>1474.0135802</v>
      </c>
      <c r="J381" s="39">
        <f>CL!$S$103</f>
        <v>1442.0658802</v>
      </c>
      <c r="K381" s="39">
        <f>CL!$T$103</f>
        <v>1434.0431455999999</v>
      </c>
      <c r="L381" s="39">
        <f>CL!$U$103</f>
        <v>1480.0486401999999</v>
      </c>
      <c r="M381" s="39">
        <f>CL!$V$103</f>
        <v>1494.0642902</v>
      </c>
      <c r="N381" s="39">
        <f>CL!$W$103</f>
        <v>716.51793549999991</v>
      </c>
      <c r="O381" s="39">
        <f>CL!$X$103</f>
        <v>0</v>
      </c>
      <c r="P381" s="39">
        <f>CL!$Y$103</f>
        <v>735.55903009999997</v>
      </c>
      <c r="Q381" s="39">
        <f>CL!$Z$103</f>
        <v>740.51443010000003</v>
      </c>
      <c r="R381" s="39">
        <f>CL!$AA$103</f>
        <v>756.4883701</v>
      </c>
      <c r="S381" s="39">
        <f>CL!$AB$103</f>
        <v>729.52345739999998</v>
      </c>
      <c r="T381" s="39">
        <f>CL!$AC$103</f>
        <v>737.51042740000003</v>
      </c>
    </row>
    <row r="382" spans="1:20" x14ac:dyDescent="0.25">
      <c r="A382" s="40" t="s">
        <v>44</v>
      </c>
      <c r="B382" s="40" t="str">
        <f>CL!$A$104</f>
        <v>CL 70:0</v>
      </c>
      <c r="C382" s="39" t="str">
        <f>CL!$L$104</f>
        <v>C79H154O17P2</v>
      </c>
      <c r="D382" s="39">
        <f>CL!$M$104</f>
        <v>1437.0660694000001</v>
      </c>
      <c r="E382" s="39">
        <f>CL!$N$104</f>
        <v>1438.0733440000001</v>
      </c>
      <c r="F382" s="39">
        <f>CL!$O$104</f>
        <v>1420.0622240000002</v>
      </c>
      <c r="G382" s="39">
        <f>CL!$P$104</f>
        <v>1455.0998894000002</v>
      </c>
      <c r="H382" s="39">
        <f>CL!$Q$104</f>
        <v>1460.0552894</v>
      </c>
      <c r="I382" s="39">
        <f>CL!$R$104</f>
        <v>1476.0292294000001</v>
      </c>
      <c r="J382" s="39">
        <f>CL!$S$104</f>
        <v>1444.0815294000001</v>
      </c>
      <c r="K382" s="39">
        <f>CL!$T$104</f>
        <v>1436.0587948</v>
      </c>
      <c r="L382" s="39">
        <f>CL!$U$104</f>
        <v>1482.0642894</v>
      </c>
      <c r="M382" s="39">
        <f>CL!$V$104</f>
        <v>1496.0799394000001</v>
      </c>
      <c r="N382" s="39">
        <f>CL!$W$104</f>
        <v>717.52576009999996</v>
      </c>
      <c r="O382" s="39">
        <f>CL!$X$104</f>
        <v>0</v>
      </c>
      <c r="P382" s="39">
        <f>CL!$Y$104</f>
        <v>736.56685470000002</v>
      </c>
      <c r="Q382" s="39">
        <f>CL!$Z$104</f>
        <v>741.52225470000008</v>
      </c>
      <c r="R382" s="39">
        <f>CL!$AA$104</f>
        <v>757.49619470000005</v>
      </c>
      <c r="S382" s="39">
        <f>CL!$AB$104</f>
        <v>730.53128200000003</v>
      </c>
      <c r="T382" s="39">
        <f>CL!$AC$104</f>
        <v>738.51825200000007</v>
      </c>
    </row>
    <row r="383" spans="1:20" x14ac:dyDescent="0.25">
      <c r="A383" s="40" t="s">
        <v>44</v>
      </c>
      <c r="B383" s="40" t="str">
        <f>CL!$A$105</f>
        <v>CL 71:3</v>
      </c>
      <c r="C383" s="39" t="str">
        <f>CL!$L$105</f>
        <v>C80H150O17P2</v>
      </c>
      <c r="D383" s="39">
        <f>CL!$M$105</f>
        <v>1445.0347710000001</v>
      </c>
      <c r="E383" s="39">
        <f>CL!$N$105</f>
        <v>1446.0420456000002</v>
      </c>
      <c r="F383" s="39">
        <f>CL!$O$105</f>
        <v>1428.0309256000003</v>
      </c>
      <c r="G383" s="39">
        <f>CL!$P$105</f>
        <v>1463.0685910000002</v>
      </c>
      <c r="H383" s="39">
        <f>CL!$Q$105</f>
        <v>1468.023991</v>
      </c>
      <c r="I383" s="39">
        <f>CL!$R$105</f>
        <v>1483.9979310000001</v>
      </c>
      <c r="J383" s="39">
        <f>CL!$S$105</f>
        <v>1452.0502310000002</v>
      </c>
      <c r="K383" s="39">
        <f>CL!$T$105</f>
        <v>1444.0274964</v>
      </c>
      <c r="L383" s="39">
        <f>CL!$U$105</f>
        <v>1490.032991</v>
      </c>
      <c r="M383" s="39">
        <f>CL!$V$105</f>
        <v>1504.0486410000001</v>
      </c>
      <c r="N383" s="39">
        <f>CL!$W$105</f>
        <v>721.51011089999997</v>
      </c>
      <c r="O383" s="39">
        <f>CL!$X$105</f>
        <v>0</v>
      </c>
      <c r="P383" s="39">
        <f>CL!$Y$105</f>
        <v>740.55120550000004</v>
      </c>
      <c r="Q383" s="39">
        <f>CL!$Z$105</f>
        <v>745.50660550000009</v>
      </c>
      <c r="R383" s="39">
        <f>CL!$AA$105</f>
        <v>761.48054550000006</v>
      </c>
      <c r="S383" s="39">
        <f>CL!$AB$105</f>
        <v>734.51563280000005</v>
      </c>
      <c r="T383" s="39">
        <f>CL!$AC$105</f>
        <v>742.50260280000009</v>
      </c>
    </row>
    <row r="384" spans="1:20" x14ac:dyDescent="0.25">
      <c r="A384" s="40" t="s">
        <v>44</v>
      </c>
      <c r="B384" s="40" t="str">
        <f>CL!$A$106</f>
        <v>CL 71:2</v>
      </c>
      <c r="C384" s="39" t="str">
        <f>CL!$L$106</f>
        <v>C80H152O17P2</v>
      </c>
      <c r="D384" s="39">
        <f>CL!$M$106</f>
        <v>1447.0504202</v>
      </c>
      <c r="E384" s="39">
        <f>CL!$N$106</f>
        <v>1448.0576948</v>
      </c>
      <c r="F384" s="39">
        <f>CL!$O$106</f>
        <v>1430.0465748000001</v>
      </c>
      <c r="G384" s="39">
        <f>CL!$P$106</f>
        <v>1465.0842402000001</v>
      </c>
      <c r="H384" s="39">
        <f>CL!$Q$106</f>
        <v>1470.0396401999999</v>
      </c>
      <c r="I384" s="39">
        <f>CL!$R$106</f>
        <v>1486.0135802</v>
      </c>
      <c r="J384" s="39">
        <f>CL!$S$106</f>
        <v>1454.0658802</v>
      </c>
      <c r="K384" s="39">
        <f>CL!$T$106</f>
        <v>1446.0431455999999</v>
      </c>
      <c r="L384" s="39">
        <f>CL!$U$106</f>
        <v>1492.0486401999999</v>
      </c>
      <c r="M384" s="39">
        <f>CL!$V$106</f>
        <v>1506.0642902</v>
      </c>
      <c r="N384" s="39">
        <f>CL!$W$106</f>
        <v>722.51793549999991</v>
      </c>
      <c r="O384" s="39">
        <f>CL!$X$106</f>
        <v>0</v>
      </c>
      <c r="P384" s="39">
        <f>CL!$Y$106</f>
        <v>741.55903009999997</v>
      </c>
      <c r="Q384" s="39">
        <f>CL!$Z$106</f>
        <v>746.51443010000003</v>
      </c>
      <c r="R384" s="39">
        <f>CL!$AA$106</f>
        <v>762.4883701</v>
      </c>
      <c r="S384" s="39">
        <f>CL!$AB$106</f>
        <v>735.52345739999998</v>
      </c>
      <c r="T384" s="39">
        <f>CL!$AC$106</f>
        <v>743.51042740000003</v>
      </c>
    </row>
    <row r="385" spans="1:20" x14ac:dyDescent="0.25">
      <c r="A385" s="40" t="s">
        <v>44</v>
      </c>
      <c r="B385" s="40" t="str">
        <f>CL!$A$107</f>
        <v>CL 71:1</v>
      </c>
      <c r="C385" s="39" t="str">
        <f>CL!$L$107</f>
        <v>C80H154O17P2</v>
      </c>
      <c r="D385" s="39">
        <f>CL!$M$107</f>
        <v>1449.0660694000001</v>
      </c>
      <c r="E385" s="39">
        <f>CL!$N$107</f>
        <v>1450.0733440000001</v>
      </c>
      <c r="F385" s="39">
        <f>CL!$O$107</f>
        <v>1432.0622240000002</v>
      </c>
      <c r="G385" s="39">
        <f>CL!$P$107</f>
        <v>1467.0998894000002</v>
      </c>
      <c r="H385" s="39">
        <f>CL!$Q$107</f>
        <v>1472.0552894</v>
      </c>
      <c r="I385" s="39">
        <f>CL!$R$107</f>
        <v>1488.0292294000001</v>
      </c>
      <c r="J385" s="39">
        <f>CL!$S$107</f>
        <v>1456.0815294000001</v>
      </c>
      <c r="K385" s="39">
        <f>CL!$T$107</f>
        <v>1448.0587948</v>
      </c>
      <c r="L385" s="39">
        <f>CL!$U$107</f>
        <v>1494.0642894</v>
      </c>
      <c r="M385" s="39">
        <f>CL!$V$107</f>
        <v>1508.0799394000001</v>
      </c>
      <c r="N385" s="39">
        <f>CL!$W$107</f>
        <v>723.52576009999996</v>
      </c>
      <c r="O385" s="39">
        <f>CL!$X$107</f>
        <v>0</v>
      </c>
      <c r="P385" s="39">
        <f>CL!$Y$107</f>
        <v>742.56685470000002</v>
      </c>
      <c r="Q385" s="39">
        <f>CL!$Z$107</f>
        <v>747.52225470000008</v>
      </c>
      <c r="R385" s="39">
        <f>CL!$AA$107</f>
        <v>763.49619470000005</v>
      </c>
      <c r="S385" s="39">
        <f>CL!$AB$107</f>
        <v>736.53128200000003</v>
      </c>
      <c r="T385" s="39">
        <f>CL!$AC$107</f>
        <v>744.51825200000007</v>
      </c>
    </row>
    <row r="386" spans="1:20" x14ac:dyDescent="0.25">
      <c r="A386" s="40" t="s">
        <v>44</v>
      </c>
      <c r="B386" s="40" t="str">
        <f>CL!$A$108</f>
        <v>CL 71:0</v>
      </c>
      <c r="C386" s="39" t="str">
        <f>CL!$L$108</f>
        <v>C80H156O17P2</v>
      </c>
      <c r="D386" s="39">
        <f>CL!$M$108</f>
        <v>1451.0817185999999</v>
      </c>
      <c r="E386" s="39">
        <f>CL!$N$108</f>
        <v>1452.0889932</v>
      </c>
      <c r="F386" s="39">
        <f>CL!$O$108</f>
        <v>1434.0778732000001</v>
      </c>
      <c r="G386" s="39">
        <f>CL!$P$108</f>
        <v>1469.1155386</v>
      </c>
      <c r="H386" s="39">
        <f>CL!$Q$108</f>
        <v>1474.0709385999999</v>
      </c>
      <c r="I386" s="39">
        <f>CL!$R$108</f>
        <v>1490.0448785999999</v>
      </c>
      <c r="J386" s="39">
        <f>CL!$S$108</f>
        <v>1458.0971786</v>
      </c>
      <c r="K386" s="39">
        <f>CL!$T$108</f>
        <v>1450.0744439999999</v>
      </c>
      <c r="L386" s="39">
        <f>CL!$U$108</f>
        <v>1496.0799385999999</v>
      </c>
      <c r="M386" s="39">
        <f>CL!$V$108</f>
        <v>1510.0955885999999</v>
      </c>
      <c r="N386" s="39">
        <f>CL!$W$108</f>
        <v>724.53358469999989</v>
      </c>
      <c r="O386" s="39">
        <f>CL!$X$108</f>
        <v>0</v>
      </c>
      <c r="P386" s="39">
        <f>CL!$Y$108</f>
        <v>743.57467929999996</v>
      </c>
      <c r="Q386" s="39">
        <f>CL!$Z$108</f>
        <v>748.53007930000001</v>
      </c>
      <c r="R386" s="39">
        <f>CL!$AA$108</f>
        <v>764.50401929999998</v>
      </c>
      <c r="S386" s="39">
        <f>CL!$AB$108</f>
        <v>737.53910659999997</v>
      </c>
      <c r="T386" s="39">
        <f>CL!$AC$108</f>
        <v>745.52607660000001</v>
      </c>
    </row>
    <row r="387" spans="1:20" x14ac:dyDescent="0.25">
      <c r="A387" s="40" t="s">
        <v>44</v>
      </c>
      <c r="B387" s="40" t="str">
        <f>CL!$A$109</f>
        <v>CL 72:8</v>
      </c>
      <c r="C387" s="39" t="str">
        <f>CL!$L$109</f>
        <v>C81H142O17P2</v>
      </c>
      <c r="D387" s="39">
        <f>CL!$M$109</f>
        <v>1448.9721741999999</v>
      </c>
      <c r="E387" s="39">
        <f>CL!$N$109</f>
        <v>1449.9794488</v>
      </c>
      <c r="F387" s="39">
        <f>CL!$O$109</f>
        <v>1431.9683288000001</v>
      </c>
      <c r="G387" s="39">
        <f>CL!$P$109</f>
        <v>1467.0059942</v>
      </c>
      <c r="H387" s="39">
        <f>CL!$Q$109</f>
        <v>1471.9613941999999</v>
      </c>
      <c r="I387" s="39">
        <f>CL!$R$109</f>
        <v>1487.9353341999999</v>
      </c>
      <c r="J387" s="39">
        <f>CL!$S$109</f>
        <v>1455.9876342</v>
      </c>
      <c r="K387" s="39">
        <f>CL!$T$109</f>
        <v>1447.9648995999999</v>
      </c>
      <c r="L387" s="39">
        <f>CL!$U$109</f>
        <v>1493.9703941999999</v>
      </c>
      <c r="M387" s="39">
        <f>CL!$V$109</f>
        <v>1507.9860441999999</v>
      </c>
      <c r="N387" s="39">
        <f>CL!$W$109</f>
        <v>723.47881249999989</v>
      </c>
      <c r="O387" s="39">
        <f>CL!$X$109</f>
        <v>0</v>
      </c>
      <c r="P387" s="39">
        <f>CL!$Y$109</f>
        <v>742.51990709999995</v>
      </c>
      <c r="Q387" s="39">
        <f>CL!$Z$109</f>
        <v>747.47530710000001</v>
      </c>
      <c r="R387" s="39">
        <f>CL!$AA$109</f>
        <v>763.44924709999998</v>
      </c>
      <c r="S387" s="39">
        <f>CL!$AB$109</f>
        <v>736.48433439999997</v>
      </c>
      <c r="T387" s="39">
        <f>CL!$AC$109</f>
        <v>744.47130440000001</v>
      </c>
    </row>
    <row r="388" spans="1:20" x14ac:dyDescent="0.25">
      <c r="A388" s="40" t="s">
        <v>44</v>
      </c>
      <c r="B388" s="40" t="str">
        <f>CL!$A$110</f>
        <v>CL 72:7</v>
      </c>
      <c r="C388" s="39" t="str">
        <f>CL!$L$110</f>
        <v>C81H144O17P2</v>
      </c>
      <c r="D388" s="39">
        <f>CL!$M$110</f>
        <v>1450.9878234</v>
      </c>
      <c r="E388" s="39">
        <f>CL!$N$110</f>
        <v>1451.9950980000001</v>
      </c>
      <c r="F388" s="39">
        <f>CL!$O$110</f>
        <v>1433.9839780000002</v>
      </c>
      <c r="G388" s="39">
        <f>CL!$P$110</f>
        <v>1469.0216434000001</v>
      </c>
      <c r="H388" s="39">
        <f>CL!$Q$110</f>
        <v>1473.9770434</v>
      </c>
      <c r="I388" s="39">
        <f>CL!$R$110</f>
        <v>1489.9509834</v>
      </c>
      <c r="J388" s="39">
        <f>CL!$S$110</f>
        <v>1458.0032834000001</v>
      </c>
      <c r="K388" s="39">
        <f>CL!$T$110</f>
        <v>1449.9805488</v>
      </c>
      <c r="L388" s="39">
        <f>CL!$U$110</f>
        <v>1495.9860434</v>
      </c>
      <c r="M388" s="39">
        <f>CL!$V$110</f>
        <v>1510.0016934</v>
      </c>
      <c r="N388" s="39">
        <f>CL!$W$110</f>
        <v>724.48663709999994</v>
      </c>
      <c r="O388" s="39">
        <f>CL!$X$110</f>
        <v>0</v>
      </c>
      <c r="P388" s="39">
        <f>CL!$Y$110</f>
        <v>743.5277317</v>
      </c>
      <c r="Q388" s="39">
        <f>CL!$Z$110</f>
        <v>748.48313170000006</v>
      </c>
      <c r="R388" s="39">
        <f>CL!$AA$110</f>
        <v>764.45707170000003</v>
      </c>
      <c r="S388" s="39">
        <f>CL!$AB$110</f>
        <v>737.49215900000002</v>
      </c>
      <c r="T388" s="39">
        <f>CL!$AC$110</f>
        <v>745.47912900000006</v>
      </c>
    </row>
    <row r="389" spans="1:20" x14ac:dyDescent="0.25">
      <c r="A389" s="40" t="s">
        <v>44</v>
      </c>
      <c r="B389" s="40" t="str">
        <f>CL!$A$111</f>
        <v>CL 72:6</v>
      </c>
      <c r="C389" s="39" t="str">
        <f>CL!$L$111</f>
        <v>C81H146O17P2</v>
      </c>
      <c r="D389" s="39">
        <f>CL!$M$111</f>
        <v>1453.0034725999999</v>
      </c>
      <c r="E389" s="39">
        <f>CL!$N$111</f>
        <v>1454.0107472</v>
      </c>
      <c r="F389" s="39">
        <f>CL!$O$111</f>
        <v>1435.9996272000001</v>
      </c>
      <c r="G389" s="39">
        <f>CL!$P$111</f>
        <v>1471.0372926</v>
      </c>
      <c r="H389" s="39">
        <f>CL!$Q$111</f>
        <v>1475.9926925999998</v>
      </c>
      <c r="I389" s="39">
        <f>CL!$R$111</f>
        <v>1491.9666325999999</v>
      </c>
      <c r="J389" s="39">
        <f>CL!$S$111</f>
        <v>1460.0189326</v>
      </c>
      <c r="K389" s="39">
        <f>CL!$T$111</f>
        <v>1451.9961979999998</v>
      </c>
      <c r="L389" s="39">
        <f>CL!$U$111</f>
        <v>1498.0016925999998</v>
      </c>
      <c r="M389" s="39">
        <f>CL!$V$111</f>
        <v>1512.0173425999999</v>
      </c>
      <c r="N389" s="39">
        <f>CL!$W$111</f>
        <v>725.49446169999987</v>
      </c>
      <c r="O389" s="39">
        <f>CL!$X$111</f>
        <v>0</v>
      </c>
      <c r="P389" s="39">
        <f>CL!$Y$111</f>
        <v>744.53555629999994</v>
      </c>
      <c r="Q389" s="39">
        <f>CL!$Z$111</f>
        <v>749.49095629999999</v>
      </c>
      <c r="R389" s="39">
        <f>CL!$AA$111</f>
        <v>765.46489629999996</v>
      </c>
      <c r="S389" s="39">
        <f>CL!$AB$111</f>
        <v>738.49998359999995</v>
      </c>
      <c r="T389" s="39">
        <f>CL!$AC$111</f>
        <v>746.48695359999999</v>
      </c>
    </row>
    <row r="390" spans="1:20" x14ac:dyDescent="0.25">
      <c r="A390" s="40" t="s">
        <v>44</v>
      </c>
      <c r="B390" s="40" t="str">
        <f>CL!$A$112</f>
        <v>CL 72:5</v>
      </c>
      <c r="C390" s="39" t="str">
        <f>CL!$L$112</f>
        <v>C81H148O17P2</v>
      </c>
      <c r="D390" s="39">
        <f>CL!$M$112</f>
        <v>1455.0191218</v>
      </c>
      <c r="E390" s="39">
        <f>CL!$N$112</f>
        <v>1456.0263964000001</v>
      </c>
      <c r="F390" s="39">
        <f>CL!$O$112</f>
        <v>1438.0152764000002</v>
      </c>
      <c r="G390" s="39">
        <f>CL!$P$112</f>
        <v>1473.0529418000001</v>
      </c>
      <c r="H390" s="39">
        <f>CL!$Q$112</f>
        <v>1478.0083417999999</v>
      </c>
      <c r="I390" s="39">
        <f>CL!$R$112</f>
        <v>1493.9822818</v>
      </c>
      <c r="J390" s="39">
        <f>CL!$S$112</f>
        <v>1462.0345818000001</v>
      </c>
      <c r="K390" s="39">
        <f>CL!$T$112</f>
        <v>1454.0118471999999</v>
      </c>
      <c r="L390" s="39">
        <f>CL!$U$112</f>
        <v>1500.0173417999999</v>
      </c>
      <c r="M390" s="39">
        <f>CL!$V$112</f>
        <v>1514.0329918</v>
      </c>
      <c r="N390" s="39">
        <f>CL!$W$112</f>
        <v>726.50228629999992</v>
      </c>
      <c r="O390" s="39">
        <f>CL!$X$112</f>
        <v>0</v>
      </c>
      <c r="P390" s="39">
        <f>CL!$Y$112</f>
        <v>745.54338089999999</v>
      </c>
      <c r="Q390" s="39">
        <f>CL!$Z$112</f>
        <v>750.49878090000004</v>
      </c>
      <c r="R390" s="39">
        <f>CL!$AA$112</f>
        <v>766.47272090000001</v>
      </c>
      <c r="S390" s="39">
        <f>CL!$AB$112</f>
        <v>739.5078082</v>
      </c>
      <c r="T390" s="39">
        <f>CL!$AC$112</f>
        <v>747.49477820000004</v>
      </c>
    </row>
    <row r="391" spans="1:20" x14ac:dyDescent="0.25">
      <c r="A391" s="40" t="s">
        <v>44</v>
      </c>
      <c r="B391" s="40" t="str">
        <f>CL!$A$113</f>
        <v>CL 72:4</v>
      </c>
      <c r="C391" s="39" t="str">
        <f>CL!$L$113</f>
        <v>C81H150O17P2</v>
      </c>
      <c r="D391" s="39">
        <f>CL!$M$113</f>
        <v>1457.0347710000001</v>
      </c>
      <c r="E391" s="39">
        <f>CL!$N$113</f>
        <v>1458.0420456000002</v>
      </c>
      <c r="F391" s="39">
        <f>CL!$O$113</f>
        <v>1440.0309256000003</v>
      </c>
      <c r="G391" s="39">
        <f>CL!$P$113</f>
        <v>1475.0685910000002</v>
      </c>
      <c r="H391" s="39">
        <f>CL!$Q$113</f>
        <v>1480.023991</v>
      </c>
      <c r="I391" s="39">
        <f>CL!$R$113</f>
        <v>1495.9979310000001</v>
      </c>
      <c r="J391" s="39">
        <f>CL!$S$113</f>
        <v>1464.0502310000002</v>
      </c>
      <c r="K391" s="39">
        <f>CL!$T$113</f>
        <v>1456.0274964</v>
      </c>
      <c r="L391" s="39">
        <f>CL!$U$113</f>
        <v>1502.032991</v>
      </c>
      <c r="M391" s="39">
        <f>CL!$V$113</f>
        <v>1516.0486410000001</v>
      </c>
      <c r="N391" s="39">
        <f>CL!$W$113</f>
        <v>727.51011089999997</v>
      </c>
      <c r="O391" s="39">
        <f>CL!$X$113</f>
        <v>0</v>
      </c>
      <c r="P391" s="39">
        <f>CL!$Y$113</f>
        <v>746.55120550000004</v>
      </c>
      <c r="Q391" s="39">
        <f>CL!$Z$113</f>
        <v>751.50660550000009</v>
      </c>
      <c r="R391" s="39">
        <f>CL!$AA$113</f>
        <v>767.48054550000006</v>
      </c>
      <c r="S391" s="39">
        <f>CL!$AB$113</f>
        <v>740.51563280000005</v>
      </c>
      <c r="T391" s="39">
        <f>CL!$AC$113</f>
        <v>748.50260280000009</v>
      </c>
    </row>
    <row r="392" spans="1:20" x14ac:dyDescent="0.25">
      <c r="A392" s="40" t="s">
        <v>44</v>
      </c>
      <c r="B392" s="40" t="str">
        <f>CL!$A$114</f>
        <v>CL 72:3</v>
      </c>
      <c r="C392" s="39" t="str">
        <f>CL!$L$114</f>
        <v>C81H152O17P2</v>
      </c>
      <c r="D392" s="39">
        <f>CL!$M$114</f>
        <v>1459.0504202</v>
      </c>
      <c r="E392" s="39">
        <f>CL!$N$114</f>
        <v>1460.0576948</v>
      </c>
      <c r="F392" s="39">
        <f>CL!$O$114</f>
        <v>1442.0465748000001</v>
      </c>
      <c r="G392" s="39">
        <f>CL!$P$114</f>
        <v>1477.0842402000001</v>
      </c>
      <c r="H392" s="39">
        <f>CL!$Q$114</f>
        <v>1482.0396401999999</v>
      </c>
      <c r="I392" s="39">
        <f>CL!$R$114</f>
        <v>1498.0135802</v>
      </c>
      <c r="J392" s="39">
        <f>CL!$S$114</f>
        <v>1466.0658802</v>
      </c>
      <c r="K392" s="39">
        <f>CL!$T$114</f>
        <v>1458.0431455999999</v>
      </c>
      <c r="L392" s="39">
        <f>CL!$U$114</f>
        <v>1504.0486401999999</v>
      </c>
      <c r="M392" s="39">
        <f>CL!$V$114</f>
        <v>1518.0642902</v>
      </c>
      <c r="N392" s="39">
        <f>CL!$W$114</f>
        <v>728.51793549999991</v>
      </c>
      <c r="O392" s="39">
        <f>CL!$X$114</f>
        <v>0</v>
      </c>
      <c r="P392" s="39">
        <f>CL!$Y$114</f>
        <v>747.55903009999997</v>
      </c>
      <c r="Q392" s="39">
        <f>CL!$Z$114</f>
        <v>752.51443010000003</v>
      </c>
      <c r="R392" s="39">
        <f>CL!$AA$114</f>
        <v>768.4883701</v>
      </c>
      <c r="S392" s="39">
        <f>CL!$AB$114</f>
        <v>741.52345739999998</v>
      </c>
      <c r="T392" s="39">
        <f>CL!$AC$114</f>
        <v>749.51042740000003</v>
      </c>
    </row>
    <row r="393" spans="1:20" x14ac:dyDescent="0.25">
      <c r="A393" s="40" t="s">
        <v>44</v>
      </c>
      <c r="B393" s="40" t="str">
        <f>CL!$A$115</f>
        <v>CL 72:2</v>
      </c>
      <c r="C393" s="39" t="str">
        <f>CL!$L$115</f>
        <v>C81H154O17P2</v>
      </c>
      <c r="D393" s="39">
        <f>CL!$M$115</f>
        <v>1461.0660694000001</v>
      </c>
      <c r="E393" s="39">
        <f>CL!$N$115</f>
        <v>1462.0733440000001</v>
      </c>
      <c r="F393" s="39">
        <f>CL!$O$115</f>
        <v>1444.0622240000002</v>
      </c>
      <c r="G393" s="39">
        <f>CL!$P$115</f>
        <v>1479.0998894000002</v>
      </c>
      <c r="H393" s="39">
        <f>CL!$Q$115</f>
        <v>1484.0552894</v>
      </c>
      <c r="I393" s="39">
        <f>CL!$R$115</f>
        <v>1500.0292294000001</v>
      </c>
      <c r="J393" s="39">
        <f>CL!$S$115</f>
        <v>1468.0815294000001</v>
      </c>
      <c r="K393" s="39">
        <f>CL!$T$115</f>
        <v>1460.0587948</v>
      </c>
      <c r="L393" s="39">
        <f>CL!$U$115</f>
        <v>1506.0642894</v>
      </c>
      <c r="M393" s="39">
        <f>CL!$V$115</f>
        <v>1520.0799394000001</v>
      </c>
      <c r="N393" s="39">
        <f>CL!$W$115</f>
        <v>729.52576009999996</v>
      </c>
      <c r="O393" s="39">
        <f>CL!$X$115</f>
        <v>0</v>
      </c>
      <c r="P393" s="39">
        <f>CL!$Y$115</f>
        <v>748.56685470000002</v>
      </c>
      <c r="Q393" s="39">
        <f>CL!$Z$115</f>
        <v>753.52225470000008</v>
      </c>
      <c r="R393" s="39">
        <f>CL!$AA$115</f>
        <v>769.49619470000005</v>
      </c>
      <c r="S393" s="39">
        <f>CL!$AB$115</f>
        <v>742.53128200000003</v>
      </c>
      <c r="T393" s="39">
        <f>CL!$AC$115</f>
        <v>750.51825200000007</v>
      </c>
    </row>
    <row r="394" spans="1:20" x14ac:dyDescent="0.25">
      <c r="A394" s="40" t="s">
        <v>44</v>
      </c>
      <c r="B394" s="40" t="str">
        <f>CL!$A$116</f>
        <v>CL 72:1</v>
      </c>
      <c r="C394" s="39" t="str">
        <f>CL!$L$116</f>
        <v>C81H156O17P2</v>
      </c>
      <c r="D394" s="39">
        <f>CL!$M$116</f>
        <v>1463.0817185999999</v>
      </c>
      <c r="E394" s="39">
        <f>CL!$N$116</f>
        <v>1464.0889932</v>
      </c>
      <c r="F394" s="39">
        <f>CL!$O$116</f>
        <v>1446.0778732000001</v>
      </c>
      <c r="G394" s="39">
        <f>CL!$P$116</f>
        <v>1481.1155386</v>
      </c>
      <c r="H394" s="39">
        <f>CL!$Q$116</f>
        <v>1486.0709385999999</v>
      </c>
      <c r="I394" s="39">
        <f>CL!$R$116</f>
        <v>1502.0448785999999</v>
      </c>
      <c r="J394" s="39">
        <f>CL!$S$116</f>
        <v>1470.0971786</v>
      </c>
      <c r="K394" s="39">
        <f>CL!$T$116</f>
        <v>1462.0744439999999</v>
      </c>
      <c r="L394" s="39">
        <f>CL!$U$116</f>
        <v>1508.0799385999999</v>
      </c>
      <c r="M394" s="39">
        <f>CL!$V$116</f>
        <v>1522.0955885999999</v>
      </c>
      <c r="N394" s="39">
        <f>CL!$W$116</f>
        <v>730.53358469999989</v>
      </c>
      <c r="O394" s="39">
        <f>CL!$X$116</f>
        <v>0</v>
      </c>
      <c r="P394" s="39">
        <f>CL!$Y$116</f>
        <v>749.57467929999996</v>
      </c>
      <c r="Q394" s="39">
        <f>CL!$Z$116</f>
        <v>754.53007930000001</v>
      </c>
      <c r="R394" s="39">
        <f>CL!$AA$116</f>
        <v>770.50401929999998</v>
      </c>
      <c r="S394" s="39">
        <f>CL!$AB$116</f>
        <v>743.53910659999997</v>
      </c>
      <c r="T394" s="39">
        <f>CL!$AC$116</f>
        <v>751.52607660000001</v>
      </c>
    </row>
    <row r="395" spans="1:20" x14ac:dyDescent="0.25">
      <c r="A395" s="40" t="s">
        <v>44</v>
      </c>
      <c r="B395" s="40" t="str">
        <f>CL!$A$117</f>
        <v>CL 72:0</v>
      </c>
      <c r="C395" s="39" t="str">
        <f>CL!$L$117</f>
        <v>C81H158O17P2</v>
      </c>
      <c r="D395" s="39">
        <f>CL!$M$117</f>
        <v>1465.0973678</v>
      </c>
      <c r="E395" s="39">
        <f>CL!$N$117</f>
        <v>1466.1046424000001</v>
      </c>
      <c r="F395" s="39">
        <f>CL!$O$117</f>
        <v>1448.0935224000002</v>
      </c>
      <c r="G395" s="39">
        <f>CL!$P$117</f>
        <v>1483.1311878000001</v>
      </c>
      <c r="H395" s="39">
        <f>CL!$Q$117</f>
        <v>1488.0865878</v>
      </c>
      <c r="I395" s="39">
        <f>CL!$R$117</f>
        <v>1504.0605278</v>
      </c>
      <c r="J395" s="39">
        <f>CL!$S$117</f>
        <v>1472.1128278000001</v>
      </c>
      <c r="K395" s="39">
        <f>CL!$T$117</f>
        <v>1464.0900932</v>
      </c>
      <c r="L395" s="39">
        <f>CL!$U$117</f>
        <v>1510.0955878</v>
      </c>
      <c r="M395" s="39">
        <f>CL!$V$117</f>
        <v>1524.1112378</v>
      </c>
      <c r="N395" s="39">
        <f>CL!$W$117</f>
        <v>731.54140929999994</v>
      </c>
      <c r="O395" s="39">
        <f>CL!$X$117</f>
        <v>0</v>
      </c>
      <c r="P395" s="39">
        <f>CL!$Y$117</f>
        <v>750.58250390000001</v>
      </c>
      <c r="Q395" s="39">
        <f>CL!$Z$117</f>
        <v>755.53790390000006</v>
      </c>
      <c r="R395" s="39">
        <f>CL!$AA$117</f>
        <v>771.51184390000003</v>
      </c>
      <c r="S395" s="39">
        <f>CL!$AB$117</f>
        <v>744.54693120000002</v>
      </c>
      <c r="T395" s="39">
        <f>CL!$AC$117</f>
        <v>752.53390120000006</v>
      </c>
    </row>
    <row r="396" spans="1:20" x14ac:dyDescent="0.25">
      <c r="A396" s="40" t="s">
        <v>44</v>
      </c>
      <c r="B396" s="40" t="str">
        <f>CL!$A$118</f>
        <v>CL 73:3</v>
      </c>
      <c r="C396" s="39" t="str">
        <f>CL!$L$118</f>
        <v>C82H154O17P2</v>
      </c>
      <c r="D396" s="39">
        <f>CL!$M$118</f>
        <v>1473.0660694000001</v>
      </c>
      <c r="E396" s="39">
        <f>CL!$N$118</f>
        <v>1474.0733440000001</v>
      </c>
      <c r="F396" s="39">
        <f>CL!$O$118</f>
        <v>1456.0622240000002</v>
      </c>
      <c r="G396" s="39">
        <f>CL!$P$118</f>
        <v>1491.0998894000002</v>
      </c>
      <c r="H396" s="39">
        <f>CL!$Q$118</f>
        <v>1496.0552894</v>
      </c>
      <c r="I396" s="39">
        <f>CL!$R$118</f>
        <v>1512.0292294000001</v>
      </c>
      <c r="J396" s="39">
        <f>CL!$S$118</f>
        <v>1480.0815294000001</v>
      </c>
      <c r="K396" s="39">
        <f>CL!$T$118</f>
        <v>1472.0587948</v>
      </c>
      <c r="L396" s="39">
        <f>CL!$U$118</f>
        <v>1518.0642894</v>
      </c>
      <c r="M396" s="39">
        <f>CL!$V$118</f>
        <v>1532.0799394000001</v>
      </c>
      <c r="N396" s="39">
        <f>CL!$W$118</f>
        <v>735.52576009999996</v>
      </c>
      <c r="O396" s="39">
        <f>CL!$X$118</f>
        <v>0</v>
      </c>
      <c r="P396" s="39">
        <f>CL!$Y$118</f>
        <v>754.56685470000002</v>
      </c>
      <c r="Q396" s="39">
        <f>CL!$Z$118</f>
        <v>759.52225470000008</v>
      </c>
      <c r="R396" s="39">
        <f>CL!$AA$118</f>
        <v>775.49619470000005</v>
      </c>
      <c r="S396" s="39">
        <f>CL!$AB$118</f>
        <v>748.53128200000003</v>
      </c>
      <c r="T396" s="39">
        <f>CL!$AC$118</f>
        <v>756.51825200000007</v>
      </c>
    </row>
    <row r="397" spans="1:20" x14ac:dyDescent="0.25">
      <c r="A397" s="40" t="s">
        <v>44</v>
      </c>
      <c r="B397" s="40" t="str">
        <f>CL!$A$119</f>
        <v>CL 73:2</v>
      </c>
      <c r="C397" s="39" t="str">
        <f>CL!$L$119</f>
        <v>C82H156O17P2</v>
      </c>
      <c r="D397" s="39">
        <f>CL!$M$119</f>
        <v>1475.0817185999999</v>
      </c>
      <c r="E397" s="39">
        <f>CL!$N$119</f>
        <v>1476.0889932</v>
      </c>
      <c r="F397" s="39">
        <f>CL!$O$119</f>
        <v>1458.0778732000001</v>
      </c>
      <c r="G397" s="39">
        <f>CL!$P$119</f>
        <v>1493.1155386</v>
      </c>
      <c r="H397" s="39">
        <f>CL!$Q$119</f>
        <v>1498.0709385999999</v>
      </c>
      <c r="I397" s="39">
        <f>CL!$R$119</f>
        <v>1514.0448785999999</v>
      </c>
      <c r="J397" s="39">
        <f>CL!$S$119</f>
        <v>1482.0971786</v>
      </c>
      <c r="K397" s="39">
        <f>CL!$T$119</f>
        <v>1474.0744439999999</v>
      </c>
      <c r="L397" s="39">
        <f>CL!$U$119</f>
        <v>1520.0799385999999</v>
      </c>
      <c r="M397" s="39">
        <f>CL!$V$119</f>
        <v>1534.0955885999999</v>
      </c>
      <c r="N397" s="39">
        <f>CL!$W$119</f>
        <v>736.53358469999989</v>
      </c>
      <c r="O397" s="39">
        <f>CL!$X$119</f>
        <v>0</v>
      </c>
      <c r="P397" s="39">
        <f>CL!$Y$119</f>
        <v>755.57467929999996</v>
      </c>
      <c r="Q397" s="39">
        <f>CL!$Z$119</f>
        <v>760.53007930000001</v>
      </c>
      <c r="R397" s="39">
        <f>CL!$AA$119</f>
        <v>776.50401929999998</v>
      </c>
      <c r="S397" s="39">
        <f>CL!$AB$119</f>
        <v>749.53910659999997</v>
      </c>
      <c r="T397" s="39">
        <f>CL!$AC$119</f>
        <v>757.52607660000001</v>
      </c>
    </row>
    <row r="398" spans="1:20" x14ac:dyDescent="0.25">
      <c r="A398" s="40" t="s">
        <v>44</v>
      </c>
      <c r="B398" s="40" t="str">
        <f>CL!$A$120</f>
        <v>CL 73:1</v>
      </c>
      <c r="C398" s="39" t="str">
        <f>CL!$L$120</f>
        <v>C82H158O17P2</v>
      </c>
      <c r="D398" s="39">
        <f>CL!$M$120</f>
        <v>1477.0973678</v>
      </c>
      <c r="E398" s="39">
        <f>CL!$N$120</f>
        <v>1478.1046424000001</v>
      </c>
      <c r="F398" s="39">
        <f>CL!$O$120</f>
        <v>1460.0935224000002</v>
      </c>
      <c r="G398" s="39">
        <f>CL!$P$120</f>
        <v>1495.1311878000001</v>
      </c>
      <c r="H398" s="39">
        <f>CL!$Q$120</f>
        <v>1500.0865878</v>
      </c>
      <c r="I398" s="39">
        <f>CL!$R$120</f>
        <v>1516.0605278</v>
      </c>
      <c r="J398" s="39">
        <f>CL!$S$120</f>
        <v>1484.1128278000001</v>
      </c>
      <c r="K398" s="39">
        <f>CL!$T$120</f>
        <v>1476.0900932</v>
      </c>
      <c r="L398" s="39">
        <f>CL!$U$120</f>
        <v>1522.0955878</v>
      </c>
      <c r="M398" s="39">
        <f>CL!$V$120</f>
        <v>1536.1112378</v>
      </c>
      <c r="N398" s="39">
        <f>CL!$W$120</f>
        <v>737.54140929999994</v>
      </c>
      <c r="O398" s="39">
        <f>CL!$X$120</f>
        <v>0</v>
      </c>
      <c r="P398" s="39">
        <f>CL!$Y$120</f>
        <v>756.58250390000001</v>
      </c>
      <c r="Q398" s="39">
        <f>CL!$Z$120</f>
        <v>761.53790390000006</v>
      </c>
      <c r="R398" s="39">
        <f>CL!$AA$120</f>
        <v>777.51184390000003</v>
      </c>
      <c r="S398" s="39">
        <f>CL!$AB$120</f>
        <v>750.54693120000002</v>
      </c>
      <c r="T398" s="39">
        <f>CL!$AC$120</f>
        <v>758.53390120000006</v>
      </c>
    </row>
    <row r="399" spans="1:20" x14ac:dyDescent="0.25">
      <c r="A399" s="40" t="s">
        <v>44</v>
      </c>
      <c r="B399" s="40" t="str">
        <f>CL!$A$121</f>
        <v>CL 73:0</v>
      </c>
      <c r="C399" s="39" t="str">
        <f>CL!$L$121</f>
        <v>C82H160O17P2</v>
      </c>
      <c r="D399" s="39">
        <f>CL!$M$121</f>
        <v>1479.1130170000001</v>
      </c>
      <c r="E399" s="39">
        <f>CL!$N$121</f>
        <v>1480.1202916000002</v>
      </c>
      <c r="F399" s="39">
        <f>CL!$O$121</f>
        <v>1462.1091716000003</v>
      </c>
      <c r="G399" s="39">
        <f>CL!$P$121</f>
        <v>1497.1468370000002</v>
      </c>
      <c r="H399" s="39">
        <f>CL!$Q$121</f>
        <v>1502.1022370000001</v>
      </c>
      <c r="I399" s="39">
        <f>CL!$R$121</f>
        <v>1518.0761770000001</v>
      </c>
      <c r="J399" s="39">
        <f>CL!$S$121</f>
        <v>1486.1284770000002</v>
      </c>
      <c r="K399" s="39">
        <f>CL!$T$121</f>
        <v>1478.1057424000001</v>
      </c>
      <c r="L399" s="39">
        <f>CL!$U$121</f>
        <v>1524.1112370000001</v>
      </c>
      <c r="M399" s="39">
        <f>CL!$V$121</f>
        <v>1538.1268870000001</v>
      </c>
      <c r="N399" s="39">
        <f>CL!$W$121</f>
        <v>738.54923389999999</v>
      </c>
      <c r="O399" s="39">
        <f>CL!$X$121</f>
        <v>0</v>
      </c>
      <c r="P399" s="39">
        <f>CL!$Y$121</f>
        <v>757.59032850000006</v>
      </c>
      <c r="Q399" s="39">
        <f>CL!$Z$121</f>
        <v>762.54572850000011</v>
      </c>
      <c r="R399" s="39">
        <f>CL!$AA$121</f>
        <v>778.51966850000008</v>
      </c>
      <c r="S399" s="39">
        <f>CL!$AB$121</f>
        <v>751.55475580000007</v>
      </c>
      <c r="T399" s="39">
        <f>CL!$AC$121</f>
        <v>759.54172580000011</v>
      </c>
    </row>
    <row r="400" spans="1:20" x14ac:dyDescent="0.25">
      <c r="A400" s="40" t="s">
        <v>44</v>
      </c>
      <c r="B400" s="40">
        <f>CL!$A$122</f>
        <v>0</v>
      </c>
      <c r="C400" s="39">
        <f>CL!$L$122</f>
        <v>0</v>
      </c>
      <c r="D400" s="39">
        <f>CL!$M$122</f>
        <v>0</v>
      </c>
      <c r="E400" s="39">
        <f>CL!$N$122</f>
        <v>0</v>
      </c>
      <c r="F400" s="39">
        <f>CL!$O$122</f>
        <v>0</v>
      </c>
      <c r="G400" s="39">
        <f>CL!$P$122</f>
        <v>0</v>
      </c>
      <c r="H400" s="39">
        <f>CL!$Q$122</f>
        <v>0</v>
      </c>
      <c r="I400" s="39">
        <f>CL!$R$122</f>
        <v>0</v>
      </c>
      <c r="J400" s="39">
        <f>CL!$S$122</f>
        <v>0</v>
      </c>
      <c r="K400" s="39">
        <f>CL!$T$122</f>
        <v>0</v>
      </c>
      <c r="L400" s="39">
        <f>CL!$U$122</f>
        <v>0</v>
      </c>
      <c r="M400" s="39">
        <f>CL!$V$122</f>
        <v>0</v>
      </c>
      <c r="N400" s="39">
        <f>CL!$W$122</f>
        <v>0</v>
      </c>
      <c r="O400" s="39">
        <f>CL!$X$122</f>
        <v>0</v>
      </c>
      <c r="P400" s="39">
        <f>CL!$Y$122</f>
        <v>0</v>
      </c>
      <c r="Q400" s="39">
        <f>CL!$Z$122</f>
        <v>0</v>
      </c>
      <c r="R400" s="39">
        <f>CL!$AA$122</f>
        <v>0</v>
      </c>
      <c r="S400" s="39">
        <f>CL!$AB$122</f>
        <v>0</v>
      </c>
      <c r="T400" s="39">
        <f>CL!$AC$122</f>
        <v>0</v>
      </c>
    </row>
    <row r="401" spans="1:20" x14ac:dyDescent="0.25">
      <c r="A401" s="40" t="s">
        <v>44</v>
      </c>
      <c r="B401" s="40">
        <f>CL!$A$123</f>
        <v>0</v>
      </c>
      <c r="C401" s="39">
        <f>CL!$L$123</f>
        <v>0</v>
      </c>
      <c r="D401" s="39">
        <f>CL!$M$123</f>
        <v>0</v>
      </c>
      <c r="E401" s="39">
        <f>CL!$N$123</f>
        <v>0</v>
      </c>
      <c r="F401" s="39">
        <f>CL!$O$123</f>
        <v>0</v>
      </c>
      <c r="G401" s="39">
        <f>CL!$P$123</f>
        <v>0</v>
      </c>
      <c r="H401" s="39">
        <f>CL!$Q$123</f>
        <v>0</v>
      </c>
      <c r="I401" s="39">
        <f>CL!$R$123</f>
        <v>0</v>
      </c>
      <c r="J401" s="39">
        <f>CL!$S$123</f>
        <v>0</v>
      </c>
      <c r="K401" s="39">
        <f>CL!$T$123</f>
        <v>0</v>
      </c>
      <c r="L401" s="39">
        <f>CL!$U$123</f>
        <v>0</v>
      </c>
      <c r="M401" s="39">
        <f>CL!$V$123</f>
        <v>0</v>
      </c>
      <c r="N401" s="39">
        <f>CL!$W$123</f>
        <v>0</v>
      </c>
      <c r="O401" s="39">
        <f>CL!$X$123</f>
        <v>0</v>
      </c>
      <c r="P401" s="39">
        <f>CL!$Y$123</f>
        <v>0</v>
      </c>
      <c r="Q401" s="39">
        <f>CL!$Z$123</f>
        <v>0</v>
      </c>
      <c r="R401" s="39">
        <f>CL!$AA$123</f>
        <v>0</v>
      </c>
      <c r="S401" s="39">
        <f>CL!$AB$123</f>
        <v>0</v>
      </c>
      <c r="T401" s="39">
        <f>CL!$AC$123</f>
        <v>0</v>
      </c>
    </row>
    <row r="402" spans="1:20" x14ac:dyDescent="0.25">
      <c r="A402" s="40" t="s">
        <v>44</v>
      </c>
      <c r="B402" s="40">
        <f>CL!$A$124</f>
        <v>0</v>
      </c>
      <c r="C402" s="39">
        <f>CL!$L$124</f>
        <v>0</v>
      </c>
      <c r="D402" s="39">
        <f>CL!$M$124</f>
        <v>0</v>
      </c>
      <c r="E402" s="39">
        <f>CL!$N$124</f>
        <v>0</v>
      </c>
      <c r="F402" s="39">
        <f>CL!$O$124</f>
        <v>0</v>
      </c>
      <c r="G402" s="39">
        <f>CL!$P$124</f>
        <v>0</v>
      </c>
      <c r="H402" s="39">
        <f>CL!$Q$124</f>
        <v>0</v>
      </c>
      <c r="I402" s="39">
        <f>CL!$R$124</f>
        <v>0</v>
      </c>
      <c r="J402" s="39">
        <f>CL!$S$124</f>
        <v>0</v>
      </c>
      <c r="K402" s="39">
        <f>CL!$T$124</f>
        <v>0</v>
      </c>
      <c r="L402" s="39">
        <f>CL!$U$124</f>
        <v>0</v>
      </c>
      <c r="M402" s="39">
        <f>CL!$V$124</f>
        <v>0</v>
      </c>
      <c r="N402" s="39">
        <f>CL!$W$124</f>
        <v>0</v>
      </c>
      <c r="O402" s="39">
        <f>CL!$X$124</f>
        <v>0</v>
      </c>
      <c r="P402" s="39">
        <f>CL!$Y$124</f>
        <v>0</v>
      </c>
      <c r="Q402" s="39">
        <f>CL!$Z$124</f>
        <v>0</v>
      </c>
      <c r="R402" s="39">
        <f>CL!$AA$124</f>
        <v>0</v>
      </c>
      <c r="S402" s="39">
        <f>CL!$AB$124</f>
        <v>0</v>
      </c>
      <c r="T402" s="39">
        <f>CL!$AC$124</f>
        <v>0</v>
      </c>
    </row>
    <row r="403" spans="1:20" x14ac:dyDescent="0.25">
      <c r="A403" s="40" t="s">
        <v>44</v>
      </c>
      <c r="B403" s="40">
        <f>CL!$A$125</f>
        <v>0</v>
      </c>
      <c r="C403" s="39">
        <f>CL!$L$125</f>
        <v>0</v>
      </c>
      <c r="D403" s="39">
        <f>CL!$M$125</f>
        <v>0</v>
      </c>
      <c r="E403" s="39">
        <f>CL!$N$125</f>
        <v>0</v>
      </c>
      <c r="F403" s="39">
        <f>CL!$O$125</f>
        <v>0</v>
      </c>
      <c r="G403" s="39">
        <f>CL!$P$125</f>
        <v>0</v>
      </c>
      <c r="H403" s="39">
        <f>CL!$Q$125</f>
        <v>0</v>
      </c>
      <c r="I403" s="39">
        <f>CL!$R$125</f>
        <v>0</v>
      </c>
      <c r="J403" s="39">
        <f>CL!$S$125</f>
        <v>0</v>
      </c>
      <c r="K403" s="39">
        <f>CL!$T$125</f>
        <v>0</v>
      </c>
      <c r="L403" s="39">
        <f>CL!$U$125</f>
        <v>0</v>
      </c>
      <c r="M403" s="39">
        <f>CL!$V$125</f>
        <v>0</v>
      </c>
      <c r="N403" s="39">
        <f>CL!$W$125</f>
        <v>0</v>
      </c>
      <c r="O403" s="39">
        <f>CL!$X$125</f>
        <v>0</v>
      </c>
      <c r="P403" s="39">
        <f>CL!$Y$125</f>
        <v>0</v>
      </c>
      <c r="Q403" s="39">
        <f>CL!$Z$125</f>
        <v>0</v>
      </c>
      <c r="R403" s="39">
        <f>CL!$AA$125</f>
        <v>0</v>
      </c>
      <c r="S403" s="39">
        <f>CL!$AB$125</f>
        <v>0</v>
      </c>
      <c r="T403" s="39">
        <f>CL!$AC$125</f>
        <v>0</v>
      </c>
    </row>
    <row r="404" spans="1:20" x14ac:dyDescent="0.25">
      <c r="A404" s="40" t="s">
        <v>44</v>
      </c>
      <c r="B404" s="40">
        <f>CL!$A$126</f>
        <v>0</v>
      </c>
      <c r="C404" s="39">
        <f>CL!$L$126</f>
        <v>0</v>
      </c>
      <c r="D404" s="39">
        <f>CL!$M$126</f>
        <v>0</v>
      </c>
      <c r="E404" s="39">
        <f>CL!$N$126</f>
        <v>0</v>
      </c>
      <c r="F404" s="39">
        <f>CL!$O$126</f>
        <v>0</v>
      </c>
      <c r="G404" s="39">
        <f>CL!$P$126</f>
        <v>0</v>
      </c>
      <c r="H404" s="39">
        <f>CL!$Q$126</f>
        <v>0</v>
      </c>
      <c r="I404" s="39">
        <f>CL!$R$126</f>
        <v>0</v>
      </c>
      <c r="J404" s="39">
        <f>CL!$S$126</f>
        <v>0</v>
      </c>
      <c r="K404" s="39">
        <f>CL!$T$126</f>
        <v>0</v>
      </c>
      <c r="L404" s="39">
        <f>CL!$U$126</f>
        <v>0</v>
      </c>
      <c r="M404" s="39">
        <f>CL!$V$126</f>
        <v>0</v>
      </c>
      <c r="N404" s="39">
        <f>CL!$W$126</f>
        <v>0</v>
      </c>
      <c r="O404" s="39">
        <f>CL!$X$126</f>
        <v>0</v>
      </c>
      <c r="P404" s="39">
        <f>CL!$Y$126</f>
        <v>0</v>
      </c>
      <c r="Q404" s="39">
        <f>CL!$Z$126</f>
        <v>0</v>
      </c>
      <c r="R404" s="39">
        <f>CL!$AA$126</f>
        <v>0</v>
      </c>
      <c r="S404" s="39">
        <f>CL!$AB$126</f>
        <v>0</v>
      </c>
      <c r="T404" s="39">
        <f>CL!$AC$126</f>
        <v>0</v>
      </c>
    </row>
    <row r="405" spans="1:20" x14ac:dyDescent="0.25">
      <c r="A405" s="40" t="s">
        <v>44</v>
      </c>
      <c r="B405" s="40">
        <f>CL!$A$127</f>
        <v>0</v>
      </c>
      <c r="C405" s="39">
        <f>CL!$L$127</f>
        <v>0</v>
      </c>
      <c r="D405" s="39">
        <f>CL!$M$127</f>
        <v>0</v>
      </c>
      <c r="E405" s="39">
        <f>CL!$N$127</f>
        <v>0</v>
      </c>
      <c r="F405" s="39">
        <f>CL!$O$127</f>
        <v>0</v>
      </c>
      <c r="G405" s="39">
        <f>CL!$P$127</f>
        <v>0</v>
      </c>
      <c r="H405" s="39">
        <f>CL!$Q$127</f>
        <v>0</v>
      </c>
      <c r="I405" s="39">
        <f>CL!$R$127</f>
        <v>0</v>
      </c>
      <c r="J405" s="39">
        <f>CL!$S$127</f>
        <v>0</v>
      </c>
      <c r="K405" s="39">
        <f>CL!$T$127</f>
        <v>0</v>
      </c>
      <c r="L405" s="39">
        <f>CL!$U$127</f>
        <v>0</v>
      </c>
      <c r="M405" s="39">
        <f>CL!$V$127</f>
        <v>0</v>
      </c>
      <c r="N405" s="39">
        <f>CL!$W$127</f>
        <v>0</v>
      </c>
      <c r="O405" s="39">
        <f>CL!$X$127</f>
        <v>0</v>
      </c>
      <c r="P405" s="39">
        <f>CL!$Y$127</f>
        <v>0</v>
      </c>
      <c r="Q405" s="39">
        <f>CL!$Z$127</f>
        <v>0</v>
      </c>
      <c r="R405" s="39">
        <f>CL!$AA$127</f>
        <v>0</v>
      </c>
      <c r="S405" s="39">
        <f>CL!$AB$127</f>
        <v>0</v>
      </c>
      <c r="T405" s="39">
        <f>CL!$AC$127</f>
        <v>0</v>
      </c>
    </row>
    <row r="406" spans="1:20" x14ac:dyDescent="0.25">
      <c r="A406" s="40" t="s">
        <v>44</v>
      </c>
      <c r="B406" s="40">
        <f>CL!$A$128</f>
        <v>0</v>
      </c>
      <c r="C406" s="39">
        <f>CL!$L$128</f>
        <v>0</v>
      </c>
      <c r="D406" s="39">
        <f>CL!$M$128</f>
        <v>0</v>
      </c>
      <c r="E406" s="39">
        <f>CL!$N$128</f>
        <v>0</v>
      </c>
      <c r="F406" s="39">
        <f>CL!$O$128</f>
        <v>0</v>
      </c>
      <c r="G406" s="39">
        <f>CL!$P$128</f>
        <v>0</v>
      </c>
      <c r="H406" s="39">
        <f>CL!$Q$128</f>
        <v>0</v>
      </c>
      <c r="I406" s="39">
        <f>CL!$R$128</f>
        <v>0</v>
      </c>
      <c r="J406" s="39">
        <f>CL!$S$128</f>
        <v>0</v>
      </c>
      <c r="K406" s="39">
        <f>CL!$T$128</f>
        <v>0</v>
      </c>
      <c r="L406" s="39">
        <f>CL!$U$128</f>
        <v>0</v>
      </c>
      <c r="M406" s="39">
        <f>CL!$V$128</f>
        <v>0</v>
      </c>
      <c r="N406" s="39">
        <f>CL!$W$128</f>
        <v>0</v>
      </c>
      <c r="O406" s="39">
        <f>CL!$X$128</f>
        <v>0</v>
      </c>
      <c r="P406" s="39">
        <f>CL!$Y$128</f>
        <v>0</v>
      </c>
      <c r="Q406" s="39">
        <f>CL!$Z$128</f>
        <v>0</v>
      </c>
      <c r="R406" s="39">
        <f>CL!$AA$128</f>
        <v>0</v>
      </c>
      <c r="S406" s="39">
        <f>CL!$AB$128</f>
        <v>0</v>
      </c>
      <c r="T406" s="39">
        <f>CL!$AC$128</f>
        <v>0</v>
      </c>
    </row>
    <row r="407" spans="1:20" x14ac:dyDescent="0.25">
      <c r="A407" s="40" t="s">
        <v>44</v>
      </c>
      <c r="B407" s="40">
        <f>CL!$A$129</f>
        <v>0</v>
      </c>
      <c r="C407" s="39">
        <f>CL!$L$129</f>
        <v>0</v>
      </c>
      <c r="D407" s="39">
        <f>CL!$M$129</f>
        <v>0</v>
      </c>
      <c r="E407" s="39">
        <f>CL!$N$129</f>
        <v>0</v>
      </c>
      <c r="F407" s="39">
        <f>CL!$O$129</f>
        <v>0</v>
      </c>
      <c r="G407" s="39">
        <f>CL!$P$129</f>
        <v>0</v>
      </c>
      <c r="H407" s="39">
        <f>CL!$Q$129</f>
        <v>0</v>
      </c>
      <c r="I407" s="39">
        <f>CL!$R$129</f>
        <v>0</v>
      </c>
      <c r="J407" s="39">
        <f>CL!$S$129</f>
        <v>0</v>
      </c>
      <c r="K407" s="39">
        <f>CL!$T$129</f>
        <v>0</v>
      </c>
      <c r="L407" s="39">
        <f>CL!$U$129</f>
        <v>0</v>
      </c>
      <c r="M407" s="39">
        <f>CL!$V$129</f>
        <v>0</v>
      </c>
      <c r="N407" s="39">
        <f>CL!$W$129</f>
        <v>0</v>
      </c>
      <c r="O407" s="39">
        <f>CL!$X$129</f>
        <v>0</v>
      </c>
      <c r="P407" s="39">
        <f>CL!$Y$129</f>
        <v>0</v>
      </c>
      <c r="Q407" s="39">
        <f>CL!$Z$129</f>
        <v>0</v>
      </c>
      <c r="R407" s="39">
        <f>CL!$AA$129</f>
        <v>0</v>
      </c>
      <c r="S407" s="39">
        <f>CL!$AB$129</f>
        <v>0</v>
      </c>
      <c r="T407" s="39">
        <f>CL!$AC$129</f>
        <v>0</v>
      </c>
    </row>
    <row r="408" spans="1:20" x14ac:dyDescent="0.25">
      <c r="A408" s="40" t="s">
        <v>44</v>
      </c>
      <c r="B408" s="40">
        <f>CL!$A$130</f>
        <v>0</v>
      </c>
      <c r="C408" s="39">
        <f>CL!$L$130</f>
        <v>0</v>
      </c>
      <c r="D408" s="39">
        <f>CL!$M$130</f>
        <v>0</v>
      </c>
      <c r="E408" s="39">
        <f>CL!$N$130</f>
        <v>0</v>
      </c>
      <c r="F408" s="39">
        <f>CL!$O$130</f>
        <v>0</v>
      </c>
      <c r="G408" s="39">
        <f>CL!$P$130</f>
        <v>0</v>
      </c>
      <c r="H408" s="39">
        <f>CL!$Q$130</f>
        <v>0</v>
      </c>
      <c r="I408" s="39">
        <f>CL!$R$130</f>
        <v>0</v>
      </c>
      <c r="J408" s="39">
        <f>CL!$S$130</f>
        <v>0</v>
      </c>
      <c r="K408" s="39">
        <f>CL!$T$130</f>
        <v>0</v>
      </c>
      <c r="L408" s="39">
        <f>CL!$U$130</f>
        <v>0</v>
      </c>
      <c r="M408" s="39">
        <f>CL!$V$130</f>
        <v>0</v>
      </c>
      <c r="N408" s="39">
        <f>CL!$W$130</f>
        <v>0</v>
      </c>
      <c r="O408" s="39">
        <f>CL!$X$130</f>
        <v>0</v>
      </c>
      <c r="P408" s="39">
        <f>CL!$Y$130</f>
        <v>0</v>
      </c>
      <c r="Q408" s="39">
        <f>CL!$Z$130</f>
        <v>0</v>
      </c>
      <c r="R408" s="39">
        <f>CL!$AA$130</f>
        <v>0</v>
      </c>
      <c r="S408" s="39">
        <f>CL!$AB$130</f>
        <v>0</v>
      </c>
      <c r="T408" s="39">
        <f>CL!$AC$130</f>
        <v>0</v>
      </c>
    </row>
    <row r="409" spans="1:20" x14ac:dyDescent="0.25">
      <c r="A409" s="40" t="s">
        <v>44</v>
      </c>
      <c r="B409" s="40">
        <f>CL!$A$131</f>
        <v>0</v>
      </c>
      <c r="C409" s="39">
        <f>CL!$L$131</f>
        <v>0</v>
      </c>
      <c r="D409" s="39">
        <f>CL!$M$131</f>
        <v>0</v>
      </c>
      <c r="E409" s="39">
        <f>CL!$N$131</f>
        <v>0</v>
      </c>
      <c r="F409" s="39">
        <f>CL!$O$131</f>
        <v>0</v>
      </c>
      <c r="G409" s="39">
        <f>CL!$P$131</f>
        <v>0</v>
      </c>
      <c r="H409" s="39">
        <f>CL!$Q$131</f>
        <v>0</v>
      </c>
      <c r="I409" s="39">
        <f>CL!$R$131</f>
        <v>0</v>
      </c>
      <c r="J409" s="39">
        <f>CL!$S$131</f>
        <v>0</v>
      </c>
      <c r="K409" s="39">
        <f>CL!$T$131</f>
        <v>0</v>
      </c>
      <c r="L409" s="39">
        <f>CL!$U$131</f>
        <v>0</v>
      </c>
      <c r="M409" s="39">
        <f>CL!$V$131</f>
        <v>0</v>
      </c>
      <c r="N409" s="39">
        <f>CL!$W$131</f>
        <v>0</v>
      </c>
      <c r="O409" s="39">
        <f>CL!$X$131</f>
        <v>0</v>
      </c>
      <c r="P409" s="39">
        <f>CL!$Y$131</f>
        <v>0</v>
      </c>
      <c r="Q409" s="39">
        <f>CL!$Z$131</f>
        <v>0</v>
      </c>
      <c r="R409" s="39">
        <f>CL!$AA$131</f>
        <v>0</v>
      </c>
      <c r="S409" s="39">
        <f>CL!$AB$131</f>
        <v>0</v>
      </c>
      <c r="T409" s="39">
        <f>CL!$AC$131</f>
        <v>0</v>
      </c>
    </row>
    <row r="410" spans="1:20" x14ac:dyDescent="0.25">
      <c r="A410" s="40" t="s">
        <v>44</v>
      </c>
      <c r="B410" s="40">
        <f>CL!$A$132</f>
        <v>0</v>
      </c>
      <c r="C410" s="39">
        <f>CL!$L$132</f>
        <v>0</v>
      </c>
      <c r="D410" s="39">
        <f>CL!$M$132</f>
        <v>0</v>
      </c>
      <c r="E410" s="39">
        <f>CL!$N$132</f>
        <v>0</v>
      </c>
      <c r="F410" s="39">
        <f>CL!$O$132</f>
        <v>0</v>
      </c>
      <c r="G410" s="39">
        <f>CL!$P$132</f>
        <v>0</v>
      </c>
      <c r="H410" s="39">
        <f>CL!$Q$132</f>
        <v>0</v>
      </c>
      <c r="I410" s="39">
        <f>CL!$R$132</f>
        <v>0</v>
      </c>
      <c r="J410" s="39">
        <f>CL!$S$132</f>
        <v>0</v>
      </c>
      <c r="K410" s="39">
        <f>CL!$T$132</f>
        <v>0</v>
      </c>
      <c r="L410" s="39">
        <f>CL!$U$132</f>
        <v>0</v>
      </c>
      <c r="M410" s="39">
        <f>CL!$V$132</f>
        <v>0</v>
      </c>
      <c r="N410" s="39">
        <f>CL!$W$132</f>
        <v>0</v>
      </c>
      <c r="O410" s="39">
        <f>CL!$X$132</f>
        <v>0</v>
      </c>
      <c r="P410" s="39">
        <f>CL!$Y$132</f>
        <v>0</v>
      </c>
      <c r="Q410" s="39">
        <f>CL!$Z$132</f>
        <v>0</v>
      </c>
      <c r="R410" s="39">
        <f>CL!$AA$132</f>
        <v>0</v>
      </c>
      <c r="S410" s="39">
        <f>CL!$AB$132</f>
        <v>0</v>
      </c>
      <c r="T410" s="39">
        <f>CL!$AC$132</f>
        <v>0</v>
      </c>
    </row>
    <row r="411" spans="1:20" x14ac:dyDescent="0.25">
      <c r="A411" s="40" t="s">
        <v>44</v>
      </c>
      <c r="B411" s="40">
        <f>CL!$A$133</f>
        <v>0</v>
      </c>
      <c r="C411" s="39">
        <f>CL!$L$133</f>
        <v>0</v>
      </c>
      <c r="D411" s="39">
        <f>CL!$M$133</f>
        <v>0</v>
      </c>
      <c r="E411" s="39">
        <f>CL!$N$133</f>
        <v>0</v>
      </c>
      <c r="F411" s="39">
        <f>CL!$O$133</f>
        <v>0</v>
      </c>
      <c r="G411" s="39">
        <f>CL!$P$133</f>
        <v>0</v>
      </c>
      <c r="H411" s="39">
        <f>CL!$Q$133</f>
        <v>0</v>
      </c>
      <c r="I411" s="39">
        <f>CL!$R$133</f>
        <v>0</v>
      </c>
      <c r="J411" s="39">
        <f>CL!$S$133</f>
        <v>0</v>
      </c>
      <c r="K411" s="39">
        <f>CL!$T$133</f>
        <v>0</v>
      </c>
      <c r="L411" s="39">
        <f>CL!$U$133</f>
        <v>0</v>
      </c>
      <c r="M411" s="39">
        <f>CL!$V$133</f>
        <v>0</v>
      </c>
      <c r="N411" s="39">
        <f>CL!$W$133</f>
        <v>0</v>
      </c>
      <c r="O411" s="39">
        <f>CL!$X$133</f>
        <v>0</v>
      </c>
      <c r="P411" s="39">
        <f>CL!$Y$133</f>
        <v>0</v>
      </c>
      <c r="Q411" s="39">
        <f>CL!$Z$133</f>
        <v>0</v>
      </c>
      <c r="R411" s="39">
        <f>CL!$AA$133</f>
        <v>0</v>
      </c>
      <c r="S411" s="39">
        <f>CL!$AB$133</f>
        <v>0</v>
      </c>
      <c r="T411" s="39">
        <f>CL!$AC$133</f>
        <v>0</v>
      </c>
    </row>
    <row r="412" spans="1:20" x14ac:dyDescent="0.25">
      <c r="A412" s="40" t="s">
        <v>44</v>
      </c>
      <c r="B412" s="40">
        <f>CL!$A$134</f>
        <v>0</v>
      </c>
      <c r="C412" s="39">
        <f>CL!$L$134</f>
        <v>0</v>
      </c>
      <c r="D412" s="39">
        <f>CL!$M$134</f>
        <v>0</v>
      </c>
      <c r="E412" s="39">
        <f>CL!$N$134</f>
        <v>0</v>
      </c>
      <c r="F412" s="39">
        <f>CL!$O$134</f>
        <v>0</v>
      </c>
      <c r="G412" s="39">
        <f>CL!$P$134</f>
        <v>0</v>
      </c>
      <c r="H412" s="39">
        <f>CL!$Q$134</f>
        <v>0</v>
      </c>
      <c r="I412" s="39">
        <f>CL!$R$134</f>
        <v>0</v>
      </c>
      <c r="J412" s="39">
        <f>CL!$S$134</f>
        <v>0</v>
      </c>
      <c r="K412" s="39">
        <f>CL!$T$134</f>
        <v>0</v>
      </c>
      <c r="L412" s="39">
        <f>CL!$U$134</f>
        <v>0</v>
      </c>
      <c r="M412" s="39">
        <f>CL!$V$134</f>
        <v>0</v>
      </c>
      <c r="N412" s="39">
        <f>CL!$W$134</f>
        <v>0</v>
      </c>
      <c r="O412" s="39">
        <f>CL!$X$134</f>
        <v>0</v>
      </c>
      <c r="P412" s="39">
        <f>CL!$Y$134</f>
        <v>0</v>
      </c>
      <c r="Q412" s="39">
        <f>CL!$Z$134</f>
        <v>0</v>
      </c>
      <c r="R412" s="39">
        <f>CL!$AA$134</f>
        <v>0</v>
      </c>
      <c r="S412" s="39">
        <f>CL!$AB$134</f>
        <v>0</v>
      </c>
      <c r="T412" s="39">
        <f>CL!$AC$134</f>
        <v>0</v>
      </c>
    </row>
    <row r="413" spans="1:20" x14ac:dyDescent="0.25">
      <c r="A413" s="40" t="s">
        <v>681</v>
      </c>
      <c r="B413" s="40">
        <f>'Acyl PG'!$A$3</f>
        <v>0</v>
      </c>
      <c r="C413" s="39">
        <f>'Acyl PG'!$L$3</f>
        <v>0</v>
      </c>
      <c r="D413" s="39">
        <f>'Acyl PG'!$M$3</f>
        <v>0</v>
      </c>
      <c r="E413" s="39">
        <f>'Acyl PG'!$N$3</f>
        <v>0</v>
      </c>
      <c r="F413" s="39">
        <f>'Acyl PG'!$O$3</f>
        <v>0</v>
      </c>
      <c r="G413" s="39">
        <f>'Acyl PG'!$P$3</f>
        <v>0</v>
      </c>
      <c r="H413" s="39">
        <f>'Acyl PG'!$Q$3</f>
        <v>0</v>
      </c>
      <c r="I413" s="39">
        <f>'Acyl PG'!$R$3</f>
        <v>0</v>
      </c>
      <c r="J413" s="39">
        <f>'Acyl PG'!$S$3</f>
        <v>0</v>
      </c>
      <c r="K413" s="39">
        <f>'Acyl PG'!$T$3</f>
        <v>0</v>
      </c>
      <c r="L413" s="39" t="e">
        <f>'Acyl PG'!#REF!</f>
        <v>#REF!</v>
      </c>
      <c r="M413" s="39">
        <f>'Acyl PG'!$U$3</f>
        <v>0</v>
      </c>
      <c r="N413" s="39">
        <f>'Acyl PG'!$V$3</f>
        <v>0</v>
      </c>
    </row>
    <row r="414" spans="1:20" x14ac:dyDescent="0.25">
      <c r="A414" s="40" t="s">
        <v>681</v>
      </c>
      <c r="B414" s="40" t="e">
        <f>'Acyl PG'!#REF!</f>
        <v>#REF!</v>
      </c>
      <c r="C414" s="39" t="e">
        <f>'Acyl PG'!#REF!</f>
        <v>#REF!</v>
      </c>
      <c r="D414" s="39" t="e">
        <f>'Acyl PG'!#REF!</f>
        <v>#REF!</v>
      </c>
      <c r="E414" s="39" t="e">
        <f>'Acyl PG'!#REF!</f>
        <v>#REF!</v>
      </c>
      <c r="F414" s="39" t="e">
        <f>'Acyl PG'!#REF!</f>
        <v>#REF!</v>
      </c>
      <c r="G414" s="39" t="e">
        <f>'Acyl PG'!#REF!</f>
        <v>#REF!</v>
      </c>
      <c r="H414" s="39" t="e">
        <f>'Acyl PG'!#REF!</f>
        <v>#REF!</v>
      </c>
      <c r="I414" s="39" t="e">
        <f>'Acyl PG'!#REF!</f>
        <v>#REF!</v>
      </c>
      <c r="J414" s="39" t="e">
        <f>'Acyl PG'!#REF!</f>
        <v>#REF!</v>
      </c>
      <c r="K414" s="39" t="e">
        <f>'Acyl PG'!#REF!</f>
        <v>#REF!</v>
      </c>
      <c r="L414" s="39" t="e">
        <f>'Acyl PG'!#REF!</f>
        <v>#REF!</v>
      </c>
      <c r="M414" s="39" t="e">
        <f>'Acyl PG'!#REF!</f>
        <v>#REF!</v>
      </c>
      <c r="N414" s="39" t="e">
        <f>'Acyl PG'!#REF!</f>
        <v>#REF!</v>
      </c>
    </row>
    <row r="415" spans="1:20" x14ac:dyDescent="0.25">
      <c r="A415" s="40" t="s">
        <v>681</v>
      </c>
      <c r="B415" s="40" t="e">
        <f>'Acyl PG'!#REF!</f>
        <v>#REF!</v>
      </c>
      <c r="C415" s="39" t="e">
        <f>'Acyl PG'!#REF!</f>
        <v>#REF!</v>
      </c>
      <c r="D415" s="39" t="e">
        <f>'Acyl PG'!#REF!</f>
        <v>#REF!</v>
      </c>
      <c r="E415" s="39" t="e">
        <f>'Acyl PG'!#REF!</f>
        <v>#REF!</v>
      </c>
      <c r="F415" s="39" t="e">
        <f>'Acyl PG'!#REF!</f>
        <v>#REF!</v>
      </c>
      <c r="G415" s="39" t="e">
        <f>'Acyl PG'!#REF!</f>
        <v>#REF!</v>
      </c>
      <c r="H415" s="39" t="e">
        <f>'Acyl PG'!#REF!</f>
        <v>#REF!</v>
      </c>
      <c r="I415" s="39" t="e">
        <f>'Acyl PG'!#REF!</f>
        <v>#REF!</v>
      </c>
      <c r="J415" s="39" t="e">
        <f>'Acyl PG'!#REF!</f>
        <v>#REF!</v>
      </c>
      <c r="K415" s="39" t="e">
        <f>'Acyl PG'!#REF!</f>
        <v>#REF!</v>
      </c>
      <c r="L415" s="39" t="e">
        <f>'Acyl PG'!#REF!</f>
        <v>#REF!</v>
      </c>
      <c r="M415" s="39" t="e">
        <f>'Acyl PG'!#REF!</f>
        <v>#REF!</v>
      </c>
      <c r="N415" s="39" t="e">
        <f>'Acyl PG'!#REF!</f>
        <v>#REF!</v>
      </c>
    </row>
    <row r="416" spans="1:20" x14ac:dyDescent="0.25">
      <c r="A416" s="40" t="s">
        <v>681</v>
      </c>
      <c r="B416" s="40" t="e">
        <f>'Acyl PG'!#REF!</f>
        <v>#REF!</v>
      </c>
      <c r="C416" s="39" t="e">
        <f>'Acyl PG'!#REF!</f>
        <v>#REF!</v>
      </c>
      <c r="D416" s="39" t="e">
        <f>'Acyl PG'!#REF!</f>
        <v>#REF!</v>
      </c>
      <c r="E416" s="39" t="e">
        <f>'Acyl PG'!#REF!</f>
        <v>#REF!</v>
      </c>
      <c r="F416" s="39" t="e">
        <f>'Acyl PG'!#REF!</f>
        <v>#REF!</v>
      </c>
      <c r="G416" s="39" t="e">
        <f>'Acyl PG'!#REF!</f>
        <v>#REF!</v>
      </c>
      <c r="H416" s="39" t="e">
        <f>'Acyl PG'!#REF!</f>
        <v>#REF!</v>
      </c>
      <c r="I416" s="39" t="e">
        <f>'Acyl PG'!#REF!</f>
        <v>#REF!</v>
      </c>
      <c r="J416" s="39" t="e">
        <f>'Acyl PG'!#REF!</f>
        <v>#REF!</v>
      </c>
      <c r="K416" s="39" t="e">
        <f>'Acyl PG'!#REF!</f>
        <v>#REF!</v>
      </c>
      <c r="L416" s="39" t="e">
        <f>'Acyl PG'!#REF!</f>
        <v>#REF!</v>
      </c>
      <c r="M416" s="39" t="e">
        <f>'Acyl PG'!#REF!</f>
        <v>#REF!</v>
      </c>
      <c r="N416" s="39" t="e">
        <f>'Acyl PG'!#REF!</f>
        <v>#REF!</v>
      </c>
    </row>
    <row r="417" spans="1:14" x14ac:dyDescent="0.25">
      <c r="A417" s="40" t="s">
        <v>681</v>
      </c>
      <c r="B417" s="40" t="e">
        <f>'Acyl PG'!#REF!</f>
        <v>#REF!</v>
      </c>
      <c r="C417" s="39" t="e">
        <f>'Acyl PG'!#REF!</f>
        <v>#REF!</v>
      </c>
      <c r="D417" s="39" t="e">
        <f>'Acyl PG'!#REF!</f>
        <v>#REF!</v>
      </c>
      <c r="E417" s="39" t="e">
        <f>'Acyl PG'!#REF!</f>
        <v>#REF!</v>
      </c>
      <c r="F417" s="39" t="e">
        <f>'Acyl PG'!#REF!</f>
        <v>#REF!</v>
      </c>
      <c r="G417" s="39" t="e">
        <f>'Acyl PG'!#REF!</f>
        <v>#REF!</v>
      </c>
      <c r="H417" s="39" t="e">
        <f>'Acyl PG'!#REF!</f>
        <v>#REF!</v>
      </c>
      <c r="I417" s="39" t="e">
        <f>'Acyl PG'!#REF!</f>
        <v>#REF!</v>
      </c>
      <c r="J417" s="39" t="e">
        <f>'Acyl PG'!#REF!</f>
        <v>#REF!</v>
      </c>
      <c r="K417" s="39" t="e">
        <f>'Acyl PG'!#REF!</f>
        <v>#REF!</v>
      </c>
      <c r="L417" s="39" t="e">
        <f>'Acyl PG'!#REF!</f>
        <v>#REF!</v>
      </c>
      <c r="M417" s="39" t="e">
        <f>'Acyl PG'!#REF!</f>
        <v>#REF!</v>
      </c>
      <c r="N417" s="39" t="e">
        <f>'Acyl PG'!#REF!</f>
        <v>#REF!</v>
      </c>
    </row>
    <row r="418" spans="1:14" x14ac:dyDescent="0.25">
      <c r="A418" s="40" t="s">
        <v>681</v>
      </c>
      <c r="B418" s="40" t="e">
        <f>'Acyl PG'!#REF!</f>
        <v>#REF!</v>
      </c>
      <c r="C418" s="39" t="e">
        <f>'Acyl PG'!#REF!</f>
        <v>#REF!</v>
      </c>
      <c r="D418" s="39" t="e">
        <f>'Acyl PG'!#REF!</f>
        <v>#REF!</v>
      </c>
      <c r="E418" s="39" t="e">
        <f>'Acyl PG'!#REF!</f>
        <v>#REF!</v>
      </c>
      <c r="F418" s="39" t="e">
        <f>'Acyl PG'!#REF!</f>
        <v>#REF!</v>
      </c>
      <c r="G418" s="39" t="e">
        <f>'Acyl PG'!#REF!</f>
        <v>#REF!</v>
      </c>
      <c r="H418" s="39" t="e">
        <f>'Acyl PG'!#REF!</f>
        <v>#REF!</v>
      </c>
      <c r="I418" s="39" t="e">
        <f>'Acyl PG'!#REF!</f>
        <v>#REF!</v>
      </c>
      <c r="J418" s="39" t="e">
        <f>'Acyl PG'!#REF!</f>
        <v>#REF!</v>
      </c>
      <c r="K418" s="39" t="e">
        <f>'Acyl PG'!#REF!</f>
        <v>#REF!</v>
      </c>
      <c r="L418" s="39" t="e">
        <f>'Acyl PG'!#REF!</f>
        <v>#REF!</v>
      </c>
      <c r="M418" s="39" t="e">
        <f>'Acyl PG'!#REF!</f>
        <v>#REF!</v>
      </c>
      <c r="N418" s="39" t="e">
        <f>'Acyl PG'!#REF!</f>
        <v>#REF!</v>
      </c>
    </row>
    <row r="419" spans="1:14" x14ac:dyDescent="0.25">
      <c r="A419" s="40" t="s">
        <v>681</v>
      </c>
      <c r="B419" s="40" t="e">
        <f>'Acyl PG'!#REF!</f>
        <v>#REF!</v>
      </c>
      <c r="C419" s="39" t="e">
        <f>'Acyl PG'!#REF!</f>
        <v>#REF!</v>
      </c>
      <c r="D419" s="39" t="e">
        <f>'Acyl PG'!#REF!</f>
        <v>#REF!</v>
      </c>
      <c r="E419" s="39" t="e">
        <f>'Acyl PG'!#REF!</f>
        <v>#REF!</v>
      </c>
      <c r="F419" s="39" t="e">
        <f>'Acyl PG'!#REF!</f>
        <v>#REF!</v>
      </c>
      <c r="G419" s="39" t="e">
        <f>'Acyl PG'!#REF!</f>
        <v>#REF!</v>
      </c>
      <c r="H419" s="39" t="e">
        <f>'Acyl PG'!#REF!</f>
        <v>#REF!</v>
      </c>
      <c r="I419" s="39" t="e">
        <f>'Acyl PG'!#REF!</f>
        <v>#REF!</v>
      </c>
      <c r="J419" s="39" t="e">
        <f>'Acyl PG'!#REF!</f>
        <v>#REF!</v>
      </c>
      <c r="K419" s="39" t="e">
        <f>'Acyl PG'!#REF!</f>
        <v>#REF!</v>
      </c>
      <c r="L419" s="39" t="e">
        <f>'Acyl PG'!#REF!</f>
        <v>#REF!</v>
      </c>
      <c r="M419" s="39" t="e">
        <f>'Acyl PG'!#REF!</f>
        <v>#REF!</v>
      </c>
      <c r="N419" s="39" t="e">
        <f>'Acyl PG'!#REF!</f>
        <v>#REF!</v>
      </c>
    </row>
    <row r="420" spans="1:14" x14ac:dyDescent="0.25">
      <c r="A420" s="40" t="s">
        <v>681</v>
      </c>
      <c r="B420" s="40" t="e">
        <f>'Acyl PG'!#REF!</f>
        <v>#REF!</v>
      </c>
      <c r="C420" s="39" t="e">
        <f>'Acyl PG'!#REF!</f>
        <v>#REF!</v>
      </c>
      <c r="D420" s="39" t="e">
        <f>'Acyl PG'!#REF!</f>
        <v>#REF!</v>
      </c>
      <c r="E420" s="39" t="e">
        <f>'Acyl PG'!#REF!</f>
        <v>#REF!</v>
      </c>
      <c r="F420" s="39" t="e">
        <f>'Acyl PG'!#REF!</f>
        <v>#REF!</v>
      </c>
      <c r="G420" s="39" t="e">
        <f>'Acyl PG'!#REF!</f>
        <v>#REF!</v>
      </c>
      <c r="H420" s="39" t="e">
        <f>'Acyl PG'!#REF!</f>
        <v>#REF!</v>
      </c>
      <c r="I420" s="39" t="e">
        <f>'Acyl PG'!#REF!</f>
        <v>#REF!</v>
      </c>
      <c r="J420" s="39" t="e">
        <f>'Acyl PG'!#REF!</f>
        <v>#REF!</v>
      </c>
      <c r="K420" s="39" t="e">
        <f>'Acyl PG'!#REF!</f>
        <v>#REF!</v>
      </c>
      <c r="L420" s="39" t="e">
        <f>'Acyl PG'!#REF!</f>
        <v>#REF!</v>
      </c>
      <c r="M420" s="39" t="e">
        <f>'Acyl PG'!#REF!</f>
        <v>#REF!</v>
      </c>
      <c r="N420" s="39" t="e">
        <f>'Acyl PG'!#REF!</f>
        <v>#REF!</v>
      </c>
    </row>
    <row r="421" spans="1:14" x14ac:dyDescent="0.25">
      <c r="A421" s="40" t="s">
        <v>681</v>
      </c>
      <c r="B421" s="40" t="e">
        <f>'Acyl PG'!#REF!</f>
        <v>#REF!</v>
      </c>
      <c r="C421" s="39" t="e">
        <f>'Acyl PG'!#REF!</f>
        <v>#REF!</v>
      </c>
      <c r="D421" s="39" t="e">
        <f>'Acyl PG'!#REF!</f>
        <v>#REF!</v>
      </c>
      <c r="E421" s="39" t="e">
        <f>'Acyl PG'!#REF!</f>
        <v>#REF!</v>
      </c>
      <c r="F421" s="39" t="e">
        <f>'Acyl PG'!#REF!</f>
        <v>#REF!</v>
      </c>
      <c r="G421" s="39" t="e">
        <f>'Acyl PG'!#REF!</f>
        <v>#REF!</v>
      </c>
      <c r="H421" s="39" t="e">
        <f>'Acyl PG'!#REF!</f>
        <v>#REF!</v>
      </c>
      <c r="I421" s="39" t="e">
        <f>'Acyl PG'!#REF!</f>
        <v>#REF!</v>
      </c>
      <c r="J421" s="39" t="e">
        <f>'Acyl PG'!#REF!</f>
        <v>#REF!</v>
      </c>
      <c r="K421" s="39" t="e">
        <f>'Acyl PG'!#REF!</f>
        <v>#REF!</v>
      </c>
      <c r="L421" s="39" t="e">
        <f>'Acyl PG'!#REF!</f>
        <v>#REF!</v>
      </c>
      <c r="M421" s="39" t="e">
        <f>'Acyl PG'!#REF!</f>
        <v>#REF!</v>
      </c>
      <c r="N421" s="39" t="e">
        <f>'Acyl PG'!#REF!</f>
        <v>#REF!</v>
      </c>
    </row>
    <row r="422" spans="1:14" x14ac:dyDescent="0.25">
      <c r="A422" s="40" t="s">
        <v>681</v>
      </c>
      <c r="B422" s="40" t="e">
        <f>'Acyl PG'!#REF!</f>
        <v>#REF!</v>
      </c>
      <c r="C422" s="39" t="e">
        <f>'Acyl PG'!#REF!</f>
        <v>#REF!</v>
      </c>
      <c r="D422" s="39" t="e">
        <f>'Acyl PG'!#REF!</f>
        <v>#REF!</v>
      </c>
      <c r="E422" s="39" t="e">
        <f>'Acyl PG'!#REF!</f>
        <v>#REF!</v>
      </c>
      <c r="F422" s="39" t="e">
        <f>'Acyl PG'!#REF!</f>
        <v>#REF!</v>
      </c>
      <c r="G422" s="39" t="e">
        <f>'Acyl PG'!#REF!</f>
        <v>#REF!</v>
      </c>
      <c r="H422" s="39" t="e">
        <f>'Acyl PG'!#REF!</f>
        <v>#REF!</v>
      </c>
      <c r="I422" s="39" t="e">
        <f>'Acyl PG'!#REF!</f>
        <v>#REF!</v>
      </c>
      <c r="J422" s="39" t="e">
        <f>'Acyl PG'!#REF!</f>
        <v>#REF!</v>
      </c>
      <c r="K422" s="39" t="e">
        <f>'Acyl PG'!#REF!</f>
        <v>#REF!</v>
      </c>
      <c r="L422" s="39" t="e">
        <f>'Acyl PG'!#REF!</f>
        <v>#REF!</v>
      </c>
      <c r="M422" s="39" t="e">
        <f>'Acyl PG'!#REF!</f>
        <v>#REF!</v>
      </c>
      <c r="N422" s="39" t="e">
        <f>'Acyl PG'!#REF!</f>
        <v>#REF!</v>
      </c>
    </row>
    <row r="423" spans="1:14" x14ac:dyDescent="0.25">
      <c r="A423" s="40" t="s">
        <v>681</v>
      </c>
      <c r="B423" s="40" t="e">
        <f>'Acyl PG'!#REF!</f>
        <v>#REF!</v>
      </c>
      <c r="C423" s="39" t="e">
        <f>'Acyl PG'!#REF!</f>
        <v>#REF!</v>
      </c>
      <c r="D423" s="39" t="e">
        <f>'Acyl PG'!#REF!</f>
        <v>#REF!</v>
      </c>
      <c r="E423" s="39" t="e">
        <f>'Acyl PG'!#REF!</f>
        <v>#REF!</v>
      </c>
      <c r="F423" s="39" t="e">
        <f>'Acyl PG'!#REF!</f>
        <v>#REF!</v>
      </c>
      <c r="G423" s="39" t="e">
        <f>'Acyl PG'!#REF!</f>
        <v>#REF!</v>
      </c>
      <c r="H423" s="39" t="e">
        <f>'Acyl PG'!#REF!</f>
        <v>#REF!</v>
      </c>
      <c r="I423" s="39" t="e">
        <f>'Acyl PG'!#REF!</f>
        <v>#REF!</v>
      </c>
      <c r="J423" s="39" t="e">
        <f>'Acyl PG'!#REF!</f>
        <v>#REF!</v>
      </c>
      <c r="K423" s="39" t="e">
        <f>'Acyl PG'!#REF!</f>
        <v>#REF!</v>
      </c>
      <c r="L423" s="39" t="e">
        <f>'Acyl PG'!#REF!</f>
        <v>#REF!</v>
      </c>
      <c r="M423" s="39" t="e">
        <f>'Acyl PG'!#REF!</f>
        <v>#REF!</v>
      </c>
      <c r="N423" s="39" t="e">
        <f>'Acyl PG'!#REF!</f>
        <v>#REF!</v>
      </c>
    </row>
    <row r="424" spans="1:14" x14ac:dyDescent="0.25">
      <c r="A424" s="40" t="s">
        <v>681</v>
      </c>
      <c r="B424" s="40" t="e">
        <f>'Acyl PG'!#REF!</f>
        <v>#REF!</v>
      </c>
      <c r="C424" s="39" t="e">
        <f>'Acyl PG'!#REF!</f>
        <v>#REF!</v>
      </c>
      <c r="D424" s="39" t="e">
        <f>'Acyl PG'!#REF!</f>
        <v>#REF!</v>
      </c>
      <c r="E424" s="39" t="e">
        <f>'Acyl PG'!#REF!</f>
        <v>#REF!</v>
      </c>
      <c r="F424" s="39" t="e">
        <f>'Acyl PG'!#REF!</f>
        <v>#REF!</v>
      </c>
      <c r="G424" s="39" t="e">
        <f>'Acyl PG'!#REF!</f>
        <v>#REF!</v>
      </c>
      <c r="H424" s="39" t="e">
        <f>'Acyl PG'!#REF!</f>
        <v>#REF!</v>
      </c>
      <c r="I424" s="39" t="e">
        <f>'Acyl PG'!#REF!</f>
        <v>#REF!</v>
      </c>
      <c r="J424" s="39" t="e">
        <f>'Acyl PG'!#REF!</f>
        <v>#REF!</v>
      </c>
      <c r="K424" s="39" t="e">
        <f>'Acyl PG'!#REF!</f>
        <v>#REF!</v>
      </c>
      <c r="L424" s="39" t="e">
        <f>'Acyl PG'!#REF!</f>
        <v>#REF!</v>
      </c>
      <c r="M424" s="39" t="e">
        <f>'Acyl PG'!#REF!</f>
        <v>#REF!</v>
      </c>
      <c r="N424" s="39" t="e">
        <f>'Acyl PG'!#REF!</f>
        <v>#REF!</v>
      </c>
    </row>
    <row r="425" spans="1:14" x14ac:dyDescent="0.25">
      <c r="A425" s="40" t="s">
        <v>681</v>
      </c>
      <c r="B425" s="40" t="e">
        <f>'Acyl PG'!#REF!</f>
        <v>#REF!</v>
      </c>
      <c r="C425" s="39" t="e">
        <f>'Acyl PG'!#REF!</f>
        <v>#REF!</v>
      </c>
      <c r="D425" s="39" t="e">
        <f>'Acyl PG'!#REF!</f>
        <v>#REF!</v>
      </c>
      <c r="E425" s="39" t="e">
        <f>'Acyl PG'!#REF!</f>
        <v>#REF!</v>
      </c>
      <c r="F425" s="39" t="e">
        <f>'Acyl PG'!#REF!</f>
        <v>#REF!</v>
      </c>
      <c r="G425" s="39" t="e">
        <f>'Acyl PG'!#REF!</f>
        <v>#REF!</v>
      </c>
      <c r="H425" s="39" t="e">
        <f>'Acyl PG'!#REF!</f>
        <v>#REF!</v>
      </c>
      <c r="I425" s="39" t="e">
        <f>'Acyl PG'!#REF!</f>
        <v>#REF!</v>
      </c>
      <c r="J425" s="39" t="e">
        <f>'Acyl PG'!#REF!</f>
        <v>#REF!</v>
      </c>
      <c r="K425" s="39" t="e">
        <f>'Acyl PG'!#REF!</f>
        <v>#REF!</v>
      </c>
      <c r="L425" s="39" t="e">
        <f>'Acyl PG'!#REF!</f>
        <v>#REF!</v>
      </c>
      <c r="M425" s="39" t="e">
        <f>'Acyl PG'!#REF!</f>
        <v>#REF!</v>
      </c>
      <c r="N425" s="39" t="e">
        <f>'Acyl PG'!#REF!</f>
        <v>#REF!</v>
      </c>
    </row>
    <row r="426" spans="1:14" x14ac:dyDescent="0.25">
      <c r="A426" s="40" t="s">
        <v>681</v>
      </c>
      <c r="B426" s="40" t="str">
        <f>'Acyl PG'!$A$19</f>
        <v>AcylPG 52:3</v>
      </c>
      <c r="C426" s="39" t="str">
        <f>'Acyl PG'!$L$19</f>
        <v>C58H107O11P1</v>
      </c>
      <c r="D426" s="39">
        <f>'Acyl PG'!$M$19</f>
        <v>1010.7550602</v>
      </c>
      <c r="E426" s="39">
        <f>'Acyl PG'!$N$19</f>
        <v>1011.7623348000001</v>
      </c>
      <c r="F426" s="39">
        <f>'Acyl PG'!$O$19</f>
        <v>993.75121480000007</v>
      </c>
      <c r="G426" s="39">
        <f>'Acyl PG'!$P$19</f>
        <v>1028.7888802</v>
      </c>
      <c r="H426" s="39">
        <f>'Acyl PG'!$Q$19</f>
        <v>1033.7442802</v>
      </c>
      <c r="I426" s="39">
        <f>'Acyl PG'!$R$19</f>
        <v>1049.7182202000001</v>
      </c>
      <c r="J426" s="39">
        <f>'Acyl PG'!$S$19</f>
        <v>1017.7705202000001</v>
      </c>
      <c r="K426" s="39">
        <f>'Acyl PG'!$T$19</f>
        <v>1009.7477855999999</v>
      </c>
      <c r="L426" s="39" t="e">
        <f>'Acyl PG'!#REF!</f>
        <v>#REF!</v>
      </c>
      <c r="M426" s="39">
        <f>'Acyl PG'!$U$19</f>
        <v>1055.7532802000001</v>
      </c>
      <c r="N426" s="39">
        <f>'Acyl PG'!$V$19</f>
        <v>1069.7689301999999</v>
      </c>
    </row>
    <row r="427" spans="1:14" x14ac:dyDescent="0.25">
      <c r="A427" s="40" t="s">
        <v>681</v>
      </c>
      <c r="B427" s="40" t="str">
        <f>'Acyl PG'!$A$20</f>
        <v>AcylPG 52:2</v>
      </c>
      <c r="C427" s="39" t="str">
        <f>'Acyl PG'!$L$20</f>
        <v>C58H109O11P1</v>
      </c>
      <c r="D427" s="39">
        <f>'Acyl PG'!$M$20</f>
        <v>1012.7707094</v>
      </c>
      <c r="E427" s="39">
        <f>'Acyl PG'!$N$20</f>
        <v>1013.7779840000001</v>
      </c>
      <c r="F427" s="39">
        <f>'Acyl PG'!$O$20</f>
        <v>995.76686400000006</v>
      </c>
      <c r="G427" s="39">
        <f>'Acyl PG'!$P$20</f>
        <v>1030.8045294000001</v>
      </c>
      <c r="H427" s="39">
        <f>'Acyl PG'!$Q$20</f>
        <v>1035.7599293999999</v>
      </c>
      <c r="I427" s="39">
        <f>'Acyl PG'!$R$20</f>
        <v>1051.7338694</v>
      </c>
      <c r="J427" s="39">
        <f>'Acyl PG'!$S$20</f>
        <v>1019.7861694000001</v>
      </c>
      <c r="K427" s="39">
        <f>'Acyl PG'!$T$20</f>
        <v>1011.7634347999999</v>
      </c>
      <c r="L427" s="39" t="e">
        <f>'Acyl PG'!#REF!</f>
        <v>#REF!</v>
      </c>
      <c r="M427" s="39">
        <f>'Acyl PG'!$U$20</f>
        <v>1057.7689293999999</v>
      </c>
      <c r="N427" s="39">
        <f>'Acyl PG'!$V$20</f>
        <v>1071.7845794</v>
      </c>
    </row>
    <row r="428" spans="1:14" x14ac:dyDescent="0.25">
      <c r="A428" s="40" t="s">
        <v>681</v>
      </c>
      <c r="B428" s="40" t="e">
        <f>'Acyl PG'!#REF!</f>
        <v>#REF!</v>
      </c>
      <c r="C428" s="39" t="e">
        <f>'Acyl PG'!#REF!</f>
        <v>#REF!</v>
      </c>
      <c r="D428" s="39" t="e">
        <f>'Acyl PG'!#REF!</f>
        <v>#REF!</v>
      </c>
      <c r="E428" s="39" t="e">
        <f>'Acyl PG'!#REF!</f>
        <v>#REF!</v>
      </c>
      <c r="F428" s="39" t="e">
        <f>'Acyl PG'!#REF!</f>
        <v>#REF!</v>
      </c>
      <c r="G428" s="39" t="e">
        <f>'Acyl PG'!#REF!</f>
        <v>#REF!</v>
      </c>
      <c r="H428" s="39" t="e">
        <f>'Acyl PG'!#REF!</f>
        <v>#REF!</v>
      </c>
      <c r="I428" s="39" t="e">
        <f>'Acyl PG'!#REF!</f>
        <v>#REF!</v>
      </c>
      <c r="J428" s="39" t="e">
        <f>'Acyl PG'!#REF!</f>
        <v>#REF!</v>
      </c>
      <c r="K428" s="39" t="e">
        <f>'Acyl PG'!#REF!</f>
        <v>#REF!</v>
      </c>
      <c r="L428" s="39" t="e">
        <f>'Acyl PG'!#REF!</f>
        <v>#REF!</v>
      </c>
      <c r="M428" s="39" t="e">
        <f>'Acyl PG'!#REF!</f>
        <v>#REF!</v>
      </c>
      <c r="N428" s="39" t="e">
        <f>'Acyl PG'!#REF!</f>
        <v>#REF!</v>
      </c>
    </row>
    <row r="429" spans="1:14" x14ac:dyDescent="0.25">
      <c r="A429" s="40" t="s">
        <v>681</v>
      </c>
      <c r="B429" s="40" t="str">
        <f>'Acyl PG'!$A$4</f>
        <v>AcylPG 45:2</v>
      </c>
      <c r="C429" s="39" t="str">
        <f>'Acyl PG'!$L$4</f>
        <v>C51H95O11P1</v>
      </c>
      <c r="D429" s="39">
        <f>'Acyl PG'!$M$4</f>
        <v>914.66116499999998</v>
      </c>
      <c r="E429" s="39">
        <f>'Acyl PG'!$N$4</f>
        <v>915.66843960000006</v>
      </c>
      <c r="F429" s="39">
        <f>'Acyl PG'!$O$4</f>
        <v>897.65731960000005</v>
      </c>
      <c r="G429" s="39">
        <f>'Acyl PG'!$P$4</f>
        <v>932.69498499999997</v>
      </c>
      <c r="H429" s="39">
        <f>'Acyl PG'!$Q$4</f>
        <v>937.65038500000003</v>
      </c>
      <c r="I429" s="39">
        <f>'Acyl PG'!$R$4</f>
        <v>953.624325</v>
      </c>
      <c r="J429" s="39">
        <f>'Acyl PG'!$S$4</f>
        <v>921.67662500000006</v>
      </c>
      <c r="K429" s="39">
        <f>'Acyl PG'!$T$4</f>
        <v>913.65389039999991</v>
      </c>
      <c r="L429" s="39" t="e">
        <f>'Acyl PG'!#REF!</f>
        <v>#REF!</v>
      </c>
      <c r="M429" s="39">
        <f>'Acyl PG'!$U$4</f>
        <v>959.65938499999993</v>
      </c>
      <c r="N429" s="39">
        <f>'Acyl PG'!$V$4</f>
        <v>973.67503499999998</v>
      </c>
    </row>
    <row r="430" spans="1:14" x14ac:dyDescent="0.25">
      <c r="A430" s="40" t="s">
        <v>681</v>
      </c>
      <c r="B430" s="40" t="str">
        <f>'Acyl PG'!$A$5</f>
        <v>AcylPG 45:1</v>
      </c>
      <c r="C430" s="39" t="str">
        <f>'Acyl PG'!$L$5</f>
        <v>C51H97O11P1</v>
      </c>
      <c r="D430" s="39">
        <f>'Acyl PG'!$M$5</f>
        <v>916.67681419999997</v>
      </c>
      <c r="E430" s="39">
        <f>'Acyl PG'!$N$5</f>
        <v>917.68408880000004</v>
      </c>
      <c r="F430" s="39">
        <f>'Acyl PG'!$O$5</f>
        <v>899.67296880000004</v>
      </c>
      <c r="G430" s="39">
        <f>'Acyl PG'!$P$5</f>
        <v>934.71063419999996</v>
      </c>
      <c r="H430" s="39">
        <f>'Acyl PG'!$Q$5</f>
        <v>939.66603420000001</v>
      </c>
      <c r="I430" s="39">
        <f>'Acyl PG'!$R$5</f>
        <v>955.63997419999998</v>
      </c>
      <c r="J430" s="39">
        <f>'Acyl PG'!$S$5</f>
        <v>923.69227420000004</v>
      </c>
      <c r="K430" s="39">
        <f>'Acyl PG'!$T$5</f>
        <v>915.66953959999989</v>
      </c>
      <c r="L430" s="39" t="e">
        <f>'Acyl PG'!#REF!</f>
        <v>#REF!</v>
      </c>
      <c r="M430" s="39">
        <f>'Acyl PG'!$U$5</f>
        <v>961.67503419999991</v>
      </c>
      <c r="N430" s="39">
        <f>'Acyl PG'!$V$5</f>
        <v>975.69068419999996</v>
      </c>
    </row>
    <row r="431" spans="1:14" x14ac:dyDescent="0.25">
      <c r="A431" s="40" t="s">
        <v>681</v>
      </c>
      <c r="B431" s="40" t="str">
        <f>'Acyl PG'!$A$6</f>
        <v>AcylPG 46:2</v>
      </c>
      <c r="C431" s="39" t="str">
        <f>'Acyl PG'!$L$6</f>
        <v>C52H97O11P1</v>
      </c>
      <c r="D431" s="39">
        <f>'Acyl PG'!$M$6</f>
        <v>928.67681419999997</v>
      </c>
      <c r="E431" s="39">
        <f>'Acyl PG'!$N$6</f>
        <v>929.68408880000004</v>
      </c>
      <c r="F431" s="39">
        <f>'Acyl PG'!$O$6</f>
        <v>911.67296880000004</v>
      </c>
      <c r="G431" s="39">
        <f>'Acyl PG'!$P$6</f>
        <v>946.71063419999996</v>
      </c>
      <c r="H431" s="39">
        <f>'Acyl PG'!$Q$6</f>
        <v>951.66603420000001</v>
      </c>
      <c r="I431" s="39">
        <f>'Acyl PG'!$R$6</f>
        <v>967.63997419999998</v>
      </c>
      <c r="J431" s="39">
        <f>'Acyl PG'!$S$6</f>
        <v>935.69227420000004</v>
      </c>
      <c r="K431" s="39">
        <f>'Acyl PG'!$T$6</f>
        <v>927.66953959999989</v>
      </c>
      <c r="L431" s="39" t="e">
        <f>'Acyl PG'!#REF!</f>
        <v>#REF!</v>
      </c>
      <c r="M431" s="39">
        <f>'Acyl PG'!$U$6</f>
        <v>973.67503419999991</v>
      </c>
      <c r="N431" s="39">
        <f>'Acyl PG'!$V$6</f>
        <v>987.69068419999996</v>
      </c>
    </row>
    <row r="432" spans="1:14" x14ac:dyDescent="0.25">
      <c r="A432" s="40" t="s">
        <v>681</v>
      </c>
      <c r="B432" s="40" t="str">
        <f>'Acyl PG'!$A$7</f>
        <v>AcylPG 46:1</v>
      </c>
      <c r="C432" s="39" t="str">
        <f>'Acyl PG'!$L$7</f>
        <v>C52H99O11P1</v>
      </c>
      <c r="D432" s="39">
        <f>'Acyl PG'!$M$7</f>
        <v>930.69246339999995</v>
      </c>
      <c r="E432" s="39">
        <f>'Acyl PG'!$N$7</f>
        <v>931.69973800000002</v>
      </c>
      <c r="F432" s="39">
        <f>'Acyl PG'!$O$7</f>
        <v>913.68861800000002</v>
      </c>
      <c r="G432" s="39">
        <f>'Acyl PG'!$P$7</f>
        <v>948.72628339999994</v>
      </c>
      <c r="H432" s="39">
        <f>'Acyl PG'!$Q$7</f>
        <v>953.6816834</v>
      </c>
      <c r="I432" s="39">
        <f>'Acyl PG'!$R$7</f>
        <v>969.65562339999997</v>
      </c>
      <c r="J432" s="39">
        <f>'Acyl PG'!$S$7</f>
        <v>937.70792340000003</v>
      </c>
      <c r="K432" s="39">
        <f>'Acyl PG'!$T$7</f>
        <v>929.68518879999988</v>
      </c>
      <c r="L432" s="39" t="e">
        <f>'Acyl PG'!#REF!</f>
        <v>#REF!</v>
      </c>
      <c r="M432" s="39">
        <f>'Acyl PG'!$U$7</f>
        <v>975.6906833999999</v>
      </c>
      <c r="N432" s="39">
        <f>'Acyl PG'!$V$7</f>
        <v>989.70633339999995</v>
      </c>
    </row>
    <row r="433" spans="1:14" x14ac:dyDescent="0.25">
      <c r="A433" s="40" t="s">
        <v>681</v>
      </c>
      <c r="B433" s="40" t="str">
        <f>'Acyl PG'!$A$8</f>
        <v>AcylPG 47:2</v>
      </c>
      <c r="C433" s="39" t="str">
        <f>'Acyl PG'!$L$8</f>
        <v>C53H99O11P1</v>
      </c>
      <c r="D433" s="39">
        <f>'Acyl PG'!$M$8</f>
        <v>942.69246339999995</v>
      </c>
      <c r="E433" s="39">
        <f>'Acyl PG'!$N$8</f>
        <v>943.69973800000002</v>
      </c>
      <c r="F433" s="39">
        <f>'Acyl PG'!$O$8</f>
        <v>925.68861800000002</v>
      </c>
      <c r="G433" s="39">
        <f>'Acyl PG'!$P$8</f>
        <v>960.72628339999994</v>
      </c>
      <c r="H433" s="39">
        <f>'Acyl PG'!$Q$8</f>
        <v>965.6816834</v>
      </c>
      <c r="I433" s="39">
        <f>'Acyl PG'!$R$8</f>
        <v>981.65562339999997</v>
      </c>
      <c r="J433" s="39">
        <f>'Acyl PG'!$S$8</f>
        <v>949.70792340000003</v>
      </c>
      <c r="K433" s="39">
        <f>'Acyl PG'!$T$8</f>
        <v>941.68518879999988</v>
      </c>
      <c r="L433" s="39" t="e">
        <f>'Acyl PG'!#REF!</f>
        <v>#REF!</v>
      </c>
      <c r="M433" s="39">
        <f>'Acyl PG'!$U$8</f>
        <v>987.6906833999999</v>
      </c>
      <c r="N433" s="39">
        <f>'Acyl PG'!$V$8</f>
        <v>1001.7063333999999</v>
      </c>
    </row>
    <row r="434" spans="1:14" x14ac:dyDescent="0.25">
      <c r="A434" s="40" t="s">
        <v>681</v>
      </c>
      <c r="B434" s="40" t="str">
        <f>'Acyl PG'!$A$9</f>
        <v>AcylPG 47:1</v>
      </c>
      <c r="C434" s="39" t="str">
        <f>'Acyl PG'!$L$9</f>
        <v>C53H101O11P1</v>
      </c>
      <c r="D434" s="39">
        <f>'Acyl PG'!$M$9</f>
        <v>944.70811259999994</v>
      </c>
      <c r="E434" s="39">
        <f>'Acyl PG'!$N$9</f>
        <v>945.71538720000001</v>
      </c>
      <c r="F434" s="39">
        <f>'Acyl PG'!$O$9</f>
        <v>927.7042672</v>
      </c>
      <c r="G434" s="39">
        <f>'Acyl PG'!$P$9</f>
        <v>962.74193259999993</v>
      </c>
      <c r="H434" s="39">
        <f>'Acyl PG'!$Q$9</f>
        <v>967.69733259999998</v>
      </c>
      <c r="I434" s="39">
        <f>'Acyl PG'!$R$9</f>
        <v>983.67127259999995</v>
      </c>
      <c r="J434" s="39">
        <f>'Acyl PG'!$S$9</f>
        <v>951.72357260000001</v>
      </c>
      <c r="K434" s="39">
        <f>'Acyl PG'!$T$9</f>
        <v>943.70083799999986</v>
      </c>
      <c r="L434" s="39" t="e">
        <f>'Acyl PG'!#REF!</f>
        <v>#REF!</v>
      </c>
      <c r="M434" s="39">
        <f>'Acyl PG'!$U$9</f>
        <v>989.70633259999988</v>
      </c>
      <c r="N434" s="39">
        <f>'Acyl PG'!$V$9</f>
        <v>1003.7219825999999</v>
      </c>
    </row>
    <row r="435" spans="1:14" x14ac:dyDescent="0.25">
      <c r="A435" s="40" t="s">
        <v>681</v>
      </c>
      <c r="B435" s="40" t="str">
        <f>'Acyl PG'!$A$10</f>
        <v>AcylPG 48:2</v>
      </c>
      <c r="C435" s="39" t="str">
        <f>'Acyl PG'!$L$10</f>
        <v>C54H101O11P1</v>
      </c>
      <c r="D435" s="39">
        <f>'Acyl PG'!$M$10</f>
        <v>956.70811259999994</v>
      </c>
      <c r="E435" s="39">
        <f>'Acyl PG'!$N$10</f>
        <v>957.71538720000001</v>
      </c>
      <c r="F435" s="39">
        <f>'Acyl PG'!$O$10</f>
        <v>939.7042672</v>
      </c>
      <c r="G435" s="39">
        <f>'Acyl PG'!$P$10</f>
        <v>974.74193259999993</v>
      </c>
      <c r="H435" s="39">
        <f>'Acyl PG'!$Q$10</f>
        <v>979.69733259999998</v>
      </c>
      <c r="I435" s="39">
        <f>'Acyl PG'!$R$10</f>
        <v>995.67127259999995</v>
      </c>
      <c r="J435" s="39">
        <f>'Acyl PG'!$S$10</f>
        <v>963.72357260000001</v>
      </c>
      <c r="K435" s="39">
        <f>'Acyl PG'!$T$10</f>
        <v>955.70083799999986</v>
      </c>
      <c r="L435" s="39" t="e">
        <f>'Acyl PG'!#REF!</f>
        <v>#REF!</v>
      </c>
      <c r="M435" s="39">
        <f>'Acyl PG'!$U$10</f>
        <v>1001.7063325999999</v>
      </c>
      <c r="N435" s="39">
        <f>'Acyl PG'!$V$10</f>
        <v>1015.7219825999999</v>
      </c>
    </row>
    <row r="436" spans="1:14" x14ac:dyDescent="0.25">
      <c r="A436" s="40" t="s">
        <v>681</v>
      </c>
      <c r="B436" s="40" t="str">
        <f>'Acyl PG'!$A$11</f>
        <v>AcylPG 48:1</v>
      </c>
      <c r="C436" s="39" t="str">
        <f>'Acyl PG'!$L$11</f>
        <v>C54H103O11P1</v>
      </c>
      <c r="D436" s="39">
        <f>'Acyl PG'!$M$11</f>
        <v>958.72376180000003</v>
      </c>
      <c r="E436" s="39">
        <f>'Acyl PG'!$N$11</f>
        <v>959.73103640000011</v>
      </c>
      <c r="F436" s="39">
        <f>'Acyl PG'!$O$11</f>
        <v>941.7199164000001</v>
      </c>
      <c r="G436" s="39">
        <f>'Acyl PG'!$P$11</f>
        <v>976.75758180000003</v>
      </c>
      <c r="H436" s="39">
        <f>'Acyl PG'!$Q$11</f>
        <v>981.71298180000008</v>
      </c>
      <c r="I436" s="39">
        <f>'Acyl PG'!$R$11</f>
        <v>997.68692180000005</v>
      </c>
      <c r="J436" s="39">
        <f>'Acyl PG'!$S$11</f>
        <v>965.73922180000011</v>
      </c>
      <c r="K436" s="39">
        <f>'Acyl PG'!$T$11</f>
        <v>957.71648719999996</v>
      </c>
      <c r="L436" s="39" t="e">
        <f>'Acyl PG'!#REF!</f>
        <v>#REF!</v>
      </c>
      <c r="M436" s="39">
        <f>'Acyl PG'!$U$11</f>
        <v>1003.7219818</v>
      </c>
      <c r="N436" s="39">
        <f>'Acyl PG'!$V$11</f>
        <v>1017.7376318</v>
      </c>
    </row>
    <row r="437" spans="1:14" x14ac:dyDescent="0.25">
      <c r="A437" s="40" t="s">
        <v>681</v>
      </c>
      <c r="B437" s="40" t="str">
        <f>'Acyl PG'!$A$12</f>
        <v>AcylPG 49:2</v>
      </c>
      <c r="C437" s="39" t="str">
        <f>'Acyl PG'!$L$12</f>
        <v>C55H103O11P1</v>
      </c>
      <c r="D437" s="39">
        <f>'Acyl PG'!$M$12</f>
        <v>970.72376180000003</v>
      </c>
      <c r="E437" s="39">
        <f>'Acyl PG'!$N$12</f>
        <v>971.73103640000011</v>
      </c>
      <c r="F437" s="39">
        <f>'Acyl PG'!$O$12</f>
        <v>953.7199164000001</v>
      </c>
      <c r="G437" s="39">
        <f>'Acyl PG'!$P$12</f>
        <v>988.75758180000003</v>
      </c>
      <c r="H437" s="39">
        <f>'Acyl PG'!$Q$12</f>
        <v>993.71298180000008</v>
      </c>
      <c r="I437" s="39">
        <f>'Acyl PG'!$R$12</f>
        <v>1009.6869218000001</v>
      </c>
      <c r="J437" s="39">
        <f>'Acyl PG'!$S$12</f>
        <v>977.73922180000011</v>
      </c>
      <c r="K437" s="39">
        <f>'Acyl PG'!$T$12</f>
        <v>969.71648719999996</v>
      </c>
      <c r="L437" s="39" t="e">
        <f>'Acyl PG'!#REF!</f>
        <v>#REF!</v>
      </c>
      <c r="M437" s="39">
        <f>'Acyl PG'!$U$12</f>
        <v>1015.7219818</v>
      </c>
      <c r="N437" s="39">
        <f>'Acyl PG'!$V$12</f>
        <v>1029.7376317999999</v>
      </c>
    </row>
    <row r="438" spans="1:14" x14ac:dyDescent="0.25">
      <c r="A438" s="40" t="s">
        <v>681</v>
      </c>
      <c r="B438" s="40" t="str">
        <f>'Acyl PG'!$A$13</f>
        <v>AcylPG 49:1</v>
      </c>
      <c r="C438" s="39" t="str">
        <f>'Acyl PG'!$L$13</f>
        <v>C55H105O11P1</v>
      </c>
      <c r="D438" s="39">
        <f>'Acyl PG'!$M$13</f>
        <v>972.73941100000002</v>
      </c>
      <c r="E438" s="39">
        <f>'Acyl PG'!$N$13</f>
        <v>973.74668560000009</v>
      </c>
      <c r="F438" s="39">
        <f>'Acyl PG'!$O$13</f>
        <v>955.73556560000009</v>
      </c>
      <c r="G438" s="39">
        <f>'Acyl PG'!$P$13</f>
        <v>990.77323100000001</v>
      </c>
      <c r="H438" s="39">
        <f>'Acyl PG'!$Q$13</f>
        <v>995.72863100000006</v>
      </c>
      <c r="I438" s="39">
        <f>'Acyl PG'!$R$13</f>
        <v>1011.702571</v>
      </c>
      <c r="J438" s="39">
        <f>'Acyl PG'!$S$13</f>
        <v>979.75487100000009</v>
      </c>
      <c r="K438" s="39">
        <f>'Acyl PG'!$T$13</f>
        <v>971.73213639999994</v>
      </c>
      <c r="L438" s="39" t="e">
        <f>'Acyl PG'!#REF!</f>
        <v>#REF!</v>
      </c>
      <c r="M438" s="39">
        <f>'Acyl PG'!$U$13</f>
        <v>1017.737631</v>
      </c>
      <c r="N438" s="39">
        <f>'Acyl PG'!$V$13</f>
        <v>1031.753281</v>
      </c>
    </row>
    <row r="439" spans="1:14" x14ac:dyDescent="0.25">
      <c r="A439" s="40" t="s">
        <v>681</v>
      </c>
      <c r="B439" s="40" t="str">
        <f>'Acyl PG'!$A$14</f>
        <v>AcylPG 50:2</v>
      </c>
      <c r="C439" s="39" t="str">
        <f>'Acyl PG'!$L$14</f>
        <v>C56H105O11P1</v>
      </c>
      <c r="D439" s="39">
        <f>'Acyl PG'!$M$14</f>
        <v>984.73941100000002</v>
      </c>
      <c r="E439" s="39">
        <f>'Acyl PG'!$N$14</f>
        <v>985.74668560000009</v>
      </c>
      <c r="F439" s="39">
        <f>'Acyl PG'!$O$14</f>
        <v>967.73556560000009</v>
      </c>
      <c r="G439" s="39">
        <f>'Acyl PG'!$P$14</f>
        <v>1002.773231</v>
      </c>
      <c r="H439" s="39">
        <f>'Acyl PG'!$Q$14</f>
        <v>1007.7286310000001</v>
      </c>
      <c r="I439" s="39">
        <f>'Acyl PG'!$R$14</f>
        <v>1023.702571</v>
      </c>
      <c r="J439" s="39">
        <f>'Acyl PG'!$S$14</f>
        <v>991.75487100000009</v>
      </c>
      <c r="K439" s="39">
        <f>'Acyl PG'!$T$14</f>
        <v>983.73213639999994</v>
      </c>
      <c r="L439" s="39" t="e">
        <f>'Acyl PG'!#REF!</f>
        <v>#REF!</v>
      </c>
      <c r="M439" s="39">
        <f>'Acyl PG'!$U$14</f>
        <v>1029.737631</v>
      </c>
      <c r="N439" s="39">
        <f>'Acyl PG'!$V$14</f>
        <v>1043.753281</v>
      </c>
    </row>
    <row r="440" spans="1:14" x14ac:dyDescent="0.25">
      <c r="A440" s="40" t="s">
        <v>681</v>
      </c>
      <c r="B440" s="40" t="str">
        <f>'Acyl PG'!$A$15</f>
        <v>AcylPG 50:1</v>
      </c>
      <c r="C440" s="39" t="str">
        <f>'Acyl PG'!$L$15</f>
        <v>C56H107O11P1</v>
      </c>
      <c r="D440" s="39">
        <f>'Acyl PG'!$M$15</f>
        <v>986.7550602</v>
      </c>
      <c r="E440" s="39">
        <f>'Acyl PG'!$N$15</f>
        <v>987.76233480000008</v>
      </c>
      <c r="F440" s="39">
        <f>'Acyl PG'!$O$15</f>
        <v>969.75121480000007</v>
      </c>
      <c r="G440" s="39">
        <f>'Acyl PG'!$P$15</f>
        <v>1004.7888802</v>
      </c>
      <c r="H440" s="39">
        <f>'Acyl PG'!$Q$15</f>
        <v>1009.7442802</v>
      </c>
      <c r="I440" s="39">
        <f>'Acyl PG'!$R$15</f>
        <v>1025.7182202000001</v>
      </c>
      <c r="J440" s="39">
        <f>'Acyl PG'!$S$15</f>
        <v>993.77052020000008</v>
      </c>
      <c r="K440" s="39">
        <f>'Acyl PG'!$T$15</f>
        <v>985.74778559999993</v>
      </c>
      <c r="L440" s="39" t="e">
        <f>'Acyl PG'!#REF!</f>
        <v>#REF!</v>
      </c>
      <c r="M440" s="39">
        <f>'Acyl PG'!$U$15</f>
        <v>1031.7532802000001</v>
      </c>
      <c r="N440" s="39">
        <f>'Acyl PG'!$V$15</f>
        <v>1045.7689301999999</v>
      </c>
    </row>
    <row r="441" spans="1:14" x14ac:dyDescent="0.25">
      <c r="A441" s="40" t="s">
        <v>681</v>
      </c>
      <c r="B441" s="40" t="str">
        <f>'Acyl PG'!$A$16</f>
        <v>AcylPG 51:3</v>
      </c>
      <c r="C441" s="39" t="str">
        <f>'Acyl PG'!$L$16</f>
        <v>C57H105O11P1</v>
      </c>
      <c r="D441" s="39">
        <f>'Acyl PG'!$M$16</f>
        <v>996.73941100000002</v>
      </c>
      <c r="E441" s="39">
        <f>'Acyl PG'!$N$16</f>
        <v>997.74668560000009</v>
      </c>
      <c r="F441" s="39">
        <f>'Acyl PG'!$O$16</f>
        <v>979.73556560000009</v>
      </c>
      <c r="G441" s="39">
        <f>'Acyl PG'!$P$16</f>
        <v>1014.773231</v>
      </c>
      <c r="H441" s="39">
        <f>'Acyl PG'!$Q$16</f>
        <v>1019.7286310000001</v>
      </c>
      <c r="I441" s="39">
        <f>'Acyl PG'!$R$16</f>
        <v>1035.702571</v>
      </c>
      <c r="J441" s="39">
        <f>'Acyl PG'!$S$16</f>
        <v>1003.7548710000001</v>
      </c>
      <c r="K441" s="39">
        <f>'Acyl PG'!$T$16</f>
        <v>995.73213639999994</v>
      </c>
      <c r="L441" s="39" t="e">
        <f>'Acyl PG'!#REF!</f>
        <v>#REF!</v>
      </c>
      <c r="M441" s="39">
        <f>'Acyl PG'!$U$16</f>
        <v>1041.737631</v>
      </c>
      <c r="N441" s="39">
        <f>'Acyl PG'!$V$16</f>
        <v>1055.753281</v>
      </c>
    </row>
    <row r="442" spans="1:14" x14ac:dyDescent="0.25">
      <c r="A442" s="40" t="s">
        <v>681</v>
      </c>
      <c r="B442" s="40" t="str">
        <f>'Acyl PG'!$A$17</f>
        <v>AcylPG 51:2</v>
      </c>
      <c r="C442" s="39" t="str">
        <f>'Acyl PG'!$L$17</f>
        <v>C57H107O11P1</v>
      </c>
      <c r="D442" s="39">
        <f>'Acyl PG'!$M$17</f>
        <v>998.7550602</v>
      </c>
      <c r="E442" s="39">
        <f>'Acyl PG'!$N$17</f>
        <v>999.76233480000008</v>
      </c>
      <c r="F442" s="39">
        <f>'Acyl PG'!$O$17</f>
        <v>981.75121480000007</v>
      </c>
      <c r="G442" s="39">
        <f>'Acyl PG'!$P$17</f>
        <v>1016.7888802</v>
      </c>
      <c r="H442" s="39">
        <f>'Acyl PG'!$Q$17</f>
        <v>1021.7442802</v>
      </c>
      <c r="I442" s="39">
        <f>'Acyl PG'!$R$17</f>
        <v>1037.7182202000001</v>
      </c>
      <c r="J442" s="39">
        <f>'Acyl PG'!$S$17</f>
        <v>1005.7705202000001</v>
      </c>
      <c r="K442" s="39">
        <f>'Acyl PG'!$T$17</f>
        <v>997.74778559999993</v>
      </c>
      <c r="L442" s="39" t="e">
        <f>'Acyl PG'!#REF!</f>
        <v>#REF!</v>
      </c>
      <c r="M442" s="39">
        <f>'Acyl PG'!$U$17</f>
        <v>1043.7532802000001</v>
      </c>
      <c r="N442" s="39">
        <f>'Acyl PG'!$V$17</f>
        <v>1057.7689301999999</v>
      </c>
    </row>
    <row r="443" spans="1:14" x14ac:dyDescent="0.25">
      <c r="A443" s="40" t="s">
        <v>681</v>
      </c>
      <c r="B443" s="40" t="str">
        <f>'Acyl PG'!$A$18</f>
        <v>AcylPG 51:1</v>
      </c>
      <c r="C443" s="39" t="str">
        <f>'Acyl PG'!$L$18</f>
        <v>C57H109O11P1</v>
      </c>
      <c r="D443" s="39">
        <f>'Acyl PG'!$M$18</f>
        <v>1000.7707094</v>
      </c>
      <c r="E443" s="39">
        <f>'Acyl PG'!$N$18</f>
        <v>1001.7779840000001</v>
      </c>
      <c r="F443" s="39">
        <f>'Acyl PG'!$O$18</f>
        <v>983.76686400000006</v>
      </c>
      <c r="G443" s="39">
        <f>'Acyl PG'!$P$18</f>
        <v>1018.8045294</v>
      </c>
      <c r="H443" s="39">
        <f>'Acyl PG'!$Q$18</f>
        <v>1023.7599294</v>
      </c>
      <c r="I443" s="39">
        <f>'Acyl PG'!$R$18</f>
        <v>1039.7338694</v>
      </c>
      <c r="J443" s="39">
        <f>'Acyl PG'!$S$18</f>
        <v>1007.7861694000001</v>
      </c>
      <c r="K443" s="39">
        <f>'Acyl PG'!$T$18</f>
        <v>999.76343479999991</v>
      </c>
      <c r="L443" s="39" t="e">
        <f>'Acyl PG'!#REF!</f>
        <v>#REF!</v>
      </c>
      <c r="M443" s="39">
        <f>'Acyl PG'!$U$18</f>
        <v>1045.7689293999999</v>
      </c>
      <c r="N443" s="39">
        <f>'Acyl PG'!$V$18</f>
        <v>1059.7845794</v>
      </c>
    </row>
    <row r="444" spans="1:14" x14ac:dyDescent="0.25">
      <c r="A444" s="40" t="s">
        <v>682</v>
      </c>
      <c r="B444" s="40">
        <f>'Acyl PE'!$A$3</f>
        <v>0</v>
      </c>
      <c r="C444" s="39">
        <f>'Acyl PE'!$L$3</f>
        <v>0</v>
      </c>
      <c r="D444" s="39">
        <f>'Acyl PE'!$M$3</f>
        <v>0</v>
      </c>
      <c r="E444" s="39">
        <f>'Acyl PE'!$N$3</f>
        <v>0</v>
      </c>
      <c r="F444" s="39">
        <f>'Acyl PE'!$O$3</f>
        <v>0</v>
      </c>
      <c r="G444" s="39">
        <f>'Acyl PE'!$P$3</f>
        <v>0</v>
      </c>
      <c r="H444" s="39">
        <f>'Acyl PE'!$Q$3</f>
        <v>0</v>
      </c>
      <c r="I444" s="39">
        <f>'Acyl PE'!$R$3</f>
        <v>0</v>
      </c>
      <c r="J444" s="39">
        <f>'Acyl PE'!$S$3</f>
        <v>0</v>
      </c>
      <c r="K444" s="39">
        <f>'Acyl PE'!$T$3</f>
        <v>0</v>
      </c>
      <c r="L444" s="39">
        <f>'Acyl PE'!$U$3</f>
        <v>0</v>
      </c>
      <c r="M444" s="39">
        <f>'Acyl PE'!$V$3</f>
        <v>0</v>
      </c>
    </row>
    <row r="445" spans="1:14" x14ac:dyDescent="0.25">
      <c r="A445" s="40" t="s">
        <v>682</v>
      </c>
      <c r="B445" s="40" t="str">
        <f>'Acyl PE'!$A$4</f>
        <v>AcylPE 45:2</v>
      </c>
      <c r="C445" s="39" t="str">
        <f>'Acyl PE'!$L$4</f>
        <v>C50H94N1O9P1</v>
      </c>
      <c r="D445" s="39">
        <f>'Acyl PE'!$M$4</f>
        <v>883.66658439999992</v>
      </c>
      <c r="E445" s="39">
        <f>'Acyl PE'!$N$4</f>
        <v>884.67385899999999</v>
      </c>
      <c r="F445" s="39">
        <f>'Acyl PE'!$O$4</f>
        <v>866.66273899999999</v>
      </c>
      <c r="G445" s="39">
        <f>'Acyl PE'!$P$4</f>
        <v>901.70040439999991</v>
      </c>
      <c r="H445" s="39">
        <f>'Acyl PE'!$Q$4</f>
        <v>906.65580439999997</v>
      </c>
      <c r="I445" s="39">
        <f>'Acyl PE'!$R$4</f>
        <v>922.62974439999994</v>
      </c>
      <c r="J445" s="39">
        <f>'Acyl PE'!$S$4</f>
        <v>890.6820444</v>
      </c>
      <c r="K445" s="39">
        <f>'Acyl PE'!$T$4</f>
        <v>882.65930979999985</v>
      </c>
      <c r="L445" s="39">
        <f>'Acyl PE'!$U$4</f>
        <v>928.66480439999987</v>
      </c>
      <c r="M445" s="39">
        <f>'Acyl PE'!$V$4</f>
        <v>942.68045439999992</v>
      </c>
    </row>
    <row r="446" spans="1:14" x14ac:dyDescent="0.25">
      <c r="A446" s="40" t="s">
        <v>682</v>
      </c>
      <c r="B446" s="40" t="str">
        <f>'Acyl PE'!$A$5</f>
        <v>AcylPE 45:1</v>
      </c>
      <c r="C446" s="39" t="str">
        <f>'Acyl PE'!$L$5</f>
        <v>C50H96N1O9P1</v>
      </c>
      <c r="D446" s="39">
        <f>'Acyl PE'!$M$5</f>
        <v>885.6822335999999</v>
      </c>
      <c r="E446" s="39">
        <f>'Acyl PE'!$N$5</f>
        <v>886.68950819999998</v>
      </c>
      <c r="F446" s="39">
        <f>'Acyl PE'!$O$5</f>
        <v>868.67838819999997</v>
      </c>
      <c r="G446" s="39">
        <f>'Acyl PE'!$P$5</f>
        <v>903.7160535999999</v>
      </c>
      <c r="H446" s="39">
        <f>'Acyl PE'!$Q$5</f>
        <v>908.67145359999995</v>
      </c>
      <c r="I446" s="39">
        <f>'Acyl PE'!$R$5</f>
        <v>924.64539359999992</v>
      </c>
      <c r="J446" s="39">
        <f>'Acyl PE'!$S$5</f>
        <v>892.69769359999998</v>
      </c>
      <c r="K446" s="39">
        <f>'Acyl PE'!$T$5</f>
        <v>884.67495899999983</v>
      </c>
      <c r="L446" s="39">
        <f>'Acyl PE'!$U$5</f>
        <v>930.68045359999985</v>
      </c>
      <c r="M446" s="39">
        <f>'Acyl PE'!$V$5</f>
        <v>944.6961035999999</v>
      </c>
    </row>
    <row r="447" spans="1:14" x14ac:dyDescent="0.25">
      <c r="A447" s="40" t="s">
        <v>682</v>
      </c>
      <c r="B447" s="40" t="str">
        <f>'Acyl PE'!$A$6</f>
        <v>AcylPE 46:2</v>
      </c>
      <c r="C447" s="39" t="str">
        <f>'Acyl PE'!$L$6</f>
        <v>C51H96N1O9P1</v>
      </c>
      <c r="D447" s="39">
        <f>'Acyl PE'!$M$6</f>
        <v>897.6822335999999</v>
      </c>
      <c r="E447" s="39">
        <f>'Acyl PE'!$N$6</f>
        <v>898.68950819999998</v>
      </c>
      <c r="F447" s="39">
        <f>'Acyl PE'!$O$6</f>
        <v>880.67838819999997</v>
      </c>
      <c r="G447" s="39">
        <f>'Acyl PE'!$P$6</f>
        <v>915.7160535999999</v>
      </c>
      <c r="H447" s="39">
        <f>'Acyl PE'!$Q$6</f>
        <v>920.67145359999995</v>
      </c>
      <c r="I447" s="39">
        <f>'Acyl PE'!$R$6</f>
        <v>936.64539359999992</v>
      </c>
      <c r="J447" s="39">
        <f>'Acyl PE'!$S$6</f>
        <v>904.69769359999998</v>
      </c>
      <c r="K447" s="39">
        <f>'Acyl PE'!$T$6</f>
        <v>896.67495899999983</v>
      </c>
      <c r="L447" s="39">
        <f>'Acyl PE'!$U$6</f>
        <v>942.68045359999985</v>
      </c>
      <c r="M447" s="39">
        <f>'Acyl PE'!$V$6</f>
        <v>956.6961035999999</v>
      </c>
    </row>
    <row r="448" spans="1:14" x14ac:dyDescent="0.25">
      <c r="A448" s="40" t="s">
        <v>682</v>
      </c>
      <c r="B448" s="40" t="str">
        <f>'Acyl PE'!$A$7</f>
        <v>AcylPE 46:1</v>
      </c>
      <c r="C448" s="39" t="str">
        <f>'Acyl PE'!$L$7</f>
        <v>C51H98N1O9P1</v>
      </c>
      <c r="D448" s="39">
        <f>'Acyl PE'!$M$7</f>
        <v>899.6978828</v>
      </c>
      <c r="E448" s="39">
        <f>'Acyl PE'!$N$7</f>
        <v>900.70515740000008</v>
      </c>
      <c r="F448" s="39">
        <f>'Acyl PE'!$O$7</f>
        <v>882.69403740000007</v>
      </c>
      <c r="G448" s="39">
        <f>'Acyl PE'!$P$7</f>
        <v>917.73170279999999</v>
      </c>
      <c r="H448" s="39">
        <f>'Acyl PE'!$Q$7</f>
        <v>922.68710280000005</v>
      </c>
      <c r="I448" s="39">
        <f>'Acyl PE'!$R$7</f>
        <v>938.66104280000002</v>
      </c>
      <c r="J448" s="39">
        <f>'Acyl PE'!$S$7</f>
        <v>906.71334280000008</v>
      </c>
      <c r="K448" s="39">
        <f>'Acyl PE'!$T$7</f>
        <v>898.69060819999993</v>
      </c>
      <c r="L448" s="39">
        <f>'Acyl PE'!$U$7</f>
        <v>944.69610279999995</v>
      </c>
      <c r="M448" s="39">
        <f>'Acyl PE'!$V$7</f>
        <v>958.7117528</v>
      </c>
    </row>
    <row r="449" spans="1:13" x14ac:dyDescent="0.25">
      <c r="A449" s="40" t="s">
        <v>682</v>
      </c>
      <c r="B449" s="40" t="str">
        <f>'Acyl PE'!$A$8</f>
        <v>AcylPE 47:2</v>
      </c>
      <c r="C449" s="39" t="str">
        <f>'Acyl PE'!$L$8</f>
        <v>C52H98N1O9P1</v>
      </c>
      <c r="D449" s="39">
        <f>'Acyl PE'!$M$8</f>
        <v>911.6978828</v>
      </c>
      <c r="E449" s="39">
        <f>'Acyl PE'!$N$8</f>
        <v>912.70515740000008</v>
      </c>
      <c r="F449" s="39">
        <f>'Acyl PE'!$O$8</f>
        <v>894.69403740000007</v>
      </c>
      <c r="G449" s="39">
        <f>'Acyl PE'!$P$8</f>
        <v>929.73170279999999</v>
      </c>
      <c r="H449" s="39">
        <f>'Acyl PE'!$Q$8</f>
        <v>934.68710280000005</v>
      </c>
      <c r="I449" s="39">
        <f>'Acyl PE'!$R$8</f>
        <v>950.66104280000002</v>
      </c>
      <c r="J449" s="39">
        <f>'Acyl PE'!$S$8</f>
        <v>918.71334280000008</v>
      </c>
      <c r="K449" s="39">
        <f>'Acyl PE'!$T$8</f>
        <v>910.69060819999993</v>
      </c>
      <c r="L449" s="39">
        <f>'Acyl PE'!$U$8</f>
        <v>956.69610279999995</v>
      </c>
      <c r="M449" s="39">
        <f>'Acyl PE'!$V$8</f>
        <v>970.7117528</v>
      </c>
    </row>
    <row r="450" spans="1:13" x14ac:dyDescent="0.25">
      <c r="A450" s="40" t="s">
        <v>682</v>
      </c>
      <c r="B450" s="40" t="str">
        <f>'Acyl PE'!$A$9</f>
        <v>AcylPE 47:1</v>
      </c>
      <c r="C450" s="39" t="str">
        <f>'Acyl PE'!$L$9</f>
        <v>C52H100N1O9P1</v>
      </c>
      <c r="D450" s="39">
        <f>'Acyl PE'!$M$9</f>
        <v>913.71353199999999</v>
      </c>
      <c r="E450" s="39">
        <f>'Acyl PE'!$N$9</f>
        <v>914.72080660000006</v>
      </c>
      <c r="F450" s="39">
        <f>'Acyl PE'!$O$9</f>
        <v>896.70968660000005</v>
      </c>
      <c r="G450" s="39">
        <f>'Acyl PE'!$P$9</f>
        <v>931.74735199999998</v>
      </c>
      <c r="H450" s="39">
        <f>'Acyl PE'!$Q$9</f>
        <v>936.70275200000003</v>
      </c>
      <c r="I450" s="39">
        <f>'Acyl PE'!$R$9</f>
        <v>952.676692</v>
      </c>
      <c r="J450" s="39">
        <f>'Acyl PE'!$S$9</f>
        <v>920.72899200000006</v>
      </c>
      <c r="K450" s="39">
        <f>'Acyl PE'!$T$9</f>
        <v>912.70625739999991</v>
      </c>
      <c r="L450" s="39">
        <f>'Acyl PE'!$U$9</f>
        <v>958.71175199999993</v>
      </c>
      <c r="M450" s="39">
        <f>'Acyl PE'!$V$9</f>
        <v>972.72740199999998</v>
      </c>
    </row>
    <row r="451" spans="1:13" x14ac:dyDescent="0.25">
      <c r="A451" s="40" t="s">
        <v>682</v>
      </c>
      <c r="B451" s="40" t="str">
        <f>'Acyl PE'!$A$10</f>
        <v>AcylPE 48:2</v>
      </c>
      <c r="C451" s="39" t="str">
        <f>'Acyl PE'!$L$10</f>
        <v>C53H100N1O9P1</v>
      </c>
      <c r="D451" s="39">
        <f>'Acyl PE'!$M$10</f>
        <v>925.71353199999999</v>
      </c>
      <c r="E451" s="39">
        <f>'Acyl PE'!$N$10</f>
        <v>926.72080660000006</v>
      </c>
      <c r="F451" s="39">
        <f>'Acyl PE'!$O$10</f>
        <v>908.70968660000005</v>
      </c>
      <c r="G451" s="39">
        <f>'Acyl PE'!$P$10</f>
        <v>943.74735199999998</v>
      </c>
      <c r="H451" s="39">
        <f>'Acyl PE'!$Q$10</f>
        <v>948.70275200000003</v>
      </c>
      <c r="I451" s="39">
        <f>'Acyl PE'!$R$10</f>
        <v>964.676692</v>
      </c>
      <c r="J451" s="39">
        <f>'Acyl PE'!$S$10</f>
        <v>932.72899200000006</v>
      </c>
      <c r="K451" s="39">
        <f>'Acyl PE'!$T$10</f>
        <v>924.70625739999991</v>
      </c>
      <c r="L451" s="39">
        <f>'Acyl PE'!$U$10</f>
        <v>970.71175199999993</v>
      </c>
      <c r="M451" s="39">
        <f>'Acyl PE'!$V$10</f>
        <v>984.72740199999998</v>
      </c>
    </row>
    <row r="452" spans="1:13" x14ac:dyDescent="0.25">
      <c r="A452" s="40" t="s">
        <v>682</v>
      </c>
      <c r="B452" s="40" t="str">
        <f>'Acyl PE'!$A$11</f>
        <v>AcylPE 48:1</v>
      </c>
      <c r="C452" s="39" t="str">
        <f>'Acyl PE'!$L$11</f>
        <v>C53H102N1O9P1</v>
      </c>
      <c r="D452" s="39">
        <f>'Acyl PE'!$M$11</f>
        <v>927.72918119999997</v>
      </c>
      <c r="E452" s="39">
        <f>'Acyl PE'!$N$11</f>
        <v>928.73645580000004</v>
      </c>
      <c r="F452" s="39">
        <f>'Acyl PE'!$O$11</f>
        <v>910.72533580000004</v>
      </c>
      <c r="G452" s="39">
        <f>'Acyl PE'!$P$11</f>
        <v>945.76300119999996</v>
      </c>
      <c r="H452" s="39">
        <f>'Acyl PE'!$Q$11</f>
        <v>950.71840120000002</v>
      </c>
      <c r="I452" s="39">
        <f>'Acyl PE'!$R$11</f>
        <v>966.69234119999999</v>
      </c>
      <c r="J452" s="39">
        <f>'Acyl PE'!$S$11</f>
        <v>934.74464120000005</v>
      </c>
      <c r="K452" s="39">
        <f>'Acyl PE'!$T$11</f>
        <v>926.7219065999999</v>
      </c>
      <c r="L452" s="39">
        <f>'Acyl PE'!$U$11</f>
        <v>972.72740119999992</v>
      </c>
      <c r="M452" s="39">
        <f>'Acyl PE'!$V$11</f>
        <v>986.74305119999997</v>
      </c>
    </row>
    <row r="453" spans="1:13" x14ac:dyDescent="0.25">
      <c r="A453" s="40" t="s">
        <v>682</v>
      </c>
      <c r="B453" s="40" t="str">
        <f>'Acyl PE'!$A$12</f>
        <v>AcylPE 49:2</v>
      </c>
      <c r="C453" s="39" t="str">
        <f>'Acyl PE'!$L$12</f>
        <v>C54H102N1O9P1</v>
      </c>
      <c r="D453" s="39">
        <f>'Acyl PE'!$M$12</f>
        <v>939.72918119999997</v>
      </c>
      <c r="E453" s="39">
        <f>'Acyl PE'!$N$12</f>
        <v>940.73645580000004</v>
      </c>
      <c r="F453" s="39">
        <f>'Acyl PE'!$O$12</f>
        <v>922.72533580000004</v>
      </c>
      <c r="G453" s="39">
        <f>'Acyl PE'!$P$12</f>
        <v>957.76300119999996</v>
      </c>
      <c r="H453" s="39">
        <f>'Acyl PE'!$Q$12</f>
        <v>962.71840120000002</v>
      </c>
      <c r="I453" s="39">
        <f>'Acyl PE'!$R$12</f>
        <v>978.69234119999999</v>
      </c>
      <c r="J453" s="39">
        <f>'Acyl PE'!$S$12</f>
        <v>946.74464120000005</v>
      </c>
      <c r="K453" s="39">
        <f>'Acyl PE'!$T$12</f>
        <v>938.7219065999999</v>
      </c>
      <c r="L453" s="39">
        <f>'Acyl PE'!$U$12</f>
        <v>984.72740119999992</v>
      </c>
      <c r="M453" s="39">
        <f>'Acyl PE'!$V$12</f>
        <v>998.74305119999997</v>
      </c>
    </row>
    <row r="454" spans="1:13" x14ac:dyDescent="0.25">
      <c r="A454" s="40" t="s">
        <v>682</v>
      </c>
      <c r="B454" s="40" t="str">
        <f>'Acyl PE'!$A$13</f>
        <v>AcylPE 49:1</v>
      </c>
      <c r="C454" s="39" t="str">
        <f>'Acyl PE'!$L$13</f>
        <v>C54H104N1O9P1</v>
      </c>
      <c r="D454" s="39">
        <f>'Acyl PE'!$M$13</f>
        <v>941.74483039999996</v>
      </c>
      <c r="E454" s="39">
        <f>'Acyl PE'!$N$13</f>
        <v>942.75210500000003</v>
      </c>
      <c r="F454" s="39">
        <f>'Acyl PE'!$O$13</f>
        <v>924.74098500000002</v>
      </c>
      <c r="G454" s="39">
        <f>'Acyl PE'!$P$13</f>
        <v>959.77865039999995</v>
      </c>
      <c r="H454" s="39">
        <f>'Acyl PE'!$Q$13</f>
        <v>964.7340504</v>
      </c>
      <c r="I454" s="39">
        <f>'Acyl PE'!$R$13</f>
        <v>980.70799039999997</v>
      </c>
      <c r="J454" s="39">
        <f>'Acyl PE'!$S$13</f>
        <v>948.76029040000003</v>
      </c>
      <c r="K454" s="39">
        <f>'Acyl PE'!$T$13</f>
        <v>940.73755579999988</v>
      </c>
      <c r="L454" s="39">
        <f>'Acyl PE'!$U$13</f>
        <v>986.7430503999999</v>
      </c>
      <c r="M454" s="39">
        <f>'Acyl PE'!$V$13</f>
        <v>1000.7587004</v>
      </c>
    </row>
    <row r="455" spans="1:13" x14ac:dyDescent="0.25">
      <c r="A455" s="40" t="s">
        <v>682</v>
      </c>
      <c r="B455" s="40" t="str">
        <f>'Acyl PE'!$A$14</f>
        <v>AcylPE 50:2</v>
      </c>
      <c r="C455" s="39" t="str">
        <f>'Acyl PE'!$L$14</f>
        <v>C55H104N1O9P1</v>
      </c>
      <c r="D455" s="39">
        <f>'Acyl PE'!$M$14</f>
        <v>953.74483039999996</v>
      </c>
      <c r="E455" s="39">
        <f>'Acyl PE'!$N$14</f>
        <v>954.75210500000003</v>
      </c>
      <c r="F455" s="39">
        <f>'Acyl PE'!$O$14</f>
        <v>936.74098500000002</v>
      </c>
      <c r="G455" s="39">
        <f>'Acyl PE'!$P$14</f>
        <v>971.77865039999995</v>
      </c>
      <c r="H455" s="39">
        <f>'Acyl PE'!$Q$14</f>
        <v>976.7340504</v>
      </c>
      <c r="I455" s="39">
        <f>'Acyl PE'!$R$14</f>
        <v>992.70799039999997</v>
      </c>
      <c r="J455" s="39">
        <f>'Acyl PE'!$S$14</f>
        <v>960.76029040000003</v>
      </c>
      <c r="K455" s="39">
        <f>'Acyl PE'!$T$14</f>
        <v>952.73755579999988</v>
      </c>
      <c r="L455" s="39">
        <f>'Acyl PE'!$U$14</f>
        <v>998.7430503999999</v>
      </c>
      <c r="M455" s="39">
        <f>'Acyl PE'!$V$14</f>
        <v>1012.7587004</v>
      </c>
    </row>
    <row r="456" spans="1:13" x14ac:dyDescent="0.25">
      <c r="A456" s="40" t="s">
        <v>48</v>
      </c>
      <c r="B456" s="40" t="str">
        <f>PE!$A$3</f>
        <v>PE(18:0/18:2)__CHO__</v>
      </c>
      <c r="C456" s="39" t="str">
        <f>PE!$L$3</f>
        <v>C41H76N1O9P1</v>
      </c>
      <c r="D456" s="39">
        <f>PE!$M$3</f>
        <v>757.52574159999995</v>
      </c>
      <c r="E456" s="39">
        <f>PE!$N$3</f>
        <v>758.53301620000002</v>
      </c>
      <c r="F456" s="39">
        <f>PE!$O$3</f>
        <v>740.52189620000001</v>
      </c>
      <c r="G456" s="39">
        <f>PE!$P$3</f>
        <v>775.55956159999994</v>
      </c>
      <c r="H456" s="39">
        <f>PE!$Q$3</f>
        <v>780.51496159999999</v>
      </c>
      <c r="I456" s="39">
        <f>PE!$R$3</f>
        <v>796.48890159999996</v>
      </c>
      <c r="J456" s="39">
        <f>PE!$S$3</f>
        <v>764.54120160000002</v>
      </c>
      <c r="K456" s="39">
        <f>PE!$T$3</f>
        <v>756.51846699999987</v>
      </c>
      <c r="L456" s="39">
        <f>PE!$U$3</f>
        <v>802.52396159999989</v>
      </c>
      <c r="M456" s="39">
        <f>PE!$V$3</f>
        <v>816.53961159999994</v>
      </c>
    </row>
    <row r="457" spans="1:13" x14ac:dyDescent="0.25">
      <c r="A457" s="40" t="s">
        <v>48</v>
      </c>
      <c r="B457" s="40" t="str">
        <f>PE!$A$4</f>
        <v>PE(16:0_18:1)</v>
      </c>
      <c r="C457" s="39" t="str">
        <f>PE!$L$4</f>
        <v>C39H76N1O8P1</v>
      </c>
      <c r="D457" s="39">
        <f>PE!$M$4</f>
        <v>717.53082659999995</v>
      </c>
      <c r="E457" s="39">
        <f>PE!$N$4</f>
        <v>718.53810120000003</v>
      </c>
      <c r="F457" s="39">
        <f>PE!$O$4</f>
        <v>700.52698120000002</v>
      </c>
      <c r="G457" s="39">
        <f>PE!$P$4</f>
        <v>735.56464659999995</v>
      </c>
      <c r="H457" s="39">
        <f>PE!$Q$4</f>
        <v>740.5200466</v>
      </c>
      <c r="I457" s="39">
        <f>PE!$R$4</f>
        <v>756.49398659999997</v>
      </c>
      <c r="J457" s="39">
        <f>PE!$S$4</f>
        <v>724.54628660000003</v>
      </c>
      <c r="K457" s="39">
        <f>PE!$T$4</f>
        <v>716.52355199999988</v>
      </c>
      <c r="L457" s="39">
        <f>PE!$U$4</f>
        <v>762.5290465999999</v>
      </c>
      <c r="M457" s="39">
        <f>PE!$V$4</f>
        <v>776.54469659999995</v>
      </c>
    </row>
    <row r="458" spans="1:13" x14ac:dyDescent="0.25">
      <c r="A458" s="40" t="s">
        <v>48</v>
      </c>
      <c r="B458" s="40">
        <f>PE!$A$5</f>
        <v>0</v>
      </c>
      <c r="C458" s="39">
        <f>PE!$L$5</f>
        <v>0</v>
      </c>
      <c r="D458" s="39">
        <f>PE!$M$5</f>
        <v>0</v>
      </c>
      <c r="E458" s="39">
        <f>PE!$N$5</f>
        <v>0</v>
      </c>
      <c r="F458" s="39">
        <f>PE!$O$5</f>
        <v>0</v>
      </c>
      <c r="G458" s="39">
        <f>PE!$P$5</f>
        <v>0</v>
      </c>
      <c r="H458" s="39">
        <f>PE!$Q$5</f>
        <v>0</v>
      </c>
      <c r="I458" s="39">
        <f>PE!$R$5</f>
        <v>0</v>
      </c>
      <c r="J458" s="39">
        <f>PE!$S$5</f>
        <v>0</v>
      </c>
      <c r="K458" s="39">
        <f>PE!$T$5</f>
        <v>0</v>
      </c>
      <c r="L458" s="39">
        <f>PE!$U$5</f>
        <v>0</v>
      </c>
      <c r="M458" s="39">
        <f>PE!$V$5</f>
        <v>0</v>
      </c>
    </row>
    <row r="459" spans="1:13" x14ac:dyDescent="0.25">
      <c r="A459" s="40" t="s">
        <v>48</v>
      </c>
      <c r="B459" s="40" t="str">
        <f>PE!$A$6</f>
        <v>PE 24:0</v>
      </c>
      <c r="C459" s="39" t="str">
        <f>PE!$L$6</f>
        <v>C29H58N1O8P1</v>
      </c>
      <c r="D459" s="39">
        <f>PE!$M$6</f>
        <v>579.38998379999998</v>
      </c>
      <c r="E459" s="39">
        <f>PE!$N$6</f>
        <v>580.39725840000006</v>
      </c>
      <c r="F459" s="39">
        <f>PE!$O$6</f>
        <v>562.38613840000005</v>
      </c>
      <c r="G459" s="39">
        <f>PE!$P$6</f>
        <v>597.42380379999997</v>
      </c>
      <c r="H459" s="39">
        <f>PE!$Q$6</f>
        <v>602.37920380000003</v>
      </c>
      <c r="I459" s="39">
        <f>PE!$R$6</f>
        <v>618.3531438</v>
      </c>
      <c r="J459" s="39">
        <f>PE!$S$6</f>
        <v>586.40544380000006</v>
      </c>
      <c r="K459" s="39">
        <f>PE!$T$6</f>
        <v>578.38270919999991</v>
      </c>
      <c r="L459" s="39">
        <f>PE!$U$6</f>
        <v>624.38820379999993</v>
      </c>
      <c r="M459" s="39">
        <f>PE!$V$6</f>
        <v>638.40385379999998</v>
      </c>
    </row>
    <row r="460" spans="1:13" x14ac:dyDescent="0.25">
      <c r="A460" s="40" t="s">
        <v>48</v>
      </c>
      <c r="B460" s="40" t="str">
        <f>PE!$A$7</f>
        <v>PE 25:0</v>
      </c>
      <c r="C460" s="39" t="str">
        <f>PE!$L$7</f>
        <v>C30H60N1O8P1</v>
      </c>
      <c r="D460" s="39">
        <f>PE!$M$7</f>
        <v>593.40563299999997</v>
      </c>
      <c r="E460" s="39">
        <f>PE!$N$7</f>
        <v>594.41290760000004</v>
      </c>
      <c r="F460" s="39">
        <f>PE!$O$7</f>
        <v>576.40178760000003</v>
      </c>
      <c r="G460" s="39">
        <f>PE!$P$7</f>
        <v>611.43945299999996</v>
      </c>
      <c r="H460" s="39">
        <f>PE!$Q$7</f>
        <v>616.39485300000001</v>
      </c>
      <c r="I460" s="39">
        <f>PE!$R$7</f>
        <v>632.36879299999998</v>
      </c>
      <c r="J460" s="39">
        <f>PE!$S$7</f>
        <v>600.42109300000004</v>
      </c>
      <c r="K460" s="39">
        <f>PE!$T$7</f>
        <v>592.39835839999989</v>
      </c>
      <c r="L460" s="39">
        <f>PE!$U$7</f>
        <v>638.40385299999991</v>
      </c>
      <c r="M460" s="39">
        <f>PE!$V$7</f>
        <v>652.41950299999996</v>
      </c>
    </row>
    <row r="461" spans="1:13" x14ac:dyDescent="0.25">
      <c r="A461" s="40" t="s">
        <v>48</v>
      </c>
      <c r="B461" s="40" t="str">
        <f>PE!$A$8</f>
        <v>PE 26:0</v>
      </c>
      <c r="C461" s="39" t="str">
        <f>PE!$L$8</f>
        <v>C31H62N1O8P1</v>
      </c>
      <c r="D461" s="39">
        <f>PE!$M$8</f>
        <v>607.42128219999995</v>
      </c>
      <c r="E461" s="39">
        <f>PE!$N$8</f>
        <v>608.42855680000002</v>
      </c>
      <c r="F461" s="39">
        <f>PE!$O$8</f>
        <v>590.41743680000002</v>
      </c>
      <c r="G461" s="39">
        <f>PE!$P$8</f>
        <v>625.45510219999994</v>
      </c>
      <c r="H461" s="39">
        <f>PE!$Q$8</f>
        <v>630.4105022</v>
      </c>
      <c r="I461" s="39">
        <f>PE!$R$8</f>
        <v>646.38444219999997</v>
      </c>
      <c r="J461" s="39">
        <f>PE!$S$8</f>
        <v>614.43674220000003</v>
      </c>
      <c r="K461" s="39">
        <f>PE!$T$8</f>
        <v>606.41400759999988</v>
      </c>
      <c r="L461" s="39">
        <f>PE!$U$8</f>
        <v>652.4195021999999</v>
      </c>
      <c r="M461" s="39">
        <f>PE!$V$8</f>
        <v>666.43515219999995</v>
      </c>
    </row>
    <row r="462" spans="1:13" x14ac:dyDescent="0.25">
      <c r="A462" s="40" t="s">
        <v>48</v>
      </c>
      <c r="B462" s="40" t="str">
        <f>PE!$A$9</f>
        <v>PE 27:0</v>
      </c>
      <c r="C462" s="39" t="str">
        <f>PE!$L$9</f>
        <v>C32H64N1O8P1</v>
      </c>
      <c r="D462" s="39">
        <f>PE!$M$9</f>
        <v>621.43693140000005</v>
      </c>
      <c r="E462" s="39">
        <f>PE!$N$9</f>
        <v>622.44420600000012</v>
      </c>
      <c r="F462" s="39">
        <f>PE!$O$9</f>
        <v>604.43308600000012</v>
      </c>
      <c r="G462" s="39">
        <f>PE!$P$9</f>
        <v>639.47075140000004</v>
      </c>
      <c r="H462" s="39">
        <f>PE!$Q$9</f>
        <v>644.42615140000009</v>
      </c>
      <c r="I462" s="39">
        <f>PE!$R$9</f>
        <v>660.40009140000006</v>
      </c>
      <c r="J462" s="39">
        <f>PE!$S$9</f>
        <v>628.45239140000012</v>
      </c>
      <c r="K462" s="39">
        <f>PE!$T$9</f>
        <v>620.42965679999998</v>
      </c>
      <c r="L462" s="39">
        <f>PE!$U$9</f>
        <v>666.4351514</v>
      </c>
      <c r="M462" s="39">
        <f>PE!$V$9</f>
        <v>680.45080140000005</v>
      </c>
    </row>
    <row r="463" spans="1:13" x14ac:dyDescent="0.25">
      <c r="A463" s="40" t="s">
        <v>48</v>
      </c>
      <c r="B463" s="40" t="str">
        <f>PE!$A$10</f>
        <v>PE 28:2</v>
      </c>
      <c r="C463" s="39" t="str">
        <f>PE!$L$10</f>
        <v>C33H62N1O8P1</v>
      </c>
      <c r="D463" s="39">
        <f>PE!$M$10</f>
        <v>631.42128219999995</v>
      </c>
      <c r="E463" s="39">
        <f>PE!$N$10</f>
        <v>632.42855680000002</v>
      </c>
      <c r="F463" s="39">
        <f>PE!$O$10</f>
        <v>614.41743680000002</v>
      </c>
      <c r="G463" s="39">
        <f>PE!$P$10</f>
        <v>649.45510219999994</v>
      </c>
      <c r="H463" s="39">
        <f>PE!$Q$10</f>
        <v>654.4105022</v>
      </c>
      <c r="I463" s="39">
        <f>PE!$R$10</f>
        <v>670.38444219999997</v>
      </c>
      <c r="J463" s="39">
        <f>PE!$S$10</f>
        <v>638.43674220000003</v>
      </c>
      <c r="K463" s="39">
        <f>PE!$T$10</f>
        <v>630.41400759999988</v>
      </c>
      <c r="L463" s="39">
        <f>PE!$U$10</f>
        <v>676.4195021999999</v>
      </c>
      <c r="M463" s="39">
        <f>PE!$V$10</f>
        <v>690.43515219999995</v>
      </c>
    </row>
    <row r="464" spans="1:13" x14ac:dyDescent="0.25">
      <c r="A464" s="40" t="s">
        <v>48</v>
      </c>
      <c r="B464" s="40" t="str">
        <f>PE!$A$11</f>
        <v>PE 28:1</v>
      </c>
      <c r="C464" s="39" t="str">
        <f>PE!$L$11</f>
        <v>C33H64N1O8P1</v>
      </c>
      <c r="D464" s="39">
        <f>PE!$M$11</f>
        <v>633.43693140000005</v>
      </c>
      <c r="E464" s="39">
        <f>PE!$N$11</f>
        <v>634.44420600000012</v>
      </c>
      <c r="F464" s="39">
        <f>PE!$O$11</f>
        <v>616.43308600000012</v>
      </c>
      <c r="G464" s="39">
        <f>PE!$P$11</f>
        <v>651.47075140000004</v>
      </c>
      <c r="H464" s="39">
        <f>PE!$Q$11</f>
        <v>656.42615140000009</v>
      </c>
      <c r="I464" s="39">
        <f>PE!$R$11</f>
        <v>672.40009140000006</v>
      </c>
      <c r="J464" s="39">
        <f>PE!$S$11</f>
        <v>640.45239140000012</v>
      </c>
      <c r="K464" s="39">
        <f>PE!$T$11</f>
        <v>632.42965679999998</v>
      </c>
      <c r="L464" s="39">
        <f>PE!$U$11</f>
        <v>678.4351514</v>
      </c>
      <c r="M464" s="39">
        <f>PE!$V$11</f>
        <v>692.45080140000005</v>
      </c>
    </row>
    <row r="465" spans="1:13" x14ac:dyDescent="0.25">
      <c r="A465" s="40" t="s">
        <v>48</v>
      </c>
      <c r="B465" s="40" t="str">
        <f>PE!$A$12</f>
        <v>PE 28:0</v>
      </c>
      <c r="C465" s="39" t="str">
        <f>PE!$L$12</f>
        <v>C33H66N1O8P1</v>
      </c>
      <c r="D465" s="39">
        <f>PE!$M$12</f>
        <v>635.45258060000003</v>
      </c>
      <c r="E465" s="39">
        <f>PE!$N$12</f>
        <v>636.45985520000011</v>
      </c>
      <c r="F465" s="39">
        <f>PE!$O$12</f>
        <v>618.4487352000001</v>
      </c>
      <c r="G465" s="39">
        <f>PE!$P$12</f>
        <v>653.48640060000002</v>
      </c>
      <c r="H465" s="39">
        <f>PE!$Q$12</f>
        <v>658.44180060000008</v>
      </c>
      <c r="I465" s="39">
        <f>PE!$R$12</f>
        <v>674.41574060000005</v>
      </c>
      <c r="J465" s="39">
        <f>PE!$S$12</f>
        <v>642.46804060000011</v>
      </c>
      <c r="K465" s="39">
        <f>PE!$T$12</f>
        <v>634.44530599999996</v>
      </c>
      <c r="L465" s="39">
        <f>PE!$U$12</f>
        <v>680.45080059999998</v>
      </c>
      <c r="M465" s="39">
        <f>PE!$V$12</f>
        <v>694.46645060000003</v>
      </c>
    </row>
    <row r="466" spans="1:13" x14ac:dyDescent="0.25">
      <c r="A466" s="40" t="s">
        <v>48</v>
      </c>
      <c r="B466" s="40" t="str">
        <f>PE!$A$13</f>
        <v>PE 29:2</v>
      </c>
      <c r="C466" s="39" t="str">
        <f>PE!$L$13</f>
        <v>C34H64N1O8P1</v>
      </c>
      <c r="D466" s="39">
        <f>PE!$M$13</f>
        <v>645.43693140000005</v>
      </c>
      <c r="E466" s="39">
        <f>PE!$N$13</f>
        <v>646.44420600000012</v>
      </c>
      <c r="F466" s="39">
        <f>PE!$O$13</f>
        <v>628.43308600000012</v>
      </c>
      <c r="G466" s="39">
        <f>PE!$P$13</f>
        <v>663.47075140000004</v>
      </c>
      <c r="H466" s="39">
        <f>PE!$Q$13</f>
        <v>668.42615140000009</v>
      </c>
      <c r="I466" s="39">
        <f>PE!$R$13</f>
        <v>684.40009140000006</v>
      </c>
      <c r="J466" s="39">
        <f>PE!$S$13</f>
        <v>652.45239140000012</v>
      </c>
      <c r="K466" s="39">
        <f>PE!$T$13</f>
        <v>644.42965679999998</v>
      </c>
      <c r="L466" s="39">
        <f>PE!$U$13</f>
        <v>690.4351514</v>
      </c>
      <c r="M466" s="39">
        <f>PE!$V$13</f>
        <v>704.45080140000005</v>
      </c>
    </row>
    <row r="467" spans="1:13" x14ac:dyDescent="0.25">
      <c r="A467" s="40" t="s">
        <v>48</v>
      </c>
      <c r="B467" s="40" t="str">
        <f>PE!$A$14</f>
        <v>PE 29:1</v>
      </c>
      <c r="C467" s="39" t="str">
        <f>PE!$L$14</f>
        <v>C34H66N1O8P1</v>
      </c>
      <c r="D467" s="39">
        <f>PE!$M$14</f>
        <v>647.45258060000003</v>
      </c>
      <c r="E467" s="39">
        <f>PE!$N$14</f>
        <v>648.45985520000011</v>
      </c>
      <c r="F467" s="39">
        <f>PE!$O$14</f>
        <v>630.4487352000001</v>
      </c>
      <c r="G467" s="39">
        <f>PE!$P$14</f>
        <v>665.48640060000002</v>
      </c>
      <c r="H467" s="39">
        <f>PE!$Q$14</f>
        <v>670.44180060000008</v>
      </c>
      <c r="I467" s="39">
        <f>PE!$R$14</f>
        <v>686.41574060000005</v>
      </c>
      <c r="J467" s="39">
        <f>PE!$S$14</f>
        <v>654.46804060000011</v>
      </c>
      <c r="K467" s="39">
        <f>PE!$T$14</f>
        <v>646.44530599999996</v>
      </c>
      <c r="L467" s="39">
        <f>PE!$U$14</f>
        <v>692.45080059999998</v>
      </c>
      <c r="M467" s="39">
        <f>PE!$V$14</f>
        <v>706.46645060000003</v>
      </c>
    </row>
    <row r="468" spans="1:13" x14ac:dyDescent="0.25">
      <c r="A468" s="40" t="s">
        <v>48</v>
      </c>
      <c r="B468" s="40" t="str">
        <f>PE!$A$15</f>
        <v>PE 29:0</v>
      </c>
      <c r="C468" s="39" t="str">
        <f>PE!$L$15</f>
        <v>C34H68N1O8P1</v>
      </c>
      <c r="D468" s="39">
        <f>PE!$M$15</f>
        <v>649.46822980000002</v>
      </c>
      <c r="E468" s="39">
        <f>PE!$N$15</f>
        <v>650.47550440000009</v>
      </c>
      <c r="F468" s="39">
        <f>PE!$O$15</f>
        <v>632.46438440000009</v>
      </c>
      <c r="G468" s="39">
        <f>PE!$P$15</f>
        <v>667.50204980000001</v>
      </c>
      <c r="H468" s="39">
        <f>PE!$Q$15</f>
        <v>672.45744980000006</v>
      </c>
      <c r="I468" s="39">
        <f>PE!$R$15</f>
        <v>688.43138980000003</v>
      </c>
      <c r="J468" s="39">
        <f>PE!$S$15</f>
        <v>656.48368980000009</v>
      </c>
      <c r="K468" s="39">
        <f>PE!$T$15</f>
        <v>648.46095519999994</v>
      </c>
      <c r="L468" s="39">
        <f>PE!$U$15</f>
        <v>694.46644979999996</v>
      </c>
      <c r="M468" s="39">
        <f>PE!$V$15</f>
        <v>708.48209980000001</v>
      </c>
    </row>
    <row r="469" spans="1:13" x14ac:dyDescent="0.25">
      <c r="A469" s="40" t="s">
        <v>48</v>
      </c>
      <c r="B469" s="40" t="str">
        <f>PE!$A$16</f>
        <v>PE 30:2</v>
      </c>
      <c r="C469" s="39" t="str">
        <f>PE!$L$16</f>
        <v>C35H66N1O8P1</v>
      </c>
      <c r="D469" s="39">
        <f>PE!$M$16</f>
        <v>659.45258060000003</v>
      </c>
      <c r="E469" s="39">
        <f>PE!$N$16</f>
        <v>660.45985520000011</v>
      </c>
      <c r="F469" s="39">
        <f>PE!$O$16</f>
        <v>642.4487352000001</v>
      </c>
      <c r="G469" s="39">
        <f>PE!$P$16</f>
        <v>677.48640060000002</v>
      </c>
      <c r="H469" s="39">
        <f>PE!$Q$16</f>
        <v>682.44180060000008</v>
      </c>
      <c r="I469" s="39">
        <f>PE!$R$16</f>
        <v>698.41574060000005</v>
      </c>
      <c r="J469" s="39">
        <f>PE!$S$16</f>
        <v>666.46804060000011</v>
      </c>
      <c r="K469" s="39">
        <f>PE!$T$16</f>
        <v>658.44530599999996</v>
      </c>
      <c r="L469" s="39">
        <f>PE!$U$16</f>
        <v>704.45080059999998</v>
      </c>
      <c r="M469" s="39">
        <f>PE!$V$16</f>
        <v>718.46645060000003</v>
      </c>
    </row>
    <row r="470" spans="1:13" x14ac:dyDescent="0.25">
      <c r="A470" s="40" t="s">
        <v>48</v>
      </c>
      <c r="B470" s="40" t="str">
        <f>PE!$A$17</f>
        <v>PE 30:1</v>
      </c>
      <c r="C470" s="39" t="str">
        <f>PE!$L$17</f>
        <v>C35H68N1O8P1</v>
      </c>
      <c r="D470" s="39">
        <f>PE!$M$17</f>
        <v>661.46822980000002</v>
      </c>
      <c r="E470" s="39">
        <f>PE!$N$17</f>
        <v>662.47550440000009</v>
      </c>
      <c r="F470" s="39">
        <f>PE!$O$17</f>
        <v>644.46438440000009</v>
      </c>
      <c r="G470" s="39">
        <f>PE!$P$17</f>
        <v>679.50204980000001</v>
      </c>
      <c r="H470" s="39">
        <f>PE!$Q$17</f>
        <v>684.45744980000006</v>
      </c>
      <c r="I470" s="39">
        <f>PE!$R$17</f>
        <v>700.43138980000003</v>
      </c>
      <c r="J470" s="39">
        <f>PE!$S$17</f>
        <v>668.48368980000009</v>
      </c>
      <c r="K470" s="39">
        <f>PE!$T$17</f>
        <v>660.46095519999994</v>
      </c>
      <c r="L470" s="39">
        <f>PE!$U$17</f>
        <v>706.46644979999996</v>
      </c>
      <c r="M470" s="39">
        <f>PE!$V$17</f>
        <v>720.48209980000001</v>
      </c>
    </row>
    <row r="471" spans="1:13" x14ac:dyDescent="0.25">
      <c r="A471" s="40" t="s">
        <v>48</v>
      </c>
      <c r="B471" s="40" t="str">
        <f>PE!$A$18</f>
        <v>PE 30:0</v>
      </c>
      <c r="C471" s="39" t="str">
        <f>PE!$L$18</f>
        <v>C35H70N1O8P1</v>
      </c>
      <c r="D471" s="39">
        <f>PE!$M$18</f>
        <v>663.483879</v>
      </c>
      <c r="E471" s="39">
        <f>PE!$N$18</f>
        <v>664.49115360000008</v>
      </c>
      <c r="F471" s="39">
        <f>PE!$O$18</f>
        <v>646.48003360000007</v>
      </c>
      <c r="G471" s="39">
        <f>PE!$P$18</f>
        <v>681.51769899999999</v>
      </c>
      <c r="H471" s="39">
        <f>PE!$Q$18</f>
        <v>686.47309900000005</v>
      </c>
      <c r="I471" s="39">
        <f>PE!$R$18</f>
        <v>702.44703900000002</v>
      </c>
      <c r="J471" s="39">
        <f>PE!$S$18</f>
        <v>670.49933900000008</v>
      </c>
      <c r="K471" s="39">
        <f>PE!$T$18</f>
        <v>662.47660439999993</v>
      </c>
      <c r="L471" s="39">
        <f>PE!$U$18</f>
        <v>708.48209899999995</v>
      </c>
      <c r="M471" s="39">
        <f>PE!$V$18</f>
        <v>722.497749</v>
      </c>
    </row>
    <row r="472" spans="1:13" x14ac:dyDescent="0.25">
      <c r="A472" s="40" t="s">
        <v>48</v>
      </c>
      <c r="B472" s="40" t="str">
        <f>PE!$A$19</f>
        <v>PE 31:2</v>
      </c>
      <c r="C472" s="39" t="str">
        <f>PE!$L$19</f>
        <v>C36H68N1O8P1</v>
      </c>
      <c r="D472" s="39">
        <f>PE!$M$19</f>
        <v>673.46822980000002</v>
      </c>
      <c r="E472" s="39">
        <f>PE!$N$19</f>
        <v>674.47550440000009</v>
      </c>
      <c r="F472" s="39">
        <f>PE!$O$19</f>
        <v>656.46438440000009</v>
      </c>
      <c r="G472" s="39">
        <f>PE!$P$19</f>
        <v>691.50204980000001</v>
      </c>
      <c r="H472" s="39">
        <f>PE!$Q$19</f>
        <v>696.45744980000006</v>
      </c>
      <c r="I472" s="39">
        <f>PE!$R$19</f>
        <v>712.43138980000003</v>
      </c>
      <c r="J472" s="39">
        <f>PE!$S$19</f>
        <v>680.48368980000009</v>
      </c>
      <c r="K472" s="39">
        <f>PE!$T$19</f>
        <v>672.46095519999994</v>
      </c>
      <c r="L472" s="39">
        <f>PE!$U$19</f>
        <v>718.46644979999996</v>
      </c>
      <c r="M472" s="39">
        <f>PE!$V$19</f>
        <v>732.48209980000001</v>
      </c>
    </row>
    <row r="473" spans="1:13" x14ac:dyDescent="0.25">
      <c r="A473" s="40" t="s">
        <v>48</v>
      </c>
      <c r="B473" s="40" t="str">
        <f>PE!$A$20</f>
        <v>PE 31:1</v>
      </c>
      <c r="C473" s="39" t="str">
        <f>PE!$L$20</f>
        <v>C36H70N1O8P1</v>
      </c>
      <c r="D473" s="39">
        <f>PE!$M$20</f>
        <v>675.483879</v>
      </c>
      <c r="E473" s="39">
        <f>PE!$N$20</f>
        <v>676.49115360000008</v>
      </c>
      <c r="F473" s="39">
        <f>PE!$O$20</f>
        <v>658.48003360000007</v>
      </c>
      <c r="G473" s="39">
        <f>PE!$P$20</f>
        <v>693.51769899999999</v>
      </c>
      <c r="H473" s="39">
        <f>PE!$Q$20</f>
        <v>698.47309900000005</v>
      </c>
      <c r="I473" s="39">
        <f>PE!$R$20</f>
        <v>714.44703900000002</v>
      </c>
      <c r="J473" s="39">
        <f>PE!$S$20</f>
        <v>682.49933900000008</v>
      </c>
      <c r="K473" s="39">
        <f>PE!$T$20</f>
        <v>674.47660439999993</v>
      </c>
      <c r="L473" s="39">
        <f>PE!$U$20</f>
        <v>720.48209899999995</v>
      </c>
      <c r="M473" s="39">
        <f>PE!$V$20</f>
        <v>734.497749</v>
      </c>
    </row>
    <row r="474" spans="1:13" x14ac:dyDescent="0.25">
      <c r="A474" s="40" t="s">
        <v>48</v>
      </c>
      <c r="B474" s="40" t="str">
        <f>PE!$A$21</f>
        <v>PE 31:0</v>
      </c>
      <c r="C474" s="39" t="str">
        <f>PE!$L$21</f>
        <v>C36H72N1O8P1</v>
      </c>
      <c r="D474" s="39">
        <f>PE!$M$21</f>
        <v>677.49952819999999</v>
      </c>
      <c r="E474" s="39">
        <f>PE!$N$21</f>
        <v>678.50680280000006</v>
      </c>
      <c r="F474" s="39">
        <f>PE!$O$21</f>
        <v>660.49568280000005</v>
      </c>
      <c r="G474" s="39">
        <f>PE!$P$21</f>
        <v>695.53334819999998</v>
      </c>
      <c r="H474" s="39">
        <f>PE!$Q$21</f>
        <v>700.48874820000003</v>
      </c>
      <c r="I474" s="39">
        <f>PE!$R$21</f>
        <v>716.4626882</v>
      </c>
      <c r="J474" s="39">
        <f>PE!$S$21</f>
        <v>684.51498820000006</v>
      </c>
      <c r="K474" s="39">
        <f>PE!$T$21</f>
        <v>676.49225359999991</v>
      </c>
      <c r="L474" s="39">
        <f>PE!$U$21</f>
        <v>722.49774819999993</v>
      </c>
      <c r="M474" s="39">
        <f>PE!$V$21</f>
        <v>736.51339819999998</v>
      </c>
    </row>
    <row r="475" spans="1:13" x14ac:dyDescent="0.25">
      <c r="A475" s="40" t="s">
        <v>48</v>
      </c>
      <c r="B475" s="40" t="str">
        <f>PE!$A$22</f>
        <v>PE 32:3</v>
      </c>
      <c r="C475" s="39" t="str">
        <f>PE!$L$22</f>
        <v>C37H68N1O8P1</v>
      </c>
      <c r="D475" s="39">
        <f>PE!$M$22</f>
        <v>685.46822980000002</v>
      </c>
      <c r="E475" s="39">
        <f>PE!$N$22</f>
        <v>686.47550440000009</v>
      </c>
      <c r="F475" s="39">
        <f>PE!$O$22</f>
        <v>668.46438440000009</v>
      </c>
      <c r="G475" s="39">
        <f>PE!$P$22</f>
        <v>703.50204980000001</v>
      </c>
      <c r="H475" s="39">
        <f>PE!$Q$22</f>
        <v>708.45744980000006</v>
      </c>
      <c r="I475" s="39">
        <f>PE!$R$22</f>
        <v>724.43138980000003</v>
      </c>
      <c r="J475" s="39">
        <f>PE!$S$22</f>
        <v>692.48368980000009</v>
      </c>
      <c r="K475" s="39">
        <f>PE!$T$22</f>
        <v>684.46095519999994</v>
      </c>
      <c r="L475" s="39">
        <f>PE!$U$22</f>
        <v>730.46644979999996</v>
      </c>
      <c r="M475" s="39">
        <f>PE!$V$22</f>
        <v>744.48209980000001</v>
      </c>
    </row>
    <row r="476" spans="1:13" x14ac:dyDescent="0.25">
      <c r="A476" s="40" t="s">
        <v>48</v>
      </c>
      <c r="B476" s="40" t="str">
        <f>PE!$A$23</f>
        <v>PE 32:2</v>
      </c>
      <c r="C476" s="39" t="str">
        <f>PE!$L$23</f>
        <v>C37H70N1O8P1</v>
      </c>
      <c r="D476" s="39">
        <f>PE!$M$23</f>
        <v>687.483879</v>
      </c>
      <c r="E476" s="39">
        <f>PE!$N$23</f>
        <v>688.49115360000008</v>
      </c>
      <c r="F476" s="39">
        <f>PE!$O$23</f>
        <v>670.48003360000007</v>
      </c>
      <c r="G476" s="39">
        <f>PE!$P$23</f>
        <v>705.51769899999999</v>
      </c>
      <c r="H476" s="39">
        <f>PE!$Q$23</f>
        <v>710.47309900000005</v>
      </c>
      <c r="I476" s="39">
        <f>PE!$R$23</f>
        <v>726.44703900000002</v>
      </c>
      <c r="J476" s="39">
        <f>PE!$S$23</f>
        <v>694.49933900000008</v>
      </c>
      <c r="K476" s="39">
        <f>PE!$T$23</f>
        <v>686.47660439999993</v>
      </c>
      <c r="L476" s="39">
        <f>PE!$U$23</f>
        <v>732.48209899999995</v>
      </c>
      <c r="M476" s="39">
        <f>PE!$V$23</f>
        <v>746.497749</v>
      </c>
    </row>
    <row r="477" spans="1:13" x14ac:dyDescent="0.25">
      <c r="A477" s="40" t="s">
        <v>48</v>
      </c>
      <c r="B477" s="40" t="str">
        <f>PE!$A$24</f>
        <v>PE 32:1</v>
      </c>
      <c r="C477" s="39" t="str">
        <f>PE!$L$24</f>
        <v>C37H72N1O8P1</v>
      </c>
      <c r="D477" s="39">
        <f>PE!$M$24</f>
        <v>689.49952819999999</v>
      </c>
      <c r="E477" s="39">
        <f>PE!$N$24</f>
        <v>690.50680280000006</v>
      </c>
      <c r="F477" s="39">
        <f>PE!$O$24</f>
        <v>672.49568280000005</v>
      </c>
      <c r="G477" s="39">
        <f>PE!$P$24</f>
        <v>707.53334819999998</v>
      </c>
      <c r="H477" s="39">
        <f>PE!$Q$24</f>
        <v>712.48874820000003</v>
      </c>
      <c r="I477" s="39">
        <f>PE!$R$24</f>
        <v>728.4626882</v>
      </c>
      <c r="J477" s="39">
        <f>PE!$S$24</f>
        <v>696.51498820000006</v>
      </c>
      <c r="K477" s="39">
        <f>PE!$T$24</f>
        <v>688.49225359999991</v>
      </c>
      <c r="L477" s="39">
        <f>PE!$U$24</f>
        <v>734.49774819999993</v>
      </c>
      <c r="M477" s="39">
        <f>PE!$V$24</f>
        <v>748.51339819999998</v>
      </c>
    </row>
    <row r="478" spans="1:13" x14ac:dyDescent="0.25">
      <c r="A478" s="40" t="s">
        <v>48</v>
      </c>
      <c r="B478" s="40" t="str">
        <f>PE!$A$25</f>
        <v>PE 32:0</v>
      </c>
      <c r="C478" s="39" t="str">
        <f>PE!$L$25</f>
        <v>C37H74N1O8P1</v>
      </c>
      <c r="D478" s="39">
        <f>PE!$M$25</f>
        <v>691.51517739999997</v>
      </c>
      <c r="E478" s="39">
        <f>PE!$N$25</f>
        <v>692.52245200000004</v>
      </c>
      <c r="F478" s="39">
        <f>PE!$O$25</f>
        <v>674.51133200000004</v>
      </c>
      <c r="G478" s="39">
        <f>PE!$P$25</f>
        <v>709.54899739999996</v>
      </c>
      <c r="H478" s="39">
        <f>PE!$Q$25</f>
        <v>714.50439740000002</v>
      </c>
      <c r="I478" s="39">
        <f>PE!$R$25</f>
        <v>730.47833739999999</v>
      </c>
      <c r="J478" s="39">
        <f>PE!$S$25</f>
        <v>698.53063740000005</v>
      </c>
      <c r="K478" s="39">
        <f>PE!$T$25</f>
        <v>690.5079027999999</v>
      </c>
      <c r="L478" s="39">
        <f>PE!$U$25</f>
        <v>736.51339739999992</v>
      </c>
      <c r="M478" s="39">
        <f>PE!$V$25</f>
        <v>750.52904739999997</v>
      </c>
    </row>
    <row r="479" spans="1:13" x14ac:dyDescent="0.25">
      <c r="A479" s="40" t="s">
        <v>48</v>
      </c>
      <c r="B479" s="40" t="str">
        <f>PE!$A$26</f>
        <v>PE 33:2</v>
      </c>
      <c r="C479" s="39" t="str">
        <f>PE!$L$26</f>
        <v>C38H72N1O8P1</v>
      </c>
      <c r="D479" s="39">
        <f>PE!$M$26</f>
        <v>701.49952819999999</v>
      </c>
      <c r="E479" s="39">
        <f>PE!$N$26</f>
        <v>702.50680280000006</v>
      </c>
      <c r="F479" s="39">
        <f>PE!$O$26</f>
        <v>684.49568280000005</v>
      </c>
      <c r="G479" s="39">
        <f>PE!$P$26</f>
        <v>719.53334819999998</v>
      </c>
      <c r="H479" s="39">
        <f>PE!$Q$26</f>
        <v>724.48874820000003</v>
      </c>
      <c r="I479" s="39">
        <f>PE!$R$26</f>
        <v>740.4626882</v>
      </c>
      <c r="J479" s="39">
        <f>PE!$S$26</f>
        <v>708.51498820000006</v>
      </c>
      <c r="K479" s="39">
        <f>PE!$T$26</f>
        <v>700.49225359999991</v>
      </c>
      <c r="L479" s="39">
        <f>PE!$U$26</f>
        <v>746.49774819999993</v>
      </c>
      <c r="M479" s="39">
        <f>PE!$V$26</f>
        <v>760.51339819999998</v>
      </c>
    </row>
    <row r="480" spans="1:13" x14ac:dyDescent="0.25">
      <c r="A480" s="40" t="s">
        <v>48</v>
      </c>
      <c r="B480" s="40" t="str">
        <f>PE!$A$27</f>
        <v>PE 33:1</v>
      </c>
      <c r="C480" s="39" t="str">
        <f>PE!$L$27</f>
        <v>C38H74N1O8P1</v>
      </c>
      <c r="D480" s="39">
        <f>PE!$M$27</f>
        <v>703.51517739999997</v>
      </c>
      <c r="E480" s="39">
        <f>PE!$N$27</f>
        <v>704.52245200000004</v>
      </c>
      <c r="F480" s="39">
        <f>PE!$O$27</f>
        <v>686.51133200000004</v>
      </c>
      <c r="G480" s="39">
        <f>PE!$P$27</f>
        <v>721.54899739999996</v>
      </c>
      <c r="H480" s="39">
        <f>PE!$Q$27</f>
        <v>726.50439740000002</v>
      </c>
      <c r="I480" s="39">
        <f>PE!$R$27</f>
        <v>742.47833739999999</v>
      </c>
      <c r="J480" s="39">
        <f>PE!$S$27</f>
        <v>710.53063740000005</v>
      </c>
      <c r="K480" s="39">
        <f>PE!$T$27</f>
        <v>702.5079027999999</v>
      </c>
      <c r="L480" s="39">
        <f>PE!$U$27</f>
        <v>748.51339739999992</v>
      </c>
      <c r="M480" s="39">
        <f>PE!$V$27</f>
        <v>762.52904739999997</v>
      </c>
    </row>
    <row r="481" spans="1:13" x14ac:dyDescent="0.25">
      <c r="A481" s="40" t="s">
        <v>48</v>
      </c>
      <c r="B481" s="40" t="str">
        <f>PE!$A$28</f>
        <v>PE 33:0</v>
      </c>
      <c r="C481" s="39" t="str">
        <f>PE!$L$28</f>
        <v>C38H76N1O8P1</v>
      </c>
      <c r="D481" s="39">
        <f>PE!$M$28</f>
        <v>705.53082659999995</v>
      </c>
      <c r="E481" s="39">
        <f>PE!$N$28</f>
        <v>706.53810120000003</v>
      </c>
      <c r="F481" s="39">
        <f>PE!$O$28</f>
        <v>688.52698120000002</v>
      </c>
      <c r="G481" s="39">
        <f>PE!$P$28</f>
        <v>723.56464659999995</v>
      </c>
      <c r="H481" s="39">
        <f>PE!$Q$28</f>
        <v>728.5200466</v>
      </c>
      <c r="I481" s="39">
        <f>PE!$R$28</f>
        <v>744.49398659999997</v>
      </c>
      <c r="J481" s="39">
        <f>PE!$S$28</f>
        <v>712.54628660000003</v>
      </c>
      <c r="K481" s="39">
        <f>PE!$T$28</f>
        <v>704.52355199999988</v>
      </c>
      <c r="L481" s="39">
        <f>PE!$U$28</f>
        <v>750.5290465999999</v>
      </c>
      <c r="M481" s="39">
        <f>PE!$V$28</f>
        <v>764.54469659999995</v>
      </c>
    </row>
    <row r="482" spans="1:13" x14ac:dyDescent="0.25">
      <c r="A482" s="40" t="s">
        <v>48</v>
      </c>
      <c r="B482" s="40" t="str">
        <f>PE!$A$29</f>
        <v>PE 34:2</v>
      </c>
      <c r="C482" s="39" t="str">
        <f>PE!$L$29</f>
        <v>C39H74N1O8P1</v>
      </c>
      <c r="D482" s="39">
        <f>PE!$M$29</f>
        <v>715.51517739999997</v>
      </c>
      <c r="E482" s="39">
        <f>PE!$N$29</f>
        <v>716.52245200000004</v>
      </c>
      <c r="F482" s="39">
        <f>PE!$O$29</f>
        <v>698.51133200000004</v>
      </c>
      <c r="G482" s="39">
        <f>PE!$P$29</f>
        <v>733.54899739999996</v>
      </c>
      <c r="H482" s="39">
        <f>PE!$Q$29</f>
        <v>738.50439740000002</v>
      </c>
      <c r="I482" s="39">
        <f>PE!$R$29</f>
        <v>754.47833739999999</v>
      </c>
      <c r="J482" s="39">
        <f>PE!$S$29</f>
        <v>722.53063740000005</v>
      </c>
      <c r="K482" s="39">
        <f>PE!$T$29</f>
        <v>714.5079027999999</v>
      </c>
      <c r="L482" s="39">
        <f>PE!$U$29</f>
        <v>760.51339739999992</v>
      </c>
      <c r="M482" s="39">
        <f>PE!$V$29</f>
        <v>774.52904739999997</v>
      </c>
    </row>
    <row r="483" spans="1:13" x14ac:dyDescent="0.25">
      <c r="A483" s="40" t="s">
        <v>48</v>
      </c>
      <c r="B483" s="40" t="str">
        <f>PE!$A$30</f>
        <v>PE 34:1</v>
      </c>
      <c r="C483" s="39" t="str">
        <f>PE!$L$30</f>
        <v>C39H76N1O8P1</v>
      </c>
      <c r="D483" s="39">
        <f>PE!$M$30</f>
        <v>717.53082659999995</v>
      </c>
      <c r="E483" s="39">
        <f>PE!$N$30</f>
        <v>718.53810120000003</v>
      </c>
      <c r="F483" s="39">
        <f>PE!$O$30</f>
        <v>700.52698120000002</v>
      </c>
      <c r="G483" s="39">
        <f>PE!$P$30</f>
        <v>735.56464659999995</v>
      </c>
      <c r="H483" s="39">
        <f>PE!$Q$30</f>
        <v>740.5200466</v>
      </c>
      <c r="I483" s="39">
        <f>PE!$R$30</f>
        <v>756.49398659999997</v>
      </c>
      <c r="J483" s="39">
        <f>PE!$S$30</f>
        <v>724.54628660000003</v>
      </c>
      <c r="K483" s="39">
        <f>PE!$T$30</f>
        <v>716.52355199999988</v>
      </c>
      <c r="L483" s="39">
        <f>PE!$U$30</f>
        <v>762.5290465999999</v>
      </c>
      <c r="M483" s="39">
        <f>PE!$V$30</f>
        <v>776.54469659999995</v>
      </c>
    </row>
    <row r="484" spans="1:13" x14ac:dyDescent="0.25">
      <c r="A484" s="40" t="s">
        <v>48</v>
      </c>
      <c r="B484" s="40" t="str">
        <f>PE!$A$31</f>
        <v>PE 34:0</v>
      </c>
      <c r="C484" s="39" t="str">
        <f>PE!$L$31</f>
        <v>C39H78N1O8P1</v>
      </c>
      <c r="D484" s="39">
        <f>PE!$M$31</f>
        <v>719.54647579999994</v>
      </c>
      <c r="E484" s="39">
        <f>PE!$N$31</f>
        <v>720.55375040000001</v>
      </c>
      <c r="F484" s="39">
        <f>PE!$O$31</f>
        <v>702.54263040000001</v>
      </c>
      <c r="G484" s="39">
        <f>PE!$P$31</f>
        <v>737.58029579999993</v>
      </c>
      <c r="H484" s="39">
        <f>PE!$Q$31</f>
        <v>742.53569579999998</v>
      </c>
      <c r="I484" s="39">
        <f>PE!$R$31</f>
        <v>758.50963579999996</v>
      </c>
      <c r="J484" s="39">
        <f>PE!$S$31</f>
        <v>726.56193580000001</v>
      </c>
      <c r="K484" s="39">
        <f>PE!$T$31</f>
        <v>718.53920119999987</v>
      </c>
      <c r="L484" s="39">
        <f>PE!$U$31</f>
        <v>764.54469579999989</v>
      </c>
      <c r="M484" s="39">
        <f>PE!$V$31</f>
        <v>778.56034579999994</v>
      </c>
    </row>
    <row r="485" spans="1:13" x14ac:dyDescent="0.25">
      <c r="A485" s="40" t="s">
        <v>48</v>
      </c>
      <c r="B485" s="40" t="str">
        <f>PE!$A$32</f>
        <v>PE 35:2</v>
      </c>
      <c r="C485" s="39" t="str">
        <f>PE!$L$32</f>
        <v>C40H76N1O8P1</v>
      </c>
      <c r="D485" s="39">
        <f>PE!$M$32</f>
        <v>729.53082659999995</v>
      </c>
      <c r="E485" s="39">
        <f>PE!$N$32</f>
        <v>730.53810120000003</v>
      </c>
      <c r="F485" s="39">
        <f>PE!$O$32</f>
        <v>712.52698120000002</v>
      </c>
      <c r="G485" s="39">
        <f>PE!$P$32</f>
        <v>747.56464659999995</v>
      </c>
      <c r="H485" s="39">
        <f>PE!$Q$32</f>
        <v>752.5200466</v>
      </c>
      <c r="I485" s="39">
        <f>PE!$R$32</f>
        <v>768.49398659999997</v>
      </c>
      <c r="J485" s="39">
        <f>PE!$S$32</f>
        <v>736.54628660000003</v>
      </c>
      <c r="K485" s="39">
        <f>PE!$T$32</f>
        <v>728.52355199999988</v>
      </c>
      <c r="L485" s="39">
        <f>PE!$U$32</f>
        <v>774.5290465999999</v>
      </c>
      <c r="M485" s="39">
        <f>PE!$V$32</f>
        <v>788.54469659999995</v>
      </c>
    </row>
    <row r="486" spans="1:13" x14ac:dyDescent="0.25">
      <c r="A486" s="40" t="s">
        <v>48</v>
      </c>
      <c r="B486" s="40" t="str">
        <f>PE!$A$33</f>
        <v>PE 35:1</v>
      </c>
      <c r="C486" s="39" t="str">
        <f>PE!$L$33</f>
        <v>C40H78N1O8P1</v>
      </c>
      <c r="D486" s="39">
        <f>PE!$M$33</f>
        <v>731.54647579999994</v>
      </c>
      <c r="E486" s="39">
        <f>PE!$N$33</f>
        <v>732.55375040000001</v>
      </c>
      <c r="F486" s="39">
        <f>PE!$O$33</f>
        <v>714.54263040000001</v>
      </c>
      <c r="G486" s="39">
        <f>PE!$P$33</f>
        <v>749.58029579999993</v>
      </c>
      <c r="H486" s="39">
        <f>PE!$Q$33</f>
        <v>754.53569579999998</v>
      </c>
      <c r="I486" s="39">
        <f>PE!$R$33</f>
        <v>770.50963579999996</v>
      </c>
      <c r="J486" s="39">
        <f>PE!$S$33</f>
        <v>738.56193580000001</v>
      </c>
      <c r="K486" s="39">
        <f>PE!$T$33</f>
        <v>730.53920119999987</v>
      </c>
      <c r="L486" s="39">
        <f>PE!$U$33</f>
        <v>776.54469579999989</v>
      </c>
      <c r="M486" s="39">
        <f>PE!$V$33</f>
        <v>790.56034579999994</v>
      </c>
    </row>
    <row r="487" spans="1:13" x14ac:dyDescent="0.25">
      <c r="A487" s="40" t="s">
        <v>48</v>
      </c>
      <c r="B487" s="40" t="str">
        <f>PE!$A$34</f>
        <v>PE 35:0</v>
      </c>
      <c r="C487" s="39" t="str">
        <f>PE!$L$34</f>
        <v>C40H80N1O8P1</v>
      </c>
      <c r="D487" s="39">
        <f>PE!$M$34</f>
        <v>733.56212500000004</v>
      </c>
      <c r="E487" s="39">
        <f>PE!$N$34</f>
        <v>734.56939960000011</v>
      </c>
      <c r="F487" s="39">
        <f>PE!$O$34</f>
        <v>716.55827960000011</v>
      </c>
      <c r="G487" s="39">
        <f>PE!$P$34</f>
        <v>751.59594500000003</v>
      </c>
      <c r="H487" s="39">
        <f>PE!$Q$34</f>
        <v>756.55134500000008</v>
      </c>
      <c r="I487" s="39">
        <f>PE!$R$34</f>
        <v>772.52528500000005</v>
      </c>
      <c r="J487" s="39">
        <f>PE!$S$34</f>
        <v>740.57758500000011</v>
      </c>
      <c r="K487" s="39">
        <f>PE!$T$34</f>
        <v>732.55485039999996</v>
      </c>
      <c r="L487" s="39">
        <f>PE!$U$34</f>
        <v>778.56034499999998</v>
      </c>
      <c r="M487" s="39">
        <f>PE!$V$34</f>
        <v>792.57599500000003</v>
      </c>
    </row>
    <row r="488" spans="1:13" x14ac:dyDescent="0.25">
      <c r="A488" s="40" t="s">
        <v>48</v>
      </c>
      <c r="B488" s="40" t="str">
        <f>PE!$A$35</f>
        <v>PE 36:4</v>
      </c>
      <c r="C488" s="39" t="str">
        <f>PE!$L$35</f>
        <v>C41H74N1O8P1</v>
      </c>
      <c r="D488" s="39">
        <f>PE!$M$35</f>
        <v>739.51517739999997</v>
      </c>
      <c r="E488" s="39">
        <f>PE!$N$35</f>
        <v>740.52245200000004</v>
      </c>
      <c r="F488" s="39">
        <f>PE!$O$35</f>
        <v>722.51133200000004</v>
      </c>
      <c r="G488" s="39">
        <f>PE!$P$35</f>
        <v>757.54899739999996</v>
      </c>
      <c r="H488" s="39">
        <f>PE!$Q$35</f>
        <v>762.50439740000002</v>
      </c>
      <c r="I488" s="39">
        <f>PE!$R$35</f>
        <v>778.47833739999999</v>
      </c>
      <c r="J488" s="39">
        <f>PE!$S$35</f>
        <v>746.53063740000005</v>
      </c>
      <c r="K488" s="39">
        <f>PE!$T$35</f>
        <v>738.5079027999999</v>
      </c>
      <c r="L488" s="39">
        <f>PE!$U$35</f>
        <v>784.51339739999992</v>
      </c>
      <c r="M488" s="39">
        <f>PE!$V$35</f>
        <v>798.52904739999997</v>
      </c>
    </row>
    <row r="489" spans="1:13" x14ac:dyDescent="0.25">
      <c r="A489" s="40" t="s">
        <v>48</v>
      </c>
      <c r="B489" s="40" t="str">
        <f>PE!$A$36</f>
        <v>PE 36:3</v>
      </c>
      <c r="C489" s="39" t="str">
        <f>PE!$L$36</f>
        <v>C41H76N1O8P1</v>
      </c>
      <c r="D489" s="39">
        <f>PE!$M$36</f>
        <v>741.53082659999995</v>
      </c>
      <c r="E489" s="39">
        <f>PE!$N$36</f>
        <v>742.53810120000003</v>
      </c>
      <c r="F489" s="39">
        <f>PE!$O$36</f>
        <v>724.52698120000002</v>
      </c>
      <c r="G489" s="39">
        <f>PE!$P$36</f>
        <v>759.56464659999995</v>
      </c>
      <c r="H489" s="39">
        <f>PE!$Q$36</f>
        <v>764.5200466</v>
      </c>
      <c r="I489" s="39">
        <f>PE!$R$36</f>
        <v>780.49398659999997</v>
      </c>
      <c r="J489" s="39">
        <f>PE!$S$36</f>
        <v>748.54628660000003</v>
      </c>
      <c r="K489" s="39">
        <f>PE!$T$36</f>
        <v>740.52355199999988</v>
      </c>
      <c r="L489" s="39">
        <f>PE!$U$36</f>
        <v>786.5290465999999</v>
      </c>
      <c r="M489" s="39">
        <f>PE!$V$36</f>
        <v>800.54469659999995</v>
      </c>
    </row>
    <row r="490" spans="1:13" x14ac:dyDescent="0.25">
      <c r="A490" s="40" t="s">
        <v>48</v>
      </c>
      <c r="B490" s="40" t="str">
        <f>PE!$A$37</f>
        <v>PE 36:2</v>
      </c>
      <c r="C490" s="39" t="str">
        <f>PE!$L$37</f>
        <v>C41H78N1O8P1</v>
      </c>
      <c r="D490" s="39">
        <f>PE!$M$37</f>
        <v>743.54647579999994</v>
      </c>
      <c r="E490" s="39">
        <f>PE!$N$37</f>
        <v>744.55375040000001</v>
      </c>
      <c r="F490" s="39">
        <f>PE!$O$37</f>
        <v>726.54263040000001</v>
      </c>
      <c r="G490" s="39">
        <f>PE!$P$37</f>
        <v>761.58029579999993</v>
      </c>
      <c r="H490" s="39">
        <f>PE!$Q$37</f>
        <v>766.53569579999998</v>
      </c>
      <c r="I490" s="39">
        <f>PE!$R$37</f>
        <v>782.50963579999996</v>
      </c>
      <c r="J490" s="39">
        <f>PE!$S$37</f>
        <v>750.56193580000001</v>
      </c>
      <c r="K490" s="39">
        <f>PE!$T$37</f>
        <v>742.53920119999987</v>
      </c>
      <c r="L490" s="39">
        <f>PE!$U$37</f>
        <v>788.54469579999989</v>
      </c>
      <c r="M490" s="39">
        <f>PE!$V$37</f>
        <v>802.56034579999994</v>
      </c>
    </row>
    <row r="491" spans="1:13" x14ac:dyDescent="0.25">
      <c r="A491" s="40" t="s">
        <v>48</v>
      </c>
      <c r="B491" s="40" t="str">
        <f>PE!$A$38</f>
        <v>PE 36:1</v>
      </c>
      <c r="C491" s="39" t="str">
        <f>PE!$L$38</f>
        <v>C41H80N1O8P1</v>
      </c>
      <c r="D491" s="39">
        <f>PE!$M$38</f>
        <v>745.56212500000004</v>
      </c>
      <c r="E491" s="39">
        <f>PE!$N$38</f>
        <v>746.56939960000011</v>
      </c>
      <c r="F491" s="39">
        <f>PE!$O$38</f>
        <v>728.55827960000011</v>
      </c>
      <c r="G491" s="39">
        <f>PE!$P$38</f>
        <v>763.59594500000003</v>
      </c>
      <c r="H491" s="39">
        <f>PE!$Q$38</f>
        <v>768.55134500000008</v>
      </c>
      <c r="I491" s="39">
        <f>PE!$R$38</f>
        <v>784.52528500000005</v>
      </c>
      <c r="J491" s="39">
        <f>PE!$S$38</f>
        <v>752.57758500000011</v>
      </c>
      <c r="K491" s="39">
        <f>PE!$T$38</f>
        <v>744.55485039999996</v>
      </c>
      <c r="L491" s="39">
        <f>PE!$U$38</f>
        <v>790.56034499999998</v>
      </c>
      <c r="M491" s="39">
        <f>PE!$V$38</f>
        <v>804.57599500000003</v>
      </c>
    </row>
    <row r="492" spans="1:13" x14ac:dyDescent="0.25">
      <c r="A492" s="40" t="s">
        <v>48</v>
      </c>
      <c r="B492" s="40" t="str">
        <f>PE!$A$39</f>
        <v>PE 36:0</v>
      </c>
      <c r="C492" s="39" t="str">
        <f>PE!$L$39</f>
        <v>C41H82N1O8P1</v>
      </c>
      <c r="D492" s="39">
        <f>PE!$M$39</f>
        <v>747.57777420000002</v>
      </c>
      <c r="E492" s="39">
        <f>PE!$N$39</f>
        <v>748.5850488000001</v>
      </c>
      <c r="F492" s="39">
        <f>PE!$O$39</f>
        <v>730.57392880000009</v>
      </c>
      <c r="G492" s="39">
        <f>PE!$P$39</f>
        <v>765.61159420000001</v>
      </c>
      <c r="H492" s="39">
        <f>PE!$Q$39</f>
        <v>770.56699420000007</v>
      </c>
      <c r="I492" s="39">
        <f>PE!$R$39</f>
        <v>786.54093420000004</v>
      </c>
      <c r="J492" s="39">
        <f>PE!$S$39</f>
        <v>754.5932342000001</v>
      </c>
      <c r="K492" s="39">
        <f>PE!$T$39</f>
        <v>746.57049959999995</v>
      </c>
      <c r="L492" s="39">
        <f>PE!$U$39</f>
        <v>792.57599419999997</v>
      </c>
      <c r="M492" s="39">
        <f>PE!$V$39</f>
        <v>806.59164420000002</v>
      </c>
    </row>
    <row r="493" spans="1:13" x14ac:dyDescent="0.25">
      <c r="A493" s="40" t="s">
        <v>48</v>
      </c>
      <c r="B493" s="40" t="str">
        <f>PE!$A$40</f>
        <v>PE 37:3</v>
      </c>
      <c r="C493" s="39" t="str">
        <f>PE!$L$40</f>
        <v>C42H78N1O8P1</v>
      </c>
      <c r="D493" s="39">
        <f>PE!$M$40</f>
        <v>755.54647579999994</v>
      </c>
      <c r="E493" s="39">
        <f>PE!$N$40</f>
        <v>756.55375040000001</v>
      </c>
      <c r="F493" s="39">
        <f>PE!$O$40</f>
        <v>738.54263040000001</v>
      </c>
      <c r="G493" s="39">
        <f>PE!$P$40</f>
        <v>773.58029579999993</v>
      </c>
      <c r="H493" s="39">
        <f>PE!$Q$40</f>
        <v>778.53569579999998</v>
      </c>
      <c r="I493" s="39">
        <f>PE!$R$40</f>
        <v>794.50963579999996</v>
      </c>
      <c r="J493" s="39">
        <f>PE!$S$40</f>
        <v>762.56193580000001</v>
      </c>
      <c r="K493" s="39">
        <f>PE!$T$40</f>
        <v>754.53920119999987</v>
      </c>
      <c r="L493" s="39">
        <f>PE!$U$40</f>
        <v>800.54469579999989</v>
      </c>
      <c r="M493" s="39">
        <f>PE!$V$40</f>
        <v>814.56034579999994</v>
      </c>
    </row>
    <row r="494" spans="1:13" x14ac:dyDescent="0.25">
      <c r="A494" s="40" t="s">
        <v>48</v>
      </c>
      <c r="B494" s="40" t="str">
        <f>PE!$A$41</f>
        <v>PE 37:2</v>
      </c>
      <c r="C494" s="39" t="str">
        <f>PE!$L$41</f>
        <v>C42H80N1O8P1</v>
      </c>
      <c r="D494" s="39">
        <f>PE!$M$41</f>
        <v>757.56212500000004</v>
      </c>
      <c r="E494" s="39">
        <f>PE!$N$41</f>
        <v>758.56939960000011</v>
      </c>
      <c r="F494" s="39">
        <f>PE!$O$41</f>
        <v>740.55827960000011</v>
      </c>
      <c r="G494" s="39">
        <f>PE!$P$41</f>
        <v>775.59594500000003</v>
      </c>
      <c r="H494" s="39">
        <f>PE!$Q$41</f>
        <v>780.55134500000008</v>
      </c>
      <c r="I494" s="39">
        <f>PE!$R$41</f>
        <v>796.52528500000005</v>
      </c>
      <c r="J494" s="39">
        <f>PE!$S$41</f>
        <v>764.57758500000011</v>
      </c>
      <c r="K494" s="39">
        <f>PE!$T$41</f>
        <v>756.55485039999996</v>
      </c>
      <c r="L494" s="39">
        <f>PE!$U$41</f>
        <v>802.56034499999998</v>
      </c>
      <c r="M494" s="39">
        <f>PE!$V$41</f>
        <v>816.57599500000003</v>
      </c>
    </row>
    <row r="495" spans="1:13" x14ac:dyDescent="0.25">
      <c r="A495" s="40" t="s">
        <v>48</v>
      </c>
      <c r="B495" s="40" t="str">
        <f>PE!$A$42</f>
        <v>PE 37:1</v>
      </c>
      <c r="C495" s="39" t="str">
        <f>PE!$L$42</f>
        <v>C42H82N1O8P1</v>
      </c>
      <c r="D495" s="39">
        <f>PE!$M$42</f>
        <v>759.57777420000002</v>
      </c>
      <c r="E495" s="39">
        <f>PE!$N$42</f>
        <v>760.5850488000001</v>
      </c>
      <c r="F495" s="39">
        <f>PE!$O$42</f>
        <v>742.57392880000009</v>
      </c>
      <c r="G495" s="39">
        <f>PE!$P$42</f>
        <v>777.61159420000001</v>
      </c>
      <c r="H495" s="39">
        <f>PE!$Q$42</f>
        <v>782.56699420000007</v>
      </c>
      <c r="I495" s="39">
        <f>PE!$R$42</f>
        <v>798.54093420000004</v>
      </c>
      <c r="J495" s="39">
        <f>PE!$S$42</f>
        <v>766.5932342000001</v>
      </c>
      <c r="K495" s="39">
        <f>PE!$T$42</f>
        <v>758.57049959999995</v>
      </c>
      <c r="L495" s="39">
        <f>PE!$U$42</f>
        <v>804.57599419999997</v>
      </c>
      <c r="M495" s="39">
        <f>PE!$V$42</f>
        <v>818.59164420000002</v>
      </c>
    </row>
    <row r="496" spans="1:13" x14ac:dyDescent="0.25">
      <c r="A496" s="40" t="s">
        <v>48</v>
      </c>
      <c r="B496" s="40" t="str">
        <f>PE!$A$43</f>
        <v>PE 37:0</v>
      </c>
      <c r="C496" s="39" t="str">
        <f>PE!$L$43</f>
        <v>C42H84N1O8P1</v>
      </c>
      <c r="D496" s="39">
        <f>PE!$M$43</f>
        <v>761.59342340000001</v>
      </c>
      <c r="E496" s="39">
        <f>PE!$N$43</f>
        <v>762.60069800000008</v>
      </c>
      <c r="F496" s="39">
        <f>PE!$O$43</f>
        <v>744.58957800000007</v>
      </c>
      <c r="G496" s="39">
        <f>PE!$P$43</f>
        <v>779.6272434</v>
      </c>
      <c r="H496" s="39">
        <f>PE!$Q$43</f>
        <v>784.58264340000005</v>
      </c>
      <c r="I496" s="39">
        <f>PE!$R$43</f>
        <v>800.55658340000002</v>
      </c>
      <c r="J496" s="39">
        <f>PE!$S$43</f>
        <v>768.60888340000008</v>
      </c>
      <c r="K496" s="39">
        <f>PE!$T$43</f>
        <v>760.58614879999993</v>
      </c>
      <c r="L496" s="39">
        <f>PE!$U$43</f>
        <v>806.59164339999995</v>
      </c>
      <c r="M496" s="39">
        <f>PE!$V$43</f>
        <v>820.6072934</v>
      </c>
    </row>
    <row r="497" spans="1:14" x14ac:dyDescent="0.25">
      <c r="A497" s="40" t="s">
        <v>48</v>
      </c>
      <c r="B497" s="40" t="str">
        <f>PE!$A$44</f>
        <v>PE 38:2</v>
      </c>
      <c r="C497" s="39" t="str">
        <f>PE!$L$44</f>
        <v>C43H82N1O8P1</v>
      </c>
      <c r="D497" s="39">
        <f>PE!$M$44</f>
        <v>771.57777420000002</v>
      </c>
      <c r="E497" s="39">
        <f>PE!$N$44</f>
        <v>772.5850488000001</v>
      </c>
      <c r="F497" s="39">
        <f>PE!$O$44</f>
        <v>754.57392880000009</v>
      </c>
      <c r="G497" s="39">
        <f>PE!$P$44</f>
        <v>789.61159420000001</v>
      </c>
      <c r="H497" s="39">
        <f>PE!$Q$44</f>
        <v>794.56699420000007</v>
      </c>
      <c r="I497" s="39">
        <f>PE!$R$44</f>
        <v>810.54093420000004</v>
      </c>
      <c r="J497" s="39">
        <f>PE!$S$44</f>
        <v>778.5932342000001</v>
      </c>
      <c r="K497" s="39">
        <f>PE!$T$44</f>
        <v>770.57049959999995</v>
      </c>
      <c r="L497" s="39">
        <f>PE!$U$44</f>
        <v>816.57599419999997</v>
      </c>
      <c r="M497" s="39">
        <f>PE!$V$44</f>
        <v>830.59164420000002</v>
      </c>
    </row>
    <row r="498" spans="1:14" x14ac:dyDescent="0.25">
      <c r="A498" s="40" t="s">
        <v>48</v>
      </c>
      <c r="B498" s="40" t="str">
        <f>PE!$A$45</f>
        <v>PE 38:1</v>
      </c>
      <c r="C498" s="39" t="str">
        <f>PE!$L$45</f>
        <v>C43H84N1O8P1</v>
      </c>
      <c r="D498" s="39">
        <f>PE!$M$45</f>
        <v>773.59342340000001</v>
      </c>
      <c r="E498" s="39">
        <f>PE!$N$45</f>
        <v>774.60069800000008</v>
      </c>
      <c r="F498" s="39">
        <f>PE!$O$45</f>
        <v>756.58957800000007</v>
      </c>
      <c r="G498" s="39">
        <f>PE!$P$45</f>
        <v>791.6272434</v>
      </c>
      <c r="H498" s="39">
        <f>PE!$Q$45</f>
        <v>796.58264340000005</v>
      </c>
      <c r="I498" s="39">
        <f>PE!$R$45</f>
        <v>812.55658340000002</v>
      </c>
      <c r="J498" s="39">
        <f>PE!$S$45</f>
        <v>780.60888340000008</v>
      </c>
      <c r="K498" s="39">
        <f>PE!$T$45</f>
        <v>772.58614879999993</v>
      </c>
      <c r="L498" s="39">
        <f>PE!$U$45</f>
        <v>818.59164339999995</v>
      </c>
      <c r="M498" s="39">
        <f>PE!$V$45</f>
        <v>832.6072934</v>
      </c>
    </row>
    <row r="499" spans="1:14" x14ac:dyDescent="0.25">
      <c r="A499" s="40" t="s">
        <v>48</v>
      </c>
      <c r="B499" s="40" t="str">
        <f>PE!$A$46</f>
        <v>PE 38:0</v>
      </c>
      <c r="C499" s="39" t="str">
        <f>PE!$L$46</f>
        <v>C43H86N1O8P1</v>
      </c>
      <c r="D499" s="39">
        <f>PE!$M$46</f>
        <v>775.60907259999999</v>
      </c>
      <c r="E499" s="39">
        <f>PE!$N$46</f>
        <v>776.61634720000006</v>
      </c>
      <c r="F499" s="39">
        <f>PE!$O$46</f>
        <v>758.60522720000006</v>
      </c>
      <c r="G499" s="39">
        <f>PE!$P$46</f>
        <v>793.64289259999998</v>
      </c>
      <c r="H499" s="39">
        <f>PE!$Q$46</f>
        <v>798.59829260000004</v>
      </c>
      <c r="I499" s="39">
        <f>PE!$R$46</f>
        <v>814.57223260000001</v>
      </c>
      <c r="J499" s="39">
        <f>PE!$S$46</f>
        <v>782.62453260000007</v>
      </c>
      <c r="K499" s="39">
        <f>PE!$T$46</f>
        <v>774.60179799999992</v>
      </c>
      <c r="L499" s="39">
        <f>PE!$U$46</f>
        <v>820.60729259999994</v>
      </c>
      <c r="M499" s="39">
        <f>PE!$V$46</f>
        <v>834.62294259999999</v>
      </c>
    </row>
    <row r="500" spans="1:14" x14ac:dyDescent="0.25">
      <c r="A500" s="40" t="s">
        <v>48</v>
      </c>
      <c r="B500" s="40">
        <f>PE!$A$47</f>
        <v>0</v>
      </c>
      <c r="C500" s="39">
        <f>PE!$L$47</f>
        <v>0</v>
      </c>
      <c r="D500" s="39">
        <f>PE!$M$47</f>
        <v>0</v>
      </c>
      <c r="E500" s="39">
        <f>PE!$N$47</f>
        <v>0</v>
      </c>
      <c r="F500" s="39">
        <f>PE!$O$47</f>
        <v>0</v>
      </c>
      <c r="G500" s="39">
        <f>PE!$P$47</f>
        <v>0</v>
      </c>
      <c r="H500" s="39">
        <f>PE!$Q$47</f>
        <v>0</v>
      </c>
      <c r="I500" s="39">
        <f>PE!$R$47</f>
        <v>0</v>
      </c>
      <c r="J500" s="39">
        <f>PE!$S$47</f>
        <v>0</v>
      </c>
      <c r="K500" s="39">
        <f>PE!$T$47</f>
        <v>0</v>
      </c>
      <c r="L500" s="39">
        <f>PE!$U$47</f>
        <v>0</v>
      </c>
      <c r="M500" s="39">
        <f>PE!$V$47</f>
        <v>0</v>
      </c>
    </row>
    <row r="501" spans="1:14" x14ac:dyDescent="0.25">
      <c r="A501" s="40" t="s">
        <v>48</v>
      </c>
      <c r="B501" s="40">
        <f>PE!$A$48</f>
        <v>0</v>
      </c>
      <c r="C501" s="39">
        <f>PE!$L$48</f>
        <v>0</v>
      </c>
      <c r="D501" s="39">
        <f>PE!$M$48</f>
        <v>0</v>
      </c>
      <c r="E501" s="39">
        <f>PE!$N$48</f>
        <v>0</v>
      </c>
      <c r="F501" s="39">
        <f>PE!$O$48</f>
        <v>0</v>
      </c>
      <c r="G501" s="39">
        <f>PE!$P$48</f>
        <v>0</v>
      </c>
      <c r="H501" s="39">
        <f>PE!$Q$48</f>
        <v>0</v>
      </c>
      <c r="I501" s="39">
        <f>PE!$R$48</f>
        <v>0</v>
      </c>
      <c r="J501" s="39">
        <f>PE!$S$48</f>
        <v>0</v>
      </c>
      <c r="K501" s="39">
        <f>PE!$T$48</f>
        <v>0</v>
      </c>
      <c r="L501" s="39">
        <f>PE!$U$48</f>
        <v>0</v>
      </c>
      <c r="M501" s="39">
        <f>PE!$V$48</f>
        <v>0</v>
      </c>
    </row>
    <row r="502" spans="1:14" x14ac:dyDescent="0.25">
      <c r="A502" s="40" t="s">
        <v>48</v>
      </c>
      <c r="B502" s="40">
        <f>PE!$A$49</f>
        <v>0</v>
      </c>
      <c r="C502" s="39">
        <f>PE!$L$49</f>
        <v>0</v>
      </c>
      <c r="D502" s="39">
        <f>PE!$M$49</f>
        <v>0</v>
      </c>
      <c r="E502" s="39">
        <f>PE!$N$49</f>
        <v>0</v>
      </c>
      <c r="F502" s="39">
        <f>PE!$O$49</f>
        <v>0</v>
      </c>
      <c r="G502" s="39">
        <f>PE!$P$49</f>
        <v>0</v>
      </c>
      <c r="H502" s="39">
        <f>PE!$Q$49</f>
        <v>0</v>
      </c>
      <c r="I502" s="39">
        <f>PE!$R$49</f>
        <v>0</v>
      </c>
      <c r="J502" s="39">
        <f>PE!$S$49</f>
        <v>0</v>
      </c>
      <c r="K502" s="39">
        <f>PE!$T$49</f>
        <v>0</v>
      </c>
      <c r="L502" s="39">
        <f>PE!$U$49</f>
        <v>0</v>
      </c>
      <c r="M502" s="39">
        <f>PE!$V$49</f>
        <v>0</v>
      </c>
    </row>
    <row r="503" spans="1:14" x14ac:dyDescent="0.25">
      <c r="A503" s="40" t="s">
        <v>48</v>
      </c>
      <c r="B503" s="40">
        <f>PE!$A$50</f>
        <v>0</v>
      </c>
      <c r="C503" s="39">
        <f>PE!$L$50</f>
        <v>0</v>
      </c>
      <c r="D503" s="39">
        <f>PE!$M$50</f>
        <v>0</v>
      </c>
      <c r="E503" s="39">
        <f>PE!$N$50</f>
        <v>0</v>
      </c>
      <c r="F503" s="39">
        <f>PE!$O$50</f>
        <v>0</v>
      </c>
      <c r="G503" s="39">
        <f>PE!$P$50</f>
        <v>0</v>
      </c>
      <c r="H503" s="39">
        <f>PE!$Q$50</f>
        <v>0</v>
      </c>
      <c r="I503" s="39">
        <f>PE!$R$50</f>
        <v>0</v>
      </c>
      <c r="J503" s="39">
        <f>PE!$S$50</f>
        <v>0</v>
      </c>
      <c r="K503" s="39">
        <f>PE!$T$50</f>
        <v>0</v>
      </c>
      <c r="L503" s="39">
        <f>PE!$U$50</f>
        <v>0</v>
      </c>
      <c r="M503" s="39">
        <f>PE!$V$50</f>
        <v>0</v>
      </c>
    </row>
    <row r="504" spans="1:14" x14ac:dyDescent="0.25">
      <c r="A504" s="40" t="s">
        <v>48</v>
      </c>
      <c r="B504" s="40">
        <f>PE!$A$51</f>
        <v>0</v>
      </c>
      <c r="C504" s="39">
        <f>PE!$L$51</f>
        <v>0</v>
      </c>
      <c r="D504" s="39">
        <f>PE!$M$51</f>
        <v>0</v>
      </c>
      <c r="E504" s="39">
        <f>PE!$N$51</f>
        <v>0</v>
      </c>
      <c r="F504" s="39">
        <f>PE!$O$51</f>
        <v>0</v>
      </c>
      <c r="G504" s="39">
        <f>PE!$P$51</f>
        <v>0</v>
      </c>
      <c r="H504" s="39">
        <f>PE!$Q$51</f>
        <v>0</v>
      </c>
      <c r="I504" s="39">
        <f>PE!$R$51</f>
        <v>0</v>
      </c>
      <c r="J504" s="39">
        <f>PE!$S$51</f>
        <v>0</v>
      </c>
      <c r="K504" s="39">
        <f>PE!$T$51</f>
        <v>0</v>
      </c>
      <c r="L504" s="39">
        <f>PE!$U$51</f>
        <v>0</v>
      </c>
      <c r="M504" s="39">
        <f>PE!$V$51</f>
        <v>0</v>
      </c>
    </row>
    <row r="505" spans="1:14" x14ac:dyDescent="0.25">
      <c r="A505" s="40" t="s">
        <v>48</v>
      </c>
      <c r="B505" s="40">
        <f>PE!$A$52</f>
        <v>0</v>
      </c>
      <c r="C505" s="39">
        <f>PE!$L$52</f>
        <v>0</v>
      </c>
      <c r="D505" s="39">
        <f>PE!$M$52</f>
        <v>0</v>
      </c>
      <c r="E505" s="39">
        <f>PE!$N$52</f>
        <v>0</v>
      </c>
      <c r="F505" s="39">
        <f>PE!$O$52</f>
        <v>0</v>
      </c>
      <c r="G505" s="39">
        <f>PE!$P$52</f>
        <v>0</v>
      </c>
      <c r="H505" s="39">
        <f>PE!$Q$52</f>
        <v>0</v>
      </c>
      <c r="I505" s="39">
        <f>PE!$R$52</f>
        <v>0</v>
      </c>
      <c r="J505" s="39">
        <f>PE!$S$52</f>
        <v>0</v>
      </c>
      <c r="K505" s="39">
        <f>PE!$T$52</f>
        <v>0</v>
      </c>
      <c r="L505" s="39">
        <f>PE!$U$52</f>
        <v>0</v>
      </c>
      <c r="M505" s="39">
        <f>PE!$V$52</f>
        <v>0</v>
      </c>
    </row>
    <row r="506" spans="1:14" x14ac:dyDescent="0.25">
      <c r="A506" s="40" t="s">
        <v>48</v>
      </c>
      <c r="B506" s="40">
        <f>PE!$A$53</f>
        <v>0</v>
      </c>
      <c r="C506" s="39">
        <f>PE!$L$53</f>
        <v>0</v>
      </c>
      <c r="D506" s="39">
        <f>PE!$M$53</f>
        <v>0</v>
      </c>
      <c r="E506" s="39">
        <f>PE!$N$53</f>
        <v>0</v>
      </c>
      <c r="F506" s="39">
        <f>PE!$O$53</f>
        <v>0</v>
      </c>
      <c r="G506" s="39">
        <f>PE!$P$53</f>
        <v>0</v>
      </c>
      <c r="H506" s="39">
        <f>PE!$Q$53</f>
        <v>0</v>
      </c>
      <c r="I506" s="39">
        <f>PE!$R$53</f>
        <v>0</v>
      </c>
      <c r="J506" s="39">
        <f>PE!$S$53</f>
        <v>0</v>
      </c>
      <c r="K506" s="39">
        <f>PE!$T$53</f>
        <v>0</v>
      </c>
      <c r="L506" s="39">
        <f>PE!$U$53</f>
        <v>0</v>
      </c>
      <c r="M506" s="39">
        <f>PE!$V$53</f>
        <v>0</v>
      </c>
    </row>
    <row r="507" spans="1:14" x14ac:dyDescent="0.25">
      <c r="A507" s="40" t="s">
        <v>48</v>
      </c>
      <c r="B507" s="40">
        <f>PE!$A$54</f>
        <v>0</v>
      </c>
      <c r="C507" s="39">
        <f>PE!$L$54</f>
        <v>0</v>
      </c>
      <c r="D507" s="39">
        <f>PE!$M$54</f>
        <v>0</v>
      </c>
      <c r="E507" s="39">
        <f>PE!$N$54</f>
        <v>0</v>
      </c>
      <c r="F507" s="39">
        <f>PE!$O$54</f>
        <v>0</v>
      </c>
      <c r="G507" s="39">
        <f>PE!$P$54</f>
        <v>0</v>
      </c>
      <c r="H507" s="39">
        <f>PE!$Q$54</f>
        <v>0</v>
      </c>
      <c r="I507" s="39">
        <f>PE!$R$54</f>
        <v>0</v>
      </c>
      <c r="J507" s="39">
        <f>PE!$S$54</f>
        <v>0</v>
      </c>
      <c r="K507" s="39">
        <f>PE!$T$54</f>
        <v>0</v>
      </c>
      <c r="L507" s="39">
        <f>PE!$U$54</f>
        <v>0</v>
      </c>
      <c r="M507" s="39">
        <f>PE!$V$54</f>
        <v>0</v>
      </c>
    </row>
    <row r="508" spans="1:14" x14ac:dyDescent="0.25">
      <c r="A508" s="40" t="s">
        <v>47</v>
      </c>
      <c r="B508" s="40" t="str">
        <f>LPE!$A$3</f>
        <v>LPE 12:0</v>
      </c>
      <c r="C508" s="39" t="str">
        <f>LPE!$L$3</f>
        <v>C17H36N1O7P1</v>
      </c>
      <c r="D508" s="39">
        <f>LPE!$M$3</f>
        <v>397.22292759999999</v>
      </c>
      <c r="E508" s="39">
        <f>LPE!$N$3</f>
        <v>398.23020220000001</v>
      </c>
      <c r="F508" s="39">
        <f>LPE!$O$3</f>
        <v>380.2190822</v>
      </c>
      <c r="G508" s="39">
        <f>LPE!$P$3</f>
        <v>415.25674760000004</v>
      </c>
      <c r="H508" s="39">
        <f>LPE!$Q$3</f>
        <v>420.21214760000004</v>
      </c>
      <c r="I508" s="39">
        <f>LPE!$R$3</f>
        <v>436.18608760000001</v>
      </c>
      <c r="J508" s="39">
        <f>LPE!$S$3</f>
        <v>404.23838760000001</v>
      </c>
      <c r="K508" s="39">
        <f>LPE!$T$3</f>
        <v>396.21565299999997</v>
      </c>
      <c r="L508" s="39">
        <f>LPE!$U$3</f>
        <v>442.22114759999999</v>
      </c>
      <c r="M508" s="39">
        <f>LPE!$V$3</f>
        <v>456.23679759999999</v>
      </c>
      <c r="N508" s="39">
        <f>LPE!$W$3</f>
        <v>0</v>
      </c>
    </row>
    <row r="509" spans="1:14" x14ac:dyDescent="0.25">
      <c r="A509" s="40" t="s">
        <v>47</v>
      </c>
      <c r="B509" s="40" t="str">
        <f>LPE!$A$4</f>
        <v>LPE 13:0</v>
      </c>
      <c r="C509" s="39" t="str">
        <f>LPE!$L$4</f>
        <v>C18H38N1O7P1</v>
      </c>
      <c r="D509" s="39">
        <f>LPE!$M$4</f>
        <v>411.23857680000003</v>
      </c>
      <c r="E509" s="39">
        <f>LPE!$N$4</f>
        <v>412.24585140000005</v>
      </c>
      <c r="F509" s="39">
        <f>LPE!$O$4</f>
        <v>394.2347314000001</v>
      </c>
      <c r="G509" s="39">
        <f>LPE!$P$4</f>
        <v>429.27239680000008</v>
      </c>
      <c r="H509" s="39">
        <f>LPE!$Q$4</f>
        <v>434.22779680000008</v>
      </c>
      <c r="I509" s="39">
        <f>LPE!$R$4</f>
        <v>450.20173680000005</v>
      </c>
      <c r="J509" s="39">
        <f>LPE!$S$4</f>
        <v>418.25403680000005</v>
      </c>
      <c r="K509" s="39">
        <f>LPE!$T$4</f>
        <v>410.23130220000002</v>
      </c>
      <c r="L509" s="39">
        <f>LPE!$U$4</f>
        <v>456.23679679999998</v>
      </c>
      <c r="M509" s="39">
        <f>LPE!$V$4</f>
        <v>470.25244680000003</v>
      </c>
      <c r="N509" s="39">
        <f>LPE!$W$4</f>
        <v>0</v>
      </c>
    </row>
    <row r="510" spans="1:14" x14ac:dyDescent="0.25">
      <c r="A510" s="40" t="s">
        <v>47</v>
      </c>
      <c r="B510" s="40" t="str">
        <f>LPE!$A$5</f>
        <v>LPE 14:0</v>
      </c>
      <c r="C510" s="39" t="str">
        <f>LPE!$L$5</f>
        <v>C19H40N1O7P1</v>
      </c>
      <c r="D510" s="39">
        <f>LPE!$M$5</f>
        <v>425.25422600000007</v>
      </c>
      <c r="E510" s="39">
        <f>LPE!$N$5</f>
        <v>426.26150060000009</v>
      </c>
      <c r="F510" s="39">
        <f>LPE!$O$5</f>
        <v>408.25038060000008</v>
      </c>
      <c r="G510" s="39">
        <f>LPE!$P$5</f>
        <v>443.28804600000012</v>
      </c>
      <c r="H510" s="39">
        <f>LPE!$Q$5</f>
        <v>448.24344600000012</v>
      </c>
      <c r="I510" s="39">
        <f>LPE!$R$5</f>
        <v>464.21738600000009</v>
      </c>
      <c r="J510" s="39">
        <f>LPE!$S$5</f>
        <v>432.26968600000009</v>
      </c>
      <c r="K510" s="39">
        <f>LPE!$T$5</f>
        <v>424.24695140000006</v>
      </c>
      <c r="L510" s="39">
        <f>LPE!$U$5</f>
        <v>470.25244600000008</v>
      </c>
      <c r="M510" s="39">
        <f>LPE!$V$5</f>
        <v>484.26809600000007</v>
      </c>
      <c r="N510" s="39">
        <f>LPE!$W$5</f>
        <v>0</v>
      </c>
    </row>
    <row r="511" spans="1:14" x14ac:dyDescent="0.25">
      <c r="A511" s="40" t="s">
        <v>47</v>
      </c>
      <c r="B511" s="40" t="str">
        <f>LPE!$A$6</f>
        <v>LPE 15:1</v>
      </c>
      <c r="C511" s="39" t="str">
        <f>LPE!$L$6</f>
        <v>C20H40N1O7P1</v>
      </c>
      <c r="D511" s="39">
        <f>LPE!$M$6</f>
        <v>437.25422600000007</v>
      </c>
      <c r="E511" s="39">
        <f>LPE!$N$6</f>
        <v>438.26150060000009</v>
      </c>
      <c r="F511" s="39">
        <f>LPE!$O$6</f>
        <v>420.25038060000008</v>
      </c>
      <c r="G511" s="39">
        <f>LPE!$P$6</f>
        <v>455.28804600000012</v>
      </c>
      <c r="H511" s="39">
        <f>LPE!$Q$6</f>
        <v>460.24344600000012</v>
      </c>
      <c r="I511" s="39">
        <f>LPE!$R$6</f>
        <v>476.21738600000009</v>
      </c>
      <c r="J511" s="39">
        <f>LPE!$S$6</f>
        <v>444.26968600000009</v>
      </c>
      <c r="K511" s="39">
        <f>LPE!$T$6</f>
        <v>436.24695140000006</v>
      </c>
      <c r="L511" s="39">
        <f>LPE!$U$6</f>
        <v>482.25244600000008</v>
      </c>
      <c r="M511" s="39">
        <f>LPE!$V$6</f>
        <v>496.26809600000007</v>
      </c>
      <c r="N511" s="39">
        <f>LPE!$W$6</f>
        <v>0</v>
      </c>
    </row>
    <row r="512" spans="1:14" x14ac:dyDescent="0.25">
      <c r="A512" s="40" t="s">
        <v>47</v>
      </c>
      <c r="B512" s="40" t="str">
        <f>LPE!$A$7</f>
        <v>LPE 15:0</v>
      </c>
      <c r="C512" s="39" t="str">
        <f>LPE!$L$7</f>
        <v>C20H42N1O7P1</v>
      </c>
      <c r="D512" s="39">
        <f>LPE!$M$7</f>
        <v>439.26987520000006</v>
      </c>
      <c r="E512" s="39">
        <f>LPE!$N$7</f>
        <v>440.27714980000007</v>
      </c>
      <c r="F512" s="39">
        <f>LPE!$O$7</f>
        <v>422.26602980000007</v>
      </c>
      <c r="G512" s="39">
        <f>LPE!$P$7</f>
        <v>457.30369520000011</v>
      </c>
      <c r="H512" s="39">
        <f>LPE!$Q$7</f>
        <v>462.2590952000001</v>
      </c>
      <c r="I512" s="39">
        <f>LPE!$R$7</f>
        <v>478.23303520000007</v>
      </c>
      <c r="J512" s="39">
        <f>LPE!$S$7</f>
        <v>446.28533520000008</v>
      </c>
      <c r="K512" s="39">
        <f>LPE!$T$7</f>
        <v>438.26260060000004</v>
      </c>
      <c r="L512" s="39">
        <f>LPE!$U$7</f>
        <v>484.26809520000006</v>
      </c>
      <c r="M512" s="39">
        <f>LPE!$V$7</f>
        <v>498.28374520000006</v>
      </c>
      <c r="N512" s="39">
        <f>LPE!$W$7</f>
        <v>0</v>
      </c>
    </row>
    <row r="513" spans="1:14" x14ac:dyDescent="0.25">
      <c r="A513" s="40" t="s">
        <v>47</v>
      </c>
      <c r="B513" s="40" t="str">
        <f>LPE!$A$8</f>
        <v>LPE 16:1</v>
      </c>
      <c r="C513" s="39" t="str">
        <f>LPE!$L$8</f>
        <v>C21H42N1O7P1</v>
      </c>
      <c r="D513" s="39">
        <f>LPE!$M$8</f>
        <v>451.26987520000006</v>
      </c>
      <c r="E513" s="39">
        <f>LPE!$N$8</f>
        <v>452.27714980000007</v>
      </c>
      <c r="F513" s="39">
        <f>LPE!$O$8</f>
        <v>434.26602980000007</v>
      </c>
      <c r="G513" s="39">
        <f>LPE!$P$8</f>
        <v>469.30369520000011</v>
      </c>
      <c r="H513" s="39">
        <f>LPE!$Q$8</f>
        <v>474.2590952000001</v>
      </c>
      <c r="I513" s="39">
        <f>LPE!$R$8</f>
        <v>490.23303520000007</v>
      </c>
      <c r="J513" s="39">
        <f>LPE!$S$8</f>
        <v>458.28533520000008</v>
      </c>
      <c r="K513" s="39">
        <f>LPE!$T$8</f>
        <v>450.26260060000004</v>
      </c>
      <c r="L513" s="39">
        <f>LPE!$U$8</f>
        <v>496.26809520000006</v>
      </c>
      <c r="M513" s="39">
        <f>LPE!$V$8</f>
        <v>510.28374520000006</v>
      </c>
      <c r="N513" s="39">
        <f>LPE!$W$8</f>
        <v>0</v>
      </c>
    </row>
    <row r="514" spans="1:14" x14ac:dyDescent="0.25">
      <c r="A514" s="40" t="s">
        <v>47</v>
      </c>
      <c r="B514" s="40" t="str">
        <f>LPE!$A$9</f>
        <v>LPE 16:0</v>
      </c>
      <c r="C514" s="39" t="str">
        <f>LPE!$L$9</f>
        <v>C21H44N1O7P1</v>
      </c>
      <c r="D514" s="39">
        <f>LPE!$M$9</f>
        <v>453.28552440000004</v>
      </c>
      <c r="E514" s="39">
        <f>LPE!$N$9</f>
        <v>454.29279900000006</v>
      </c>
      <c r="F514" s="39">
        <f>LPE!$O$9</f>
        <v>436.28167900000005</v>
      </c>
      <c r="G514" s="39">
        <f>LPE!$P$9</f>
        <v>471.31934440000009</v>
      </c>
      <c r="H514" s="39">
        <f>LPE!$Q$9</f>
        <v>476.27474440000009</v>
      </c>
      <c r="I514" s="39">
        <f>LPE!$R$9</f>
        <v>492.24868440000006</v>
      </c>
      <c r="J514" s="39">
        <f>LPE!$S$9</f>
        <v>460.30098440000006</v>
      </c>
      <c r="K514" s="39">
        <f>LPE!$T$9</f>
        <v>452.27824980000003</v>
      </c>
      <c r="L514" s="39">
        <f>LPE!$U$9</f>
        <v>498.28374440000005</v>
      </c>
      <c r="M514" s="39">
        <f>LPE!$V$9</f>
        <v>512.29939439999998</v>
      </c>
      <c r="N514" s="39">
        <f>LPE!$W$9</f>
        <v>0</v>
      </c>
    </row>
    <row r="515" spans="1:14" x14ac:dyDescent="0.25">
      <c r="A515" s="40" t="s">
        <v>47</v>
      </c>
      <c r="B515" s="40" t="str">
        <f>LPE!$A$10</f>
        <v>LPE 17:0</v>
      </c>
      <c r="C515" s="39" t="str">
        <f>LPE!$L$10</f>
        <v>C22H46N1O7P1</v>
      </c>
      <c r="D515" s="39">
        <f>LPE!$M$10</f>
        <v>467.30117360000003</v>
      </c>
      <c r="E515" s="39">
        <f>LPE!$N$10</f>
        <v>468.30844820000004</v>
      </c>
      <c r="F515" s="39">
        <f>LPE!$O$10</f>
        <v>450.29732820000004</v>
      </c>
      <c r="G515" s="39">
        <f>LPE!$P$10</f>
        <v>485.33499360000008</v>
      </c>
      <c r="H515" s="39">
        <f>LPE!$Q$10</f>
        <v>490.29039360000007</v>
      </c>
      <c r="I515" s="39">
        <f>LPE!$R$10</f>
        <v>506.26433360000004</v>
      </c>
      <c r="J515" s="39">
        <f>LPE!$S$10</f>
        <v>474.31663360000005</v>
      </c>
      <c r="K515" s="39">
        <f>LPE!$T$10</f>
        <v>466.29389900000001</v>
      </c>
      <c r="L515" s="39">
        <f>LPE!$U$10</f>
        <v>512.29939360000003</v>
      </c>
      <c r="M515" s="39">
        <f>LPE!$V$10</f>
        <v>526.31504359999997</v>
      </c>
      <c r="N515" s="39">
        <f>LPE!$W$10</f>
        <v>0</v>
      </c>
    </row>
    <row r="516" spans="1:14" x14ac:dyDescent="0.25">
      <c r="A516" s="40" t="s">
        <v>47</v>
      </c>
      <c r="B516" s="40" t="str">
        <f>LPE!$A$11</f>
        <v>LPE 17:1</v>
      </c>
      <c r="C516" s="39" t="str">
        <f>LPE!$L$11</f>
        <v>C22H44N1O7P1</v>
      </c>
      <c r="D516" s="39">
        <f>LPE!$M$11</f>
        <v>465.28552440000004</v>
      </c>
      <c r="E516" s="39">
        <f>LPE!$N$11</f>
        <v>466.29279900000006</v>
      </c>
      <c r="F516" s="39">
        <f>LPE!$O$11</f>
        <v>448.28167900000005</v>
      </c>
      <c r="G516" s="39">
        <f>LPE!$P$11</f>
        <v>483.31934440000009</v>
      </c>
      <c r="H516" s="39">
        <f>LPE!$Q$11</f>
        <v>488.27474440000009</v>
      </c>
      <c r="I516" s="39">
        <f>LPE!$R$11</f>
        <v>504.24868440000006</v>
      </c>
      <c r="J516" s="39">
        <f>LPE!$S$11</f>
        <v>472.30098440000006</v>
      </c>
      <c r="K516" s="39">
        <f>LPE!$T$11</f>
        <v>464.27824980000003</v>
      </c>
      <c r="L516" s="39">
        <f>LPE!$U$11</f>
        <v>510.28374440000005</v>
      </c>
      <c r="M516" s="39">
        <f>LPE!$V$11</f>
        <v>524.29939439999998</v>
      </c>
      <c r="N516" s="39">
        <f>LPE!$W$11</f>
        <v>0</v>
      </c>
    </row>
    <row r="517" spans="1:14" x14ac:dyDescent="0.25">
      <c r="A517" s="40" t="s">
        <v>47</v>
      </c>
      <c r="B517" s="40" t="str">
        <f>LPE!$A$12</f>
        <v>LPE 18:0</v>
      </c>
      <c r="C517" s="39" t="str">
        <f>LPE!$L$12</f>
        <v>C23H48N1O7P1</v>
      </c>
      <c r="D517" s="39">
        <f>LPE!$M$12</f>
        <v>481.31682280000001</v>
      </c>
      <c r="E517" s="39">
        <f>LPE!$N$12</f>
        <v>482.32409740000003</v>
      </c>
      <c r="F517" s="39">
        <f>LPE!$O$12</f>
        <v>464.31297740000002</v>
      </c>
      <c r="G517" s="39">
        <f>LPE!$P$12</f>
        <v>499.35064280000006</v>
      </c>
      <c r="H517" s="39">
        <f>LPE!$Q$12</f>
        <v>504.30604280000006</v>
      </c>
      <c r="I517" s="39">
        <f>LPE!$R$12</f>
        <v>520.27998280000008</v>
      </c>
      <c r="J517" s="39">
        <f>LPE!$S$12</f>
        <v>488.33228280000003</v>
      </c>
      <c r="K517" s="39">
        <f>LPE!$T$12</f>
        <v>480.30954819999999</v>
      </c>
      <c r="L517" s="39">
        <f>LPE!$U$12</f>
        <v>526.31504280000001</v>
      </c>
      <c r="M517" s="39">
        <f>LPE!$V$12</f>
        <v>540.33069279999995</v>
      </c>
      <c r="N517" s="39">
        <f>LPE!$W$12</f>
        <v>0</v>
      </c>
    </row>
    <row r="518" spans="1:14" x14ac:dyDescent="0.25">
      <c r="A518" s="40" t="s">
        <v>47</v>
      </c>
      <c r="B518" s="40" t="str">
        <f>LPE!$A$13</f>
        <v>LPE 18:1</v>
      </c>
      <c r="C518" s="39" t="str">
        <f>LPE!$L$13</f>
        <v>C23H46N1O7P1</v>
      </c>
      <c r="D518" s="39">
        <f>LPE!$M$13</f>
        <v>479.30117360000003</v>
      </c>
      <c r="E518" s="39">
        <f>LPE!$N$13</f>
        <v>480.30844820000004</v>
      </c>
      <c r="F518" s="39">
        <f>LPE!$O$13</f>
        <v>462.29732820000004</v>
      </c>
      <c r="G518" s="39">
        <f>LPE!$P$13</f>
        <v>497.33499360000008</v>
      </c>
      <c r="H518" s="39">
        <f>LPE!$Q$13</f>
        <v>502.29039360000007</v>
      </c>
      <c r="I518" s="39">
        <f>LPE!$R$13</f>
        <v>518.2643336000001</v>
      </c>
      <c r="J518" s="39">
        <f>LPE!$S$13</f>
        <v>486.31663360000005</v>
      </c>
      <c r="K518" s="39">
        <f>LPE!$T$13</f>
        <v>478.29389900000001</v>
      </c>
      <c r="L518" s="39">
        <f>LPE!$U$13</f>
        <v>524.29939360000003</v>
      </c>
      <c r="M518" s="39">
        <f>LPE!$V$13</f>
        <v>538.31504359999997</v>
      </c>
      <c r="N518" s="39">
        <f>LPE!$W$13</f>
        <v>0</v>
      </c>
    </row>
    <row r="519" spans="1:14" x14ac:dyDescent="0.25">
      <c r="A519" s="40" t="s">
        <v>47</v>
      </c>
      <c r="B519" s="40" t="str">
        <f>LPE!$A$14</f>
        <v>LPE 19:0</v>
      </c>
      <c r="C519" s="39" t="str">
        <f>LPE!$L$14</f>
        <v>C24H50N1O7P1</v>
      </c>
      <c r="D519" s="39">
        <f>LPE!$M$14</f>
        <v>495.33247200000005</v>
      </c>
      <c r="E519" s="39">
        <f>LPE!$N$14</f>
        <v>496.33974660000007</v>
      </c>
      <c r="F519" s="39">
        <f>LPE!$O$14</f>
        <v>478.32862660000012</v>
      </c>
      <c r="G519" s="39">
        <f>LPE!$P$14</f>
        <v>513.36629200000004</v>
      </c>
      <c r="H519" s="39">
        <f>LPE!$Q$14</f>
        <v>518.3216920000001</v>
      </c>
      <c r="I519" s="39">
        <f>LPE!$R$14</f>
        <v>534.29563200000007</v>
      </c>
      <c r="J519" s="39">
        <f>LPE!$S$14</f>
        <v>502.34793200000007</v>
      </c>
      <c r="K519" s="39">
        <f>LPE!$T$14</f>
        <v>494.32519740000004</v>
      </c>
      <c r="L519" s="39">
        <f>LPE!$U$14</f>
        <v>540.330692</v>
      </c>
      <c r="M519" s="39">
        <f>LPE!$V$14</f>
        <v>554.34634200000005</v>
      </c>
      <c r="N519" s="39">
        <f>LPE!$W$14</f>
        <v>0</v>
      </c>
    </row>
    <row r="520" spans="1:14" x14ac:dyDescent="0.25">
      <c r="A520" s="40" t="s">
        <v>47</v>
      </c>
      <c r="B520" s="40" t="str">
        <f>LPE!$A$15</f>
        <v>LPE 19:1</v>
      </c>
      <c r="C520" s="39" t="str">
        <f>LPE!$L$15</f>
        <v>C24H48N1O7P1</v>
      </c>
      <c r="D520" s="39">
        <f>LPE!$M$15</f>
        <v>493.31682280000001</v>
      </c>
      <c r="E520" s="39">
        <f>LPE!$N$15</f>
        <v>494.32409740000003</v>
      </c>
      <c r="F520" s="39">
        <f>LPE!$O$15</f>
        <v>476.31297740000002</v>
      </c>
      <c r="G520" s="39">
        <f>LPE!$P$15</f>
        <v>511.35064280000006</v>
      </c>
      <c r="H520" s="39">
        <f>LPE!$Q$15</f>
        <v>516.3060428</v>
      </c>
      <c r="I520" s="39">
        <f>LPE!$R$15</f>
        <v>532.27998280000008</v>
      </c>
      <c r="J520" s="39">
        <f>LPE!$S$15</f>
        <v>500.33228280000003</v>
      </c>
      <c r="K520" s="39">
        <f>LPE!$T$15</f>
        <v>492.30954819999999</v>
      </c>
      <c r="L520" s="39">
        <f>LPE!$U$15</f>
        <v>538.31504280000001</v>
      </c>
      <c r="M520" s="39">
        <f>LPE!$V$15</f>
        <v>552.33069279999995</v>
      </c>
      <c r="N520" s="39">
        <f>LPE!$W$15</f>
        <v>0</v>
      </c>
    </row>
    <row r="521" spans="1:14" x14ac:dyDescent="0.25">
      <c r="A521" s="40" t="s">
        <v>47</v>
      </c>
      <c r="B521" s="40" t="str">
        <f>LPE!$A$16</f>
        <v>LPE 20:0</v>
      </c>
      <c r="C521" s="39" t="str">
        <f>LPE!$L$16</f>
        <v>C25H52N1O7P1</v>
      </c>
      <c r="D521" s="39">
        <f>LPE!$M$16</f>
        <v>509.34812120000004</v>
      </c>
      <c r="E521" s="39">
        <f>LPE!$N$16</f>
        <v>510.35539580000005</v>
      </c>
      <c r="F521" s="39">
        <f>LPE!$O$16</f>
        <v>492.3442758000001</v>
      </c>
      <c r="G521" s="39">
        <f>LPE!$P$16</f>
        <v>527.38194120000003</v>
      </c>
      <c r="H521" s="39">
        <f>LPE!$Q$16</f>
        <v>532.33734120000008</v>
      </c>
      <c r="I521" s="39">
        <f>LPE!$R$16</f>
        <v>548.31128120000005</v>
      </c>
      <c r="J521" s="39">
        <f>LPE!$S$16</f>
        <v>516.36358120000011</v>
      </c>
      <c r="K521" s="39">
        <f>LPE!$T$16</f>
        <v>508.34084660000002</v>
      </c>
      <c r="L521" s="39">
        <f>LPE!$U$16</f>
        <v>554.34634119999998</v>
      </c>
      <c r="M521" s="39">
        <f>LPE!$V$16</f>
        <v>568.36199120000003</v>
      </c>
      <c r="N521" s="39">
        <f>LPE!$W$16</f>
        <v>0</v>
      </c>
    </row>
    <row r="522" spans="1:14" x14ac:dyDescent="0.25">
      <c r="A522" s="40" t="s">
        <v>47</v>
      </c>
      <c r="B522" s="40" t="str">
        <f>LPE!$A$17</f>
        <v>LPE 20:1</v>
      </c>
      <c r="C522" s="39" t="str">
        <f>LPE!$L$17</f>
        <v>C25H50N1O7P1</v>
      </c>
      <c r="D522" s="39">
        <f>LPE!$M$17</f>
        <v>507.33247200000005</v>
      </c>
      <c r="E522" s="39">
        <f>LPE!$N$17</f>
        <v>508.33974660000007</v>
      </c>
      <c r="F522" s="39">
        <f>LPE!$O$17</f>
        <v>490.32862660000012</v>
      </c>
      <c r="G522" s="39">
        <f>LPE!$P$17</f>
        <v>525.36629200000004</v>
      </c>
      <c r="H522" s="39">
        <f>LPE!$Q$17</f>
        <v>530.3216920000001</v>
      </c>
      <c r="I522" s="39">
        <f>LPE!$R$17</f>
        <v>546.29563200000007</v>
      </c>
      <c r="J522" s="39">
        <f>LPE!$S$17</f>
        <v>514.34793200000013</v>
      </c>
      <c r="K522" s="39">
        <f>LPE!$T$17</f>
        <v>506.32519740000004</v>
      </c>
      <c r="L522" s="39">
        <f>LPE!$U$17</f>
        <v>552.330692</v>
      </c>
      <c r="M522" s="39">
        <f>LPE!$V$17</f>
        <v>566.34634200000005</v>
      </c>
      <c r="N522" s="39">
        <f>LPE!$W$17</f>
        <v>0</v>
      </c>
    </row>
    <row r="523" spans="1:14" x14ac:dyDescent="0.25">
      <c r="A523" s="40" t="s">
        <v>47</v>
      </c>
      <c r="B523" s="40" t="str">
        <f>LPE!$A$18</f>
        <v>LPE 21:0</v>
      </c>
      <c r="C523" s="39" t="str">
        <f>LPE!$L$18</f>
        <v>C26H54N1O7P1</v>
      </c>
      <c r="D523" s="39">
        <f>LPE!$M$18</f>
        <v>523.36377040000002</v>
      </c>
      <c r="E523" s="39">
        <f>LPE!$N$18</f>
        <v>524.37104500000009</v>
      </c>
      <c r="F523" s="39">
        <f>LPE!$O$18</f>
        <v>506.35992500000009</v>
      </c>
      <c r="G523" s="39">
        <f>LPE!$P$18</f>
        <v>541.39759040000001</v>
      </c>
      <c r="H523" s="39">
        <f>LPE!$Q$18</f>
        <v>546.35299040000007</v>
      </c>
      <c r="I523" s="39">
        <f>LPE!$R$18</f>
        <v>562.32693040000004</v>
      </c>
      <c r="J523" s="39">
        <f>LPE!$S$18</f>
        <v>530.3792304000001</v>
      </c>
      <c r="K523" s="39">
        <f>LPE!$T$18</f>
        <v>522.35649579999995</v>
      </c>
      <c r="L523" s="39">
        <f>LPE!$U$18</f>
        <v>568.36199039999997</v>
      </c>
      <c r="M523" s="39">
        <f>LPE!$V$18</f>
        <v>582.37764040000002</v>
      </c>
      <c r="N523" s="39">
        <f>LPE!$W$18</f>
        <v>0</v>
      </c>
    </row>
    <row r="524" spans="1:14" x14ac:dyDescent="0.25">
      <c r="A524" s="40" t="s">
        <v>47</v>
      </c>
      <c r="B524" s="40" t="str">
        <f>LPE!$A$19</f>
        <v>LPE 21:1</v>
      </c>
      <c r="C524" s="39" t="str">
        <f>LPE!$L$19</f>
        <v>C26H52N1O7P1</v>
      </c>
      <c r="D524" s="39">
        <f>LPE!$M$19</f>
        <v>521.34812120000004</v>
      </c>
      <c r="E524" s="39">
        <f>LPE!$N$19</f>
        <v>522.35539580000011</v>
      </c>
      <c r="F524" s="39">
        <f>LPE!$O$19</f>
        <v>504.3442758000001</v>
      </c>
      <c r="G524" s="39">
        <f>LPE!$P$19</f>
        <v>539.38194120000003</v>
      </c>
      <c r="H524" s="39">
        <f>LPE!$Q$19</f>
        <v>544.33734120000008</v>
      </c>
      <c r="I524" s="39">
        <f>LPE!$R$19</f>
        <v>560.31128120000005</v>
      </c>
      <c r="J524" s="39">
        <f>LPE!$S$19</f>
        <v>528.36358120000011</v>
      </c>
      <c r="K524" s="39">
        <f>LPE!$T$19</f>
        <v>520.34084659999996</v>
      </c>
      <c r="L524" s="39">
        <f>LPE!$U$19</f>
        <v>566.34634119999998</v>
      </c>
      <c r="M524" s="39">
        <f>LPE!$V$19</f>
        <v>580.36199120000003</v>
      </c>
      <c r="N524" s="39">
        <f>LPE!$W$19</f>
        <v>0</v>
      </c>
    </row>
    <row r="525" spans="1:14" x14ac:dyDescent="0.25">
      <c r="A525" s="40" t="s">
        <v>47</v>
      </c>
      <c r="B525" s="40" t="str">
        <f>LPE!$A$20</f>
        <v>LPE 22:0</v>
      </c>
      <c r="C525" s="39" t="str">
        <f>LPE!$L$20</f>
        <v>C27H56N1O7P1</v>
      </c>
      <c r="D525" s="39">
        <f>LPE!$M$20</f>
        <v>537.37941960000001</v>
      </c>
      <c r="E525" s="39">
        <f>LPE!$N$20</f>
        <v>538.38669420000008</v>
      </c>
      <c r="F525" s="39">
        <f>LPE!$O$20</f>
        <v>520.37557420000007</v>
      </c>
      <c r="G525" s="39">
        <f>LPE!$P$20</f>
        <v>555.4132396</v>
      </c>
      <c r="H525" s="39">
        <f>LPE!$Q$20</f>
        <v>560.36863960000005</v>
      </c>
      <c r="I525" s="39">
        <f>LPE!$R$20</f>
        <v>576.34257960000002</v>
      </c>
      <c r="J525" s="39">
        <f>LPE!$S$20</f>
        <v>544.39487960000008</v>
      </c>
      <c r="K525" s="39">
        <f>LPE!$T$20</f>
        <v>536.37214499999993</v>
      </c>
      <c r="L525" s="39">
        <f>LPE!$U$20</f>
        <v>582.37763959999995</v>
      </c>
      <c r="M525" s="39">
        <f>LPE!$V$20</f>
        <v>596.3932896</v>
      </c>
      <c r="N525" s="39">
        <f>LPE!$W$20</f>
        <v>0</v>
      </c>
    </row>
    <row r="526" spans="1:14" x14ac:dyDescent="0.25">
      <c r="A526" s="40" t="s">
        <v>47</v>
      </c>
      <c r="B526" s="40" t="str">
        <f>LPE!$A$21</f>
        <v>LPE 22:1</v>
      </c>
      <c r="C526" s="39" t="str">
        <f>LPE!$L$21</f>
        <v>C27H54N1O7P1</v>
      </c>
      <c r="D526" s="39">
        <f>LPE!$M$21</f>
        <v>535.36377040000002</v>
      </c>
      <c r="E526" s="39">
        <f>LPE!$N$21</f>
        <v>536.37104500000009</v>
      </c>
      <c r="F526" s="39">
        <f>LPE!$O$21</f>
        <v>518.35992500000009</v>
      </c>
      <c r="G526" s="39">
        <f>LPE!$P$21</f>
        <v>553.39759040000001</v>
      </c>
      <c r="H526" s="39">
        <f>LPE!$Q$21</f>
        <v>558.35299040000007</v>
      </c>
      <c r="I526" s="39">
        <f>LPE!$R$21</f>
        <v>574.32693040000004</v>
      </c>
      <c r="J526" s="39">
        <f>LPE!$S$21</f>
        <v>542.3792304000001</v>
      </c>
      <c r="K526" s="39">
        <f>LPE!$T$21</f>
        <v>534.35649579999995</v>
      </c>
      <c r="L526" s="39">
        <f>LPE!$U$21</f>
        <v>580.36199039999997</v>
      </c>
      <c r="M526" s="39">
        <f>LPE!$V$21</f>
        <v>594.37764040000002</v>
      </c>
      <c r="N526" s="39">
        <f>LPE!$W$21</f>
        <v>0</v>
      </c>
    </row>
    <row r="527" spans="1:14" x14ac:dyDescent="0.25">
      <c r="A527" s="40" t="s">
        <v>47</v>
      </c>
      <c r="B527" s="40" t="str">
        <f>LPE!$A$22</f>
        <v>LPE 23:0</v>
      </c>
      <c r="C527" s="39" t="str">
        <f>LPE!$L$22</f>
        <v>C28H58N1O7P1</v>
      </c>
      <c r="D527" s="39">
        <f>LPE!$M$22</f>
        <v>551.39506879999999</v>
      </c>
      <c r="E527" s="39">
        <f>LPE!$N$22</f>
        <v>552.40234340000006</v>
      </c>
      <c r="F527" s="39">
        <f>LPE!$O$22</f>
        <v>534.39122340000006</v>
      </c>
      <c r="G527" s="39">
        <f>LPE!$P$22</f>
        <v>569.42888879999998</v>
      </c>
      <c r="H527" s="39">
        <f>LPE!$Q$22</f>
        <v>574.38428880000004</v>
      </c>
      <c r="I527" s="39">
        <f>LPE!$R$22</f>
        <v>590.35822880000001</v>
      </c>
      <c r="J527" s="39">
        <f>LPE!$S$22</f>
        <v>558.41052880000007</v>
      </c>
      <c r="K527" s="39">
        <f>LPE!$T$22</f>
        <v>550.38779419999992</v>
      </c>
      <c r="L527" s="39">
        <f>LPE!$U$22</f>
        <v>596.39328879999994</v>
      </c>
      <c r="M527" s="39">
        <f>LPE!$V$22</f>
        <v>610.40893879999999</v>
      </c>
      <c r="N527" s="39">
        <f>LPE!$W$22</f>
        <v>0</v>
      </c>
    </row>
    <row r="528" spans="1:14" x14ac:dyDescent="0.25">
      <c r="A528" s="40" t="s">
        <v>47</v>
      </c>
      <c r="B528" s="40" t="str">
        <f>LPE!$A$23</f>
        <v>LPE 23:1</v>
      </c>
      <c r="C528" s="39" t="str">
        <f>LPE!$L$23</f>
        <v>C28H56N1O7P1</v>
      </c>
      <c r="D528" s="39">
        <f>LPE!$M$23</f>
        <v>549.37941960000001</v>
      </c>
      <c r="E528" s="39">
        <f>LPE!$N$23</f>
        <v>550.38669420000008</v>
      </c>
      <c r="F528" s="39">
        <f>LPE!$O$23</f>
        <v>532.37557420000007</v>
      </c>
      <c r="G528" s="39">
        <f>LPE!$P$23</f>
        <v>567.4132396</v>
      </c>
      <c r="H528" s="39">
        <f>LPE!$Q$23</f>
        <v>572.36863960000005</v>
      </c>
      <c r="I528" s="39">
        <f>LPE!$R$23</f>
        <v>588.34257960000002</v>
      </c>
      <c r="J528" s="39">
        <f>LPE!$S$23</f>
        <v>556.39487960000008</v>
      </c>
      <c r="K528" s="39">
        <f>LPE!$T$23</f>
        <v>548.37214499999993</v>
      </c>
      <c r="L528" s="39">
        <f>LPE!$U$23</f>
        <v>594.37763959999995</v>
      </c>
      <c r="M528" s="39">
        <f>LPE!$V$23</f>
        <v>608.3932896</v>
      </c>
      <c r="N528" s="39">
        <f>LPE!$W$23</f>
        <v>0</v>
      </c>
    </row>
    <row r="529" spans="1:14" x14ac:dyDescent="0.25">
      <c r="A529" s="40" t="s">
        <v>47</v>
      </c>
      <c r="B529" s="40" t="str">
        <f>LPE!$A$24</f>
        <v>LPE 24:1</v>
      </c>
      <c r="C529" s="39" t="str">
        <f>LPE!$L$24</f>
        <v>C29H58N1O7P1</v>
      </c>
      <c r="D529" s="39">
        <f>LPE!$M$24</f>
        <v>563.39506879999999</v>
      </c>
      <c r="E529" s="39">
        <f>LPE!$N$24</f>
        <v>564.40234340000006</v>
      </c>
      <c r="F529" s="39">
        <f>LPE!$O$24</f>
        <v>546.39122340000006</v>
      </c>
      <c r="G529" s="39">
        <f>LPE!$P$24</f>
        <v>581.42888879999998</v>
      </c>
      <c r="H529" s="39">
        <f>LPE!$Q$24</f>
        <v>586.38428880000004</v>
      </c>
      <c r="I529" s="39">
        <f>LPE!$R$24</f>
        <v>602.35822880000001</v>
      </c>
      <c r="J529" s="39">
        <f>LPE!$S$24</f>
        <v>570.41052880000007</v>
      </c>
      <c r="K529" s="39">
        <f>LPE!$T$24</f>
        <v>562.38779419999992</v>
      </c>
      <c r="L529" s="39">
        <f>LPE!$U$24</f>
        <v>608.39328879999994</v>
      </c>
      <c r="M529" s="39">
        <f>LPE!$V$24</f>
        <v>622.40893879999999</v>
      </c>
      <c r="N529" s="39">
        <f>LPE!$W$24</f>
        <v>0</v>
      </c>
    </row>
    <row r="530" spans="1:14" x14ac:dyDescent="0.25">
      <c r="A530" s="40" t="s">
        <v>47</v>
      </c>
      <c r="B530" s="40" t="str">
        <f>LPE!$A$25</f>
        <v>LPE 24:2</v>
      </c>
      <c r="C530" s="39" t="str">
        <f>LPE!$L$25</f>
        <v>C29H56N1O7P1</v>
      </c>
      <c r="D530" s="39">
        <f>LPE!$M$25</f>
        <v>561.37941960000001</v>
      </c>
      <c r="E530" s="39">
        <f>LPE!$N$25</f>
        <v>562.38669420000008</v>
      </c>
      <c r="F530" s="39">
        <f>LPE!$O$25</f>
        <v>544.37557420000007</v>
      </c>
      <c r="G530" s="39">
        <f>LPE!$P$25</f>
        <v>579.4132396</v>
      </c>
      <c r="H530" s="39">
        <f>LPE!$Q$25</f>
        <v>584.36863960000005</v>
      </c>
      <c r="I530" s="39">
        <f>LPE!$R$25</f>
        <v>600.34257960000002</v>
      </c>
      <c r="J530" s="39">
        <f>LPE!$S$25</f>
        <v>568.39487960000008</v>
      </c>
      <c r="K530" s="39">
        <f>LPE!$T$25</f>
        <v>560.37214499999993</v>
      </c>
      <c r="L530" s="39">
        <f>LPE!$U$25</f>
        <v>606.37763959999995</v>
      </c>
      <c r="M530" s="39">
        <f>LPE!$V$25</f>
        <v>620.3932896</v>
      </c>
      <c r="N530" s="39">
        <f>LPE!$W$25</f>
        <v>0</v>
      </c>
    </row>
    <row r="531" spans="1:14" x14ac:dyDescent="0.25">
      <c r="A531" s="40" t="s">
        <v>47</v>
      </c>
      <c r="B531" s="40" t="str">
        <f>LPE!$A$26</f>
        <v>LPE 25:0</v>
      </c>
      <c r="C531" s="39" t="str">
        <f>LPE!$L$26</f>
        <v>C30H62N1O7P1</v>
      </c>
      <c r="D531" s="39">
        <f>LPE!$M$26</f>
        <v>579.42636719999996</v>
      </c>
      <c r="E531" s="39">
        <f>LPE!$N$26</f>
        <v>580.43364180000003</v>
      </c>
      <c r="F531" s="39">
        <f>LPE!$O$26</f>
        <v>562.42252180000003</v>
      </c>
      <c r="G531" s="39">
        <f>LPE!$P$26</f>
        <v>597.46018719999995</v>
      </c>
      <c r="H531" s="39">
        <f>LPE!$Q$26</f>
        <v>602.4155872</v>
      </c>
      <c r="I531" s="39">
        <f>LPE!$R$26</f>
        <v>618.38952719999997</v>
      </c>
      <c r="J531" s="39">
        <f>LPE!$S$26</f>
        <v>586.44182720000003</v>
      </c>
      <c r="K531" s="39">
        <f>LPE!$T$26</f>
        <v>578.41909259999989</v>
      </c>
      <c r="L531" s="39">
        <f>LPE!$U$26</f>
        <v>624.42458719999991</v>
      </c>
      <c r="M531" s="39">
        <f>LPE!$V$26</f>
        <v>638.44023719999996</v>
      </c>
      <c r="N531" s="39">
        <f>LPE!$W$26</f>
        <v>0</v>
      </c>
    </row>
    <row r="532" spans="1:14" x14ac:dyDescent="0.25">
      <c r="A532" s="40" t="s">
        <v>47</v>
      </c>
      <c r="B532" s="40" t="str">
        <f>LPE!$A$27</f>
        <v>LPE 24:4</v>
      </c>
      <c r="C532" s="39" t="str">
        <f>LPE!$L$27</f>
        <v>C29H52N1O7P1</v>
      </c>
      <c r="D532" s="39">
        <f>LPE!$M$27</f>
        <v>557.34812119999992</v>
      </c>
      <c r="E532" s="39">
        <f>LPE!$N$27</f>
        <v>558.3553958</v>
      </c>
      <c r="F532" s="39">
        <f>LPE!$O$27</f>
        <v>540.34427579999999</v>
      </c>
      <c r="G532" s="39">
        <f>LPE!$P$27</f>
        <v>575.38194119999991</v>
      </c>
      <c r="H532" s="39">
        <f>LPE!$Q$27</f>
        <v>580.33734119999997</v>
      </c>
      <c r="I532" s="39">
        <f>LPE!$R$27</f>
        <v>596.31128119999994</v>
      </c>
      <c r="J532" s="39">
        <f>LPE!$S$27</f>
        <v>564.3635812</v>
      </c>
      <c r="K532" s="39">
        <f>LPE!$T$27</f>
        <v>556.34084659999985</v>
      </c>
      <c r="L532" s="39">
        <f>LPE!$U$27</f>
        <v>602.34634119999987</v>
      </c>
      <c r="M532" s="39">
        <f>LPE!$V$27</f>
        <v>616.36199119999992</v>
      </c>
      <c r="N532" s="39">
        <f>LPE!$W$27</f>
        <v>0</v>
      </c>
    </row>
    <row r="533" spans="1:14" x14ac:dyDescent="0.25">
      <c r="A533" s="40" t="s">
        <v>47</v>
      </c>
      <c r="B533" s="40" t="str">
        <f>LPE!$A$28</f>
        <v>LPE 22:6</v>
      </c>
      <c r="C533" s="39" t="str">
        <f>LPE!$L$28</f>
        <v>C27H44N1O7P1</v>
      </c>
      <c r="D533" s="39">
        <f>LPE!$M$28</f>
        <v>525.28552439999999</v>
      </c>
      <c r="E533" s="39">
        <f>LPE!$N$28</f>
        <v>526.29279900000006</v>
      </c>
      <c r="F533" s="39">
        <f>LPE!$O$28</f>
        <v>508.28167900000005</v>
      </c>
      <c r="G533" s="39">
        <f>LPE!$P$28</f>
        <v>543.31934439999998</v>
      </c>
      <c r="H533" s="39">
        <f>LPE!$Q$28</f>
        <v>548.27474440000003</v>
      </c>
      <c r="I533" s="39">
        <f>LPE!$R$28</f>
        <v>564.2486844</v>
      </c>
      <c r="J533" s="39">
        <f>LPE!$S$28</f>
        <v>532.30098440000006</v>
      </c>
      <c r="K533" s="39">
        <f>LPE!$T$28</f>
        <v>524.27824979999991</v>
      </c>
      <c r="L533" s="39">
        <f>LPE!$U$28</f>
        <v>570.28374439999993</v>
      </c>
      <c r="M533" s="39">
        <f>LPE!$V$28</f>
        <v>584.29939439999998</v>
      </c>
      <c r="N533" s="39">
        <f>LPE!$W$28</f>
        <v>0</v>
      </c>
    </row>
    <row r="534" spans="1:14" x14ac:dyDescent="0.25">
      <c r="A534" s="40" t="s">
        <v>47</v>
      </c>
      <c r="B534" s="40" t="str">
        <f>LPE!$A$29</f>
        <v>LPE 20:4</v>
      </c>
      <c r="C534" s="39" t="str">
        <f>LPE!$L$29</f>
        <v>C25H44N1O7P1</v>
      </c>
      <c r="D534" s="39">
        <f>LPE!$M$29</f>
        <v>501.28552440000004</v>
      </c>
      <c r="E534" s="39">
        <f>LPE!$N$29</f>
        <v>502.29279900000006</v>
      </c>
      <c r="F534" s="39">
        <f>LPE!$O$29</f>
        <v>484.28167900000005</v>
      </c>
      <c r="G534" s="39">
        <f>LPE!$P$29</f>
        <v>519.31934440000009</v>
      </c>
      <c r="H534" s="39">
        <f>LPE!$Q$29</f>
        <v>524.27474440000003</v>
      </c>
      <c r="I534" s="39">
        <f>LPE!$R$29</f>
        <v>540.24868440000012</v>
      </c>
      <c r="J534" s="39">
        <f>LPE!$S$29</f>
        <v>508.30098440000006</v>
      </c>
      <c r="K534" s="39">
        <f>LPE!$T$29</f>
        <v>500.27824980000003</v>
      </c>
      <c r="L534" s="39">
        <f>LPE!$U$29</f>
        <v>546.28374440000005</v>
      </c>
      <c r="M534" s="39">
        <f>LPE!$V$29</f>
        <v>560.29939439999998</v>
      </c>
      <c r="N534" s="39">
        <f>LPE!$W$29</f>
        <v>0</v>
      </c>
    </row>
    <row r="535" spans="1:14" x14ac:dyDescent="0.25">
      <c r="A535" s="40" t="s">
        <v>49</v>
      </c>
      <c r="B535" s="40" t="str">
        <f>LPG!$A$3</f>
        <v>LPG 18:0</v>
      </c>
      <c r="C535" s="39" t="str">
        <f>LPG!$L$3</f>
        <v>C24H49O9P1</v>
      </c>
      <c r="D535" s="39">
        <f>LPG!$M$3</f>
        <v>512.31140340000002</v>
      </c>
      <c r="E535" s="39">
        <f>LPG!$N$3</f>
        <v>513.31867800000009</v>
      </c>
      <c r="F535" s="39">
        <f>LPG!$O$3</f>
        <v>495.30755800000009</v>
      </c>
      <c r="G535" s="39">
        <f>LPG!$P$3</f>
        <v>530.34522340000001</v>
      </c>
      <c r="H535" s="39">
        <f>LPG!$Q$3</f>
        <v>535.30062340000006</v>
      </c>
      <c r="I535" s="39">
        <f>LPG!$R$3</f>
        <v>551.27456340000003</v>
      </c>
      <c r="J535" s="39">
        <f>LPG!$S$3</f>
        <v>519.32686340000009</v>
      </c>
      <c r="K535" s="39">
        <f>LPG!$T$3</f>
        <v>511.3041288</v>
      </c>
      <c r="L535" s="39">
        <f>LPG!$U$3</f>
        <v>557.30962339999996</v>
      </c>
      <c r="M535" s="39">
        <f>LPG!$V$3</f>
        <v>571.32527340000001</v>
      </c>
    </row>
    <row r="536" spans="1:14" x14ac:dyDescent="0.25">
      <c r="A536" s="40" t="s">
        <v>49</v>
      </c>
      <c r="B536" s="40">
        <f>LPG!$A$4</f>
        <v>0</v>
      </c>
      <c r="C536" s="39">
        <f>LPG!$L$4</f>
        <v>0</v>
      </c>
      <c r="D536" s="39">
        <f>LPG!$M$4</f>
        <v>0</v>
      </c>
      <c r="E536" s="39">
        <f>LPG!$N$4</f>
        <v>0</v>
      </c>
      <c r="F536" s="39">
        <f>LPG!$O$4</f>
        <v>0</v>
      </c>
      <c r="G536" s="39">
        <f>LPG!$P$4</f>
        <v>0</v>
      </c>
      <c r="H536" s="39">
        <f>LPG!$Q$4</f>
        <v>0</v>
      </c>
      <c r="I536" s="39">
        <f>LPG!$R$4</f>
        <v>0</v>
      </c>
      <c r="J536" s="39">
        <f>LPG!$S$4</f>
        <v>0</v>
      </c>
      <c r="K536" s="39">
        <f>LPG!$T$4</f>
        <v>0</v>
      </c>
      <c r="L536" s="39">
        <f>LPG!$U$4</f>
        <v>0</v>
      </c>
      <c r="M536" s="39">
        <f>LPG!$V$4</f>
        <v>0</v>
      </c>
    </row>
    <row r="537" spans="1:14" x14ac:dyDescent="0.25">
      <c r="A537" s="40" t="s">
        <v>49</v>
      </c>
      <c r="B537" s="40" t="str">
        <f>LPG!$A$5</f>
        <v>LPG 14:1</v>
      </c>
      <c r="C537" s="39" t="str">
        <f>LPG!$L$5</f>
        <v>C20H39O9P1</v>
      </c>
      <c r="D537" s="39">
        <f>LPG!$M$5</f>
        <v>454.23315740000004</v>
      </c>
      <c r="E537" s="39">
        <f>LPG!$N$5</f>
        <v>455.24043200000006</v>
      </c>
      <c r="F537" s="39">
        <f>LPG!$O$5</f>
        <v>437.22931200000005</v>
      </c>
      <c r="G537" s="39">
        <f>LPG!$P$5</f>
        <v>472.26697740000009</v>
      </c>
      <c r="H537" s="39">
        <f>LPG!$Q$5</f>
        <v>477.22237740000008</v>
      </c>
      <c r="I537" s="39">
        <f>LPG!$R$5</f>
        <v>493.19631740000005</v>
      </c>
      <c r="J537" s="39">
        <f>LPG!$S$5</f>
        <v>461.24861740000006</v>
      </c>
      <c r="K537" s="39">
        <f>LPG!$T$5</f>
        <v>453.22588280000002</v>
      </c>
      <c r="L537" s="39">
        <f>LPG!$U$5</f>
        <v>499.23137740000004</v>
      </c>
      <c r="M537" s="39">
        <f>LPG!$V$5</f>
        <v>513.24702739999998</v>
      </c>
    </row>
    <row r="538" spans="1:14" x14ac:dyDescent="0.25">
      <c r="A538" s="40" t="s">
        <v>49</v>
      </c>
      <c r="B538" s="40" t="str">
        <f>LPG!$A$6</f>
        <v>LPG 14:0</v>
      </c>
      <c r="C538" s="39" t="str">
        <f>LPG!$L$6</f>
        <v>C20H41O9P1</v>
      </c>
      <c r="D538" s="39">
        <f>LPG!$M$6</f>
        <v>456.24880660000002</v>
      </c>
      <c r="E538" s="39">
        <f>LPG!$N$6</f>
        <v>457.25608120000004</v>
      </c>
      <c r="F538" s="39">
        <f>LPG!$O$6</f>
        <v>439.24496120000003</v>
      </c>
      <c r="G538" s="39">
        <f>LPG!$P$6</f>
        <v>474.28262660000007</v>
      </c>
      <c r="H538" s="39">
        <f>LPG!$Q$6</f>
        <v>479.23802660000007</v>
      </c>
      <c r="I538" s="39">
        <f>LPG!$R$6</f>
        <v>495.21196660000004</v>
      </c>
      <c r="J538" s="39">
        <f>LPG!$S$6</f>
        <v>463.26426660000004</v>
      </c>
      <c r="K538" s="39">
        <f>LPG!$T$6</f>
        <v>455.24153200000001</v>
      </c>
      <c r="L538" s="39">
        <f>LPG!$U$6</f>
        <v>501.24702660000003</v>
      </c>
      <c r="M538" s="39">
        <f>LPG!$V$6</f>
        <v>515.26267659999996</v>
      </c>
    </row>
    <row r="539" spans="1:14" x14ac:dyDescent="0.25">
      <c r="A539" s="40" t="s">
        <v>49</v>
      </c>
      <c r="B539" s="40" t="str">
        <f>LPG!$A$7</f>
        <v>LPG 15:1</v>
      </c>
      <c r="C539" s="39" t="str">
        <f>LPG!$L$7</f>
        <v>C21H41O9P1</v>
      </c>
      <c r="D539" s="39">
        <f>LPG!$M$7</f>
        <v>468.24880660000002</v>
      </c>
      <c r="E539" s="39">
        <f>LPG!$N$7</f>
        <v>469.25608120000004</v>
      </c>
      <c r="F539" s="39">
        <f>LPG!$O$7</f>
        <v>451.24496120000003</v>
      </c>
      <c r="G539" s="39">
        <f>LPG!$P$7</f>
        <v>486.28262660000007</v>
      </c>
      <c r="H539" s="39">
        <f>LPG!$Q$7</f>
        <v>491.23802660000007</v>
      </c>
      <c r="I539" s="39">
        <f>LPG!$R$7</f>
        <v>507.21196660000004</v>
      </c>
      <c r="J539" s="39">
        <f>LPG!$S$7</f>
        <v>475.26426660000004</v>
      </c>
      <c r="K539" s="39">
        <f>LPG!$T$7</f>
        <v>467.24153200000001</v>
      </c>
      <c r="L539" s="39">
        <f>LPG!$U$7</f>
        <v>513.24702660000003</v>
      </c>
      <c r="M539" s="39">
        <f>LPG!$V$7</f>
        <v>527.26267659999996</v>
      </c>
    </row>
    <row r="540" spans="1:14" x14ac:dyDescent="0.25">
      <c r="A540" s="40" t="s">
        <v>49</v>
      </c>
      <c r="B540" s="40" t="str">
        <f>LPG!$A$8</f>
        <v>LPG 15:0</v>
      </c>
      <c r="C540" s="39" t="str">
        <f>LPG!$L$8</f>
        <v>C21H43O9P1</v>
      </c>
      <c r="D540" s="39">
        <f>LPG!$M$8</f>
        <v>470.26445580000001</v>
      </c>
      <c r="E540" s="39">
        <f>LPG!$N$8</f>
        <v>471.27173040000002</v>
      </c>
      <c r="F540" s="39">
        <f>LPG!$O$8</f>
        <v>453.26061040000002</v>
      </c>
      <c r="G540" s="39">
        <f>LPG!$P$8</f>
        <v>488.29827580000006</v>
      </c>
      <c r="H540" s="39">
        <f>LPG!$Q$8</f>
        <v>493.25367580000005</v>
      </c>
      <c r="I540" s="39">
        <f>LPG!$R$8</f>
        <v>509.22761580000002</v>
      </c>
      <c r="J540" s="39">
        <f>LPG!$S$8</f>
        <v>477.27991580000003</v>
      </c>
      <c r="K540" s="39">
        <f>LPG!$T$8</f>
        <v>469.25718119999999</v>
      </c>
      <c r="L540" s="39">
        <f>LPG!$U$8</f>
        <v>515.26267580000001</v>
      </c>
      <c r="M540" s="39">
        <f>LPG!$V$8</f>
        <v>529.27832579999995</v>
      </c>
    </row>
    <row r="541" spans="1:14" x14ac:dyDescent="0.25">
      <c r="A541" s="40" t="s">
        <v>49</v>
      </c>
      <c r="B541" s="40" t="str">
        <f>LPG!$A$9</f>
        <v>LPG 16:1</v>
      </c>
      <c r="C541" s="39" t="str">
        <f>LPG!$L$9</f>
        <v>C22H43O9P1</v>
      </c>
      <c r="D541" s="39">
        <f>LPG!$M$9</f>
        <v>482.26445580000001</v>
      </c>
      <c r="E541" s="39">
        <f>LPG!$N$9</f>
        <v>483.27173040000002</v>
      </c>
      <c r="F541" s="39">
        <f>LPG!$O$9</f>
        <v>465.26061040000002</v>
      </c>
      <c r="G541" s="39">
        <f>LPG!$P$9</f>
        <v>500.29827580000006</v>
      </c>
      <c r="H541" s="39">
        <f>LPG!$Q$9</f>
        <v>505.25367580000005</v>
      </c>
      <c r="I541" s="39">
        <f>LPG!$R$9</f>
        <v>521.22761580000008</v>
      </c>
      <c r="J541" s="39">
        <f>LPG!$S$9</f>
        <v>489.27991580000003</v>
      </c>
      <c r="K541" s="39">
        <f>LPG!$T$9</f>
        <v>481.25718119999999</v>
      </c>
      <c r="L541" s="39">
        <f>LPG!$U$9</f>
        <v>527.26267580000001</v>
      </c>
      <c r="M541" s="39">
        <f>LPG!$V$9</f>
        <v>541.27832579999995</v>
      </c>
    </row>
    <row r="542" spans="1:14" x14ac:dyDescent="0.25">
      <c r="A542" s="40" t="s">
        <v>49</v>
      </c>
      <c r="B542" s="40" t="str">
        <f>LPG!$A$10</f>
        <v>LPG 16:0</v>
      </c>
      <c r="C542" s="39" t="str">
        <f>LPG!$L$10</f>
        <v>C22H45O9P1</v>
      </c>
      <c r="D542" s="39">
        <f>LPG!$M$10</f>
        <v>484.28010499999999</v>
      </c>
      <c r="E542" s="39">
        <f>LPG!$N$10</f>
        <v>485.28737960000001</v>
      </c>
      <c r="F542" s="39">
        <f>LPG!$O$10</f>
        <v>467.2762596</v>
      </c>
      <c r="G542" s="39">
        <f>LPG!$P$10</f>
        <v>502.31392500000004</v>
      </c>
      <c r="H542" s="39">
        <f>LPG!$Q$10</f>
        <v>507.26932500000004</v>
      </c>
      <c r="I542" s="39">
        <f>LPG!$R$10</f>
        <v>523.24326500000006</v>
      </c>
      <c r="J542" s="39">
        <f>LPG!$S$10</f>
        <v>491.29556500000001</v>
      </c>
      <c r="K542" s="39">
        <f>LPG!$T$10</f>
        <v>483.27283039999998</v>
      </c>
      <c r="L542" s="39">
        <f>LPG!$U$10</f>
        <v>529.278325</v>
      </c>
      <c r="M542" s="39">
        <f>LPG!$V$10</f>
        <v>543.29397499999993</v>
      </c>
    </row>
    <row r="543" spans="1:14" x14ac:dyDescent="0.25">
      <c r="A543" s="40" t="s">
        <v>49</v>
      </c>
      <c r="B543" s="40" t="str">
        <f>LPG!$A$11</f>
        <v>LPG 17:0</v>
      </c>
      <c r="C543" s="39" t="str">
        <f>LPG!$L$11</f>
        <v>C23H47O9P1</v>
      </c>
      <c r="D543" s="39">
        <f>LPG!$M$11</f>
        <v>498.29575419999998</v>
      </c>
      <c r="E543" s="39">
        <f>LPG!$N$11</f>
        <v>499.30302879999999</v>
      </c>
      <c r="F543" s="39">
        <f>LPG!$O$11</f>
        <v>481.29190879999999</v>
      </c>
      <c r="G543" s="39">
        <f>LPG!$P$11</f>
        <v>516.32957420000002</v>
      </c>
      <c r="H543" s="39">
        <f>LPG!$Q$11</f>
        <v>521.28497419999997</v>
      </c>
      <c r="I543" s="39">
        <f>LPG!$R$11</f>
        <v>537.25891420000005</v>
      </c>
      <c r="J543" s="39">
        <f>LPG!$S$11</f>
        <v>505.31121419999999</v>
      </c>
      <c r="K543" s="39">
        <f>LPG!$T$11</f>
        <v>497.28847959999996</v>
      </c>
      <c r="L543" s="39">
        <f>LPG!$U$11</f>
        <v>543.29397419999998</v>
      </c>
      <c r="M543" s="39">
        <f>LPG!$V$11</f>
        <v>557.30962419999992</v>
      </c>
    </row>
    <row r="544" spans="1:14" x14ac:dyDescent="0.25">
      <c r="A544" s="40" t="s">
        <v>49</v>
      </c>
      <c r="B544" s="40" t="str">
        <f>LPG!$A$12</f>
        <v>LPG 17:1</v>
      </c>
      <c r="C544" s="39" t="str">
        <f>LPG!$L$12</f>
        <v>C23H45O9P1</v>
      </c>
      <c r="D544" s="39">
        <f>LPG!$M$12</f>
        <v>496.28010499999999</v>
      </c>
      <c r="E544" s="39">
        <f>LPG!$N$12</f>
        <v>497.28737960000001</v>
      </c>
      <c r="F544" s="39">
        <f>LPG!$O$12</f>
        <v>479.2762596</v>
      </c>
      <c r="G544" s="39">
        <f>LPG!$P$12</f>
        <v>514.31392500000004</v>
      </c>
      <c r="H544" s="39">
        <f>LPG!$Q$12</f>
        <v>519.26932499999998</v>
      </c>
      <c r="I544" s="39">
        <f>LPG!$R$12</f>
        <v>535.24326500000006</v>
      </c>
      <c r="J544" s="39">
        <f>LPG!$S$12</f>
        <v>503.29556500000001</v>
      </c>
      <c r="K544" s="39">
        <f>LPG!$T$12</f>
        <v>495.27283039999998</v>
      </c>
      <c r="L544" s="39">
        <f>LPG!$U$12</f>
        <v>541.278325</v>
      </c>
      <c r="M544" s="39">
        <f>LPG!$V$12</f>
        <v>555.29397499999993</v>
      </c>
    </row>
    <row r="545" spans="1:14" x14ac:dyDescent="0.25">
      <c r="A545" s="40" t="s">
        <v>49</v>
      </c>
      <c r="B545" s="40" t="str">
        <f>LPG!$A$13</f>
        <v>LPG 18:1</v>
      </c>
      <c r="C545" s="39" t="str">
        <f>LPG!$L$13</f>
        <v>C24H47O9P1</v>
      </c>
      <c r="D545" s="39">
        <f>LPG!$M$13</f>
        <v>510.29575419999998</v>
      </c>
      <c r="E545" s="39">
        <f>LPG!$N$13</f>
        <v>511.30302879999999</v>
      </c>
      <c r="F545" s="39">
        <f>LPG!$O$13</f>
        <v>493.29190879999999</v>
      </c>
      <c r="G545" s="39">
        <f>LPG!$P$13</f>
        <v>528.32957420000002</v>
      </c>
      <c r="H545" s="39">
        <f>LPG!$Q$13</f>
        <v>533.28497419999997</v>
      </c>
      <c r="I545" s="39">
        <f>LPG!$R$13</f>
        <v>549.25891420000005</v>
      </c>
      <c r="J545" s="39">
        <f>LPG!$S$13</f>
        <v>517.31121419999999</v>
      </c>
      <c r="K545" s="39">
        <f>LPG!$T$13</f>
        <v>509.28847959999996</v>
      </c>
      <c r="L545" s="39">
        <f>LPG!$U$13</f>
        <v>555.29397419999998</v>
      </c>
      <c r="M545" s="39">
        <f>LPG!$V$13</f>
        <v>569.30962419999992</v>
      </c>
    </row>
    <row r="546" spans="1:14" x14ac:dyDescent="0.25">
      <c r="A546" s="40" t="s">
        <v>49</v>
      </c>
      <c r="B546" s="40" t="str">
        <f>LPG!$A$14</f>
        <v>LPG 18:0</v>
      </c>
      <c r="C546" s="39" t="str">
        <f>LPG!$L$14</f>
        <v>C24H49O9P1</v>
      </c>
      <c r="D546" s="39">
        <f>LPG!$M$14</f>
        <v>512.31140340000002</v>
      </c>
      <c r="E546" s="39">
        <f>LPG!$N$14</f>
        <v>513.31867800000009</v>
      </c>
      <c r="F546" s="39">
        <f>LPG!$O$14</f>
        <v>495.30755800000009</v>
      </c>
      <c r="G546" s="39">
        <f>LPG!$P$14</f>
        <v>530.34522340000001</v>
      </c>
      <c r="H546" s="39">
        <f>LPG!$Q$14</f>
        <v>535.30062340000006</v>
      </c>
      <c r="I546" s="39">
        <f>LPG!$R$14</f>
        <v>551.27456340000003</v>
      </c>
      <c r="J546" s="39">
        <f>LPG!$S$14</f>
        <v>519.32686340000009</v>
      </c>
      <c r="K546" s="39">
        <f>LPG!$T$14</f>
        <v>511.3041288</v>
      </c>
      <c r="L546" s="39">
        <f>LPG!$U$14</f>
        <v>557.30962339999996</v>
      </c>
      <c r="M546" s="39">
        <f>LPG!$V$14</f>
        <v>571.32527340000001</v>
      </c>
    </row>
    <row r="547" spans="1:14" x14ac:dyDescent="0.25">
      <c r="A547" s="40" t="s">
        <v>49</v>
      </c>
      <c r="B547" s="40" t="str">
        <f>LPG!$A$15</f>
        <v>LPG 19:1</v>
      </c>
      <c r="C547" s="39" t="str">
        <f>LPG!$L$15</f>
        <v>C25H49O9P1</v>
      </c>
      <c r="D547" s="39">
        <f>LPG!$M$15</f>
        <v>524.31140340000002</v>
      </c>
      <c r="E547" s="39">
        <f>LPG!$N$15</f>
        <v>525.31867800000009</v>
      </c>
      <c r="F547" s="39">
        <f>LPG!$O$15</f>
        <v>507.30755800000009</v>
      </c>
      <c r="G547" s="39">
        <f>LPG!$P$15</f>
        <v>542.34522340000001</v>
      </c>
      <c r="H547" s="39">
        <f>LPG!$Q$15</f>
        <v>547.30062340000006</v>
      </c>
      <c r="I547" s="39">
        <f>LPG!$R$15</f>
        <v>563.27456340000003</v>
      </c>
      <c r="J547" s="39">
        <f>LPG!$S$15</f>
        <v>531.32686340000009</v>
      </c>
      <c r="K547" s="39">
        <f>LPG!$T$15</f>
        <v>523.30412879999994</v>
      </c>
      <c r="L547" s="39">
        <f>LPG!$U$15</f>
        <v>569.30962339999996</v>
      </c>
      <c r="M547" s="39">
        <f>LPG!$V$15</f>
        <v>583.32527340000001</v>
      </c>
    </row>
    <row r="548" spans="1:14" x14ac:dyDescent="0.25">
      <c r="A548" s="40" t="s">
        <v>49</v>
      </c>
      <c r="B548" s="40" t="str">
        <f>LPG!$A$16</f>
        <v>LPG 19:0</v>
      </c>
      <c r="C548" s="39" t="str">
        <f>LPG!$L$16</f>
        <v>C25H51O9P1</v>
      </c>
      <c r="D548" s="39">
        <f>LPG!$M$16</f>
        <v>526.3270526</v>
      </c>
      <c r="E548" s="39">
        <f>LPG!$N$16</f>
        <v>527.33432720000008</v>
      </c>
      <c r="F548" s="39">
        <f>LPG!$O$16</f>
        <v>509.32320720000007</v>
      </c>
      <c r="G548" s="39">
        <f>LPG!$P$16</f>
        <v>544.36087259999999</v>
      </c>
      <c r="H548" s="39">
        <f>LPG!$Q$16</f>
        <v>549.31627260000005</v>
      </c>
      <c r="I548" s="39">
        <f>LPG!$R$16</f>
        <v>565.29021260000002</v>
      </c>
      <c r="J548" s="39">
        <f>LPG!$S$16</f>
        <v>533.34251260000008</v>
      </c>
      <c r="K548" s="39">
        <f>LPG!$T$16</f>
        <v>525.31977799999993</v>
      </c>
      <c r="L548" s="39">
        <f>LPG!$U$16</f>
        <v>571.32527259999995</v>
      </c>
      <c r="M548" s="39">
        <f>LPG!$V$16</f>
        <v>585.3409226</v>
      </c>
    </row>
    <row r="549" spans="1:14" x14ac:dyDescent="0.25">
      <c r="A549" s="40" t="s">
        <v>49</v>
      </c>
      <c r="B549" s="40" t="str">
        <f>LPG!$A$17</f>
        <v>LPG 20:0</v>
      </c>
      <c r="C549" s="39" t="str">
        <f>LPG!$L$17</f>
        <v>C26H53O9P1</v>
      </c>
      <c r="D549" s="39">
        <f>LPG!$M$17</f>
        <v>540.34270179999999</v>
      </c>
      <c r="E549" s="39">
        <f>LPG!$N$17</f>
        <v>541.34997640000006</v>
      </c>
      <c r="F549" s="39">
        <f>LPG!$O$17</f>
        <v>523.33885640000005</v>
      </c>
      <c r="G549" s="39">
        <f>LPG!$P$17</f>
        <v>558.37652179999998</v>
      </c>
      <c r="H549" s="39">
        <f>LPG!$Q$17</f>
        <v>563.33192180000003</v>
      </c>
      <c r="I549" s="39">
        <f>LPG!$R$17</f>
        <v>579.3058618</v>
      </c>
      <c r="J549" s="39">
        <f>LPG!$S$17</f>
        <v>547.35816180000006</v>
      </c>
      <c r="K549" s="39">
        <f>LPG!$T$17</f>
        <v>539.33542719999991</v>
      </c>
      <c r="L549" s="39">
        <f>LPG!$U$17</f>
        <v>585.34092179999993</v>
      </c>
      <c r="M549" s="39">
        <f>LPG!$V$17</f>
        <v>599.35657179999998</v>
      </c>
    </row>
    <row r="550" spans="1:14" x14ac:dyDescent="0.25">
      <c r="A550" s="40" t="s">
        <v>49</v>
      </c>
      <c r="B550" s="40" t="str">
        <f>LPG!$A$18</f>
        <v>LPG 21:0</v>
      </c>
      <c r="C550" s="39" t="str">
        <f>LPG!$L$18</f>
        <v>C27H55O9P1</v>
      </c>
      <c r="D550" s="39">
        <f>LPG!$M$18</f>
        <v>554.35835099999997</v>
      </c>
      <c r="E550" s="39">
        <f>LPG!$N$18</f>
        <v>555.36562560000004</v>
      </c>
      <c r="F550" s="39">
        <f>LPG!$O$18</f>
        <v>537.35450560000004</v>
      </c>
      <c r="G550" s="39">
        <f>LPG!$P$18</f>
        <v>572.39217099999996</v>
      </c>
      <c r="H550" s="39">
        <f>LPG!$Q$18</f>
        <v>577.34757100000002</v>
      </c>
      <c r="I550" s="39">
        <f>LPG!$R$18</f>
        <v>593.32151099999999</v>
      </c>
      <c r="J550" s="39">
        <f>LPG!$S$18</f>
        <v>561.37381100000005</v>
      </c>
      <c r="K550" s="39">
        <f>LPG!$T$18</f>
        <v>553.3510763999999</v>
      </c>
      <c r="L550" s="39">
        <f>LPG!$U$18</f>
        <v>599.35657099999992</v>
      </c>
      <c r="M550" s="39">
        <f>LPG!$V$18</f>
        <v>613.37222099999997</v>
      </c>
    </row>
    <row r="551" spans="1:14" x14ac:dyDescent="0.25">
      <c r="A551" s="40" t="s">
        <v>49</v>
      </c>
      <c r="B551" s="40" t="str">
        <f>LPG!$A$19</f>
        <v>LPG 22:0</v>
      </c>
      <c r="C551" s="39" t="str">
        <f>LPG!$L$19</f>
        <v>C28H57O9P1</v>
      </c>
      <c r="D551" s="39">
        <f>LPG!$M$19</f>
        <v>568.37400019999995</v>
      </c>
      <c r="E551" s="39">
        <f>LPG!$N$19</f>
        <v>569.38127480000003</v>
      </c>
      <c r="F551" s="39">
        <f>LPG!$O$19</f>
        <v>551.37015480000002</v>
      </c>
      <c r="G551" s="39">
        <f>LPG!$P$19</f>
        <v>586.40782019999995</v>
      </c>
      <c r="H551" s="39">
        <f>LPG!$Q$19</f>
        <v>591.3632202</v>
      </c>
      <c r="I551" s="39">
        <f>LPG!$R$19</f>
        <v>607.33716019999997</v>
      </c>
      <c r="J551" s="39">
        <f>LPG!$S$19</f>
        <v>575.38946020000003</v>
      </c>
      <c r="K551" s="39">
        <f>LPG!$T$19</f>
        <v>567.36672559999988</v>
      </c>
      <c r="L551" s="39">
        <f>LPG!$U$19</f>
        <v>613.3722201999999</v>
      </c>
      <c r="M551" s="39">
        <f>LPG!$V$19</f>
        <v>627.38787019999995</v>
      </c>
    </row>
    <row r="552" spans="1:14" x14ac:dyDescent="0.25">
      <c r="A552" s="40" t="s">
        <v>49</v>
      </c>
      <c r="B552" s="40" t="str">
        <f>LPG!$A$20</f>
        <v>LPG 23:0</v>
      </c>
      <c r="C552" s="39" t="str">
        <f>LPG!$L$20</f>
        <v>C29H59O9P1</v>
      </c>
      <c r="D552" s="39">
        <f>LPG!$M$20</f>
        <v>582.38964939999994</v>
      </c>
      <c r="E552" s="39">
        <f>LPG!$N$20</f>
        <v>583.39692400000001</v>
      </c>
      <c r="F552" s="39">
        <f>LPG!$O$20</f>
        <v>565.38580400000001</v>
      </c>
      <c r="G552" s="39">
        <f>LPG!$P$20</f>
        <v>600.42346939999993</v>
      </c>
      <c r="H552" s="39">
        <f>LPG!$Q$20</f>
        <v>605.37886939999999</v>
      </c>
      <c r="I552" s="39">
        <f>LPG!$R$20</f>
        <v>621.35280939999996</v>
      </c>
      <c r="J552" s="39">
        <f>LPG!$S$20</f>
        <v>589.40510940000001</v>
      </c>
      <c r="K552" s="39">
        <f>LPG!$T$20</f>
        <v>581.38237479999987</v>
      </c>
      <c r="L552" s="39">
        <f>LPG!$U$20</f>
        <v>627.38786939999989</v>
      </c>
      <c r="M552" s="39">
        <f>LPG!$V$20</f>
        <v>641.40351939999994</v>
      </c>
    </row>
    <row r="553" spans="1:14" x14ac:dyDescent="0.25">
      <c r="A553" s="40" t="s">
        <v>49</v>
      </c>
      <c r="B553" s="40" t="str">
        <f>LPG!$A$21</f>
        <v>LPG 24:0</v>
      </c>
      <c r="C553" s="39" t="str">
        <f>LPG!$L$21</f>
        <v>C30H61O9P1</v>
      </c>
      <c r="D553" s="39">
        <f>LPG!$M$21</f>
        <v>596.40529859999992</v>
      </c>
      <c r="E553" s="39">
        <f>LPG!$N$21</f>
        <v>597.4125732</v>
      </c>
      <c r="F553" s="39">
        <f>LPG!$O$21</f>
        <v>579.40145319999999</v>
      </c>
      <c r="G553" s="39">
        <f>LPG!$P$21</f>
        <v>614.43911859999992</v>
      </c>
      <c r="H553" s="39">
        <f>LPG!$Q$21</f>
        <v>619.39451859999997</v>
      </c>
      <c r="I553" s="39">
        <f>LPG!$R$21</f>
        <v>635.36845859999994</v>
      </c>
      <c r="J553" s="39">
        <f>LPG!$S$21</f>
        <v>603.4207586</v>
      </c>
      <c r="K553" s="39">
        <f>LPG!$T$21</f>
        <v>595.39802399999985</v>
      </c>
      <c r="L553" s="39">
        <f>LPG!$U$21</f>
        <v>641.40351859999987</v>
      </c>
      <c r="M553" s="39">
        <f>LPG!$V$21</f>
        <v>655.41916859999992</v>
      </c>
    </row>
    <row r="554" spans="1:14" x14ac:dyDescent="0.25">
      <c r="A554" s="40" t="s">
        <v>49</v>
      </c>
      <c r="B554" s="40" t="str">
        <f>LPG!$A$22</f>
        <v>LPG 25:0</v>
      </c>
      <c r="C554" s="39" t="str">
        <f>LPG!$L$22</f>
        <v>C31H63O9P1</v>
      </c>
      <c r="D554" s="39">
        <f>LPG!$M$22</f>
        <v>610.42094780000002</v>
      </c>
      <c r="E554" s="39">
        <f>LPG!$N$22</f>
        <v>611.4282224000001</v>
      </c>
      <c r="F554" s="39">
        <f>LPG!$O$22</f>
        <v>593.41710240000009</v>
      </c>
      <c r="G554" s="39">
        <f>LPG!$P$22</f>
        <v>628.45476780000001</v>
      </c>
      <c r="H554" s="39">
        <f>LPG!$Q$22</f>
        <v>633.41016780000007</v>
      </c>
      <c r="I554" s="39">
        <f>LPG!$R$22</f>
        <v>649.38410780000004</v>
      </c>
      <c r="J554" s="39">
        <f>LPG!$S$22</f>
        <v>617.4364078000001</v>
      </c>
      <c r="K554" s="39">
        <f>LPG!$T$22</f>
        <v>609.41367319999995</v>
      </c>
      <c r="L554" s="39">
        <f>LPG!$U$22</f>
        <v>655.41916779999997</v>
      </c>
      <c r="M554" s="39">
        <f>LPG!$V$22</f>
        <v>669.43481780000002</v>
      </c>
    </row>
    <row r="555" spans="1:14" x14ac:dyDescent="0.25">
      <c r="A555" s="40" t="s">
        <v>43</v>
      </c>
      <c r="B555" s="40" t="e">
        <f>DG!#REF!</f>
        <v>#REF!</v>
      </c>
      <c r="C555" s="39" t="e">
        <f>DG!#REF!</f>
        <v>#REF!</v>
      </c>
      <c r="D555" s="39" t="e">
        <f>DG!#REF!</f>
        <v>#REF!</v>
      </c>
      <c r="E555" s="39" t="e">
        <f>DG!#REF!</f>
        <v>#REF!</v>
      </c>
      <c r="F555" s="39" t="e">
        <f>DG!#REF!</f>
        <v>#REF!</v>
      </c>
      <c r="G555" s="39" t="e">
        <f>DG!#REF!</f>
        <v>#REF!</v>
      </c>
      <c r="H555" s="39" t="e">
        <f>DG!#REF!</f>
        <v>#REF!</v>
      </c>
      <c r="I555" s="39" t="e">
        <f>DG!#REF!</f>
        <v>#REF!</v>
      </c>
      <c r="J555" s="39" t="e">
        <f>DG!#REF!</f>
        <v>#REF!</v>
      </c>
      <c r="K555" s="39" t="e">
        <f>DG!#REF!</f>
        <v>#REF!</v>
      </c>
      <c r="L555" s="39" t="e">
        <f>DG!#REF!</f>
        <v>#REF!</v>
      </c>
      <c r="M555" s="39" t="e">
        <f>DG!#REF!</f>
        <v>#REF!</v>
      </c>
      <c r="N555" s="39" t="e">
        <f>DG!#REF!</f>
        <v>#REF!</v>
      </c>
    </row>
    <row r="556" spans="1:14" x14ac:dyDescent="0.25">
      <c r="A556" s="40" t="s">
        <v>43</v>
      </c>
      <c r="B556" s="40" t="e">
        <f>DG!#REF!</f>
        <v>#REF!</v>
      </c>
      <c r="C556" s="39" t="e">
        <f>DG!#REF!</f>
        <v>#REF!</v>
      </c>
      <c r="D556" s="39" t="e">
        <f>DG!#REF!</f>
        <v>#REF!</v>
      </c>
      <c r="E556" s="39" t="e">
        <f>DG!#REF!</f>
        <v>#REF!</v>
      </c>
      <c r="F556" s="39" t="e">
        <f>DG!#REF!</f>
        <v>#REF!</v>
      </c>
      <c r="G556" s="39" t="e">
        <f>DG!#REF!</f>
        <v>#REF!</v>
      </c>
      <c r="H556" s="39" t="e">
        <f>DG!#REF!</f>
        <v>#REF!</v>
      </c>
      <c r="I556" s="39" t="e">
        <f>DG!#REF!</f>
        <v>#REF!</v>
      </c>
      <c r="J556" s="39" t="e">
        <f>DG!#REF!</f>
        <v>#REF!</v>
      </c>
      <c r="K556" s="39" t="e">
        <f>DG!#REF!</f>
        <v>#REF!</v>
      </c>
      <c r="L556" s="39" t="e">
        <f>DG!#REF!</f>
        <v>#REF!</v>
      </c>
      <c r="M556" s="39" t="e">
        <f>DG!#REF!</f>
        <v>#REF!</v>
      </c>
      <c r="N556" s="39" t="e">
        <f>DG!#REF!</f>
        <v>#REF!</v>
      </c>
    </row>
    <row r="557" spans="1:14" x14ac:dyDescent="0.25">
      <c r="A557" s="40" t="s">
        <v>43</v>
      </c>
      <c r="B557" s="40" t="e">
        <f>DG!#REF!</f>
        <v>#REF!</v>
      </c>
      <c r="C557" s="39" t="e">
        <f>DG!#REF!</f>
        <v>#REF!</v>
      </c>
      <c r="D557" s="39" t="e">
        <f>DG!#REF!</f>
        <v>#REF!</v>
      </c>
      <c r="E557" s="39" t="e">
        <f>DG!#REF!</f>
        <v>#REF!</v>
      </c>
      <c r="F557" s="39" t="e">
        <f>DG!#REF!</f>
        <v>#REF!</v>
      </c>
      <c r="G557" s="39" t="e">
        <f>DG!#REF!</f>
        <v>#REF!</v>
      </c>
      <c r="H557" s="39" t="e">
        <f>DG!#REF!</f>
        <v>#REF!</v>
      </c>
      <c r="I557" s="39" t="e">
        <f>DG!#REF!</f>
        <v>#REF!</v>
      </c>
      <c r="J557" s="39" t="e">
        <f>DG!#REF!</f>
        <v>#REF!</v>
      </c>
      <c r="K557" s="39" t="e">
        <f>DG!#REF!</f>
        <v>#REF!</v>
      </c>
      <c r="L557" s="39" t="e">
        <f>DG!#REF!</f>
        <v>#REF!</v>
      </c>
      <c r="M557" s="39" t="e">
        <f>DG!#REF!</f>
        <v>#REF!</v>
      </c>
      <c r="N557" s="39" t="e">
        <f>DG!#REF!</f>
        <v>#REF!</v>
      </c>
    </row>
    <row r="558" spans="1:14" x14ac:dyDescent="0.25">
      <c r="A558" s="40" t="s">
        <v>43</v>
      </c>
      <c r="B558" s="40" t="e">
        <f>DG!#REF!</f>
        <v>#REF!</v>
      </c>
      <c r="C558" s="39" t="e">
        <f>DG!#REF!</f>
        <v>#REF!</v>
      </c>
      <c r="D558" s="39" t="e">
        <f>DG!#REF!</f>
        <v>#REF!</v>
      </c>
      <c r="E558" s="39" t="e">
        <f>DG!#REF!</f>
        <v>#REF!</v>
      </c>
      <c r="F558" s="39" t="e">
        <f>DG!#REF!</f>
        <v>#REF!</v>
      </c>
      <c r="G558" s="39" t="e">
        <f>DG!#REF!</f>
        <v>#REF!</v>
      </c>
      <c r="H558" s="39" t="e">
        <f>DG!#REF!</f>
        <v>#REF!</v>
      </c>
      <c r="I558" s="39" t="e">
        <f>DG!#REF!</f>
        <v>#REF!</v>
      </c>
      <c r="J558" s="39" t="e">
        <f>DG!#REF!</f>
        <v>#REF!</v>
      </c>
      <c r="K558" s="39" t="e">
        <f>DG!#REF!</f>
        <v>#REF!</v>
      </c>
      <c r="L558" s="39" t="e">
        <f>DG!#REF!</f>
        <v>#REF!</v>
      </c>
      <c r="M558" s="39" t="e">
        <f>DG!#REF!</f>
        <v>#REF!</v>
      </c>
      <c r="N558" s="39" t="e">
        <f>DG!#REF!</f>
        <v>#REF!</v>
      </c>
    </row>
    <row r="559" spans="1:14" x14ac:dyDescent="0.25">
      <c r="A559" s="40" t="s">
        <v>43</v>
      </c>
      <c r="B559" s="40" t="e">
        <f>DG!#REF!</f>
        <v>#REF!</v>
      </c>
      <c r="C559" s="39" t="e">
        <f>DG!#REF!</f>
        <v>#REF!</v>
      </c>
      <c r="D559" s="39" t="e">
        <f>DG!#REF!</f>
        <v>#REF!</v>
      </c>
      <c r="E559" s="39" t="e">
        <f>DG!#REF!</f>
        <v>#REF!</v>
      </c>
      <c r="F559" s="39" t="e">
        <f>DG!#REF!</f>
        <v>#REF!</v>
      </c>
      <c r="G559" s="39" t="e">
        <f>DG!#REF!</f>
        <v>#REF!</v>
      </c>
      <c r="H559" s="39" t="e">
        <f>DG!#REF!</f>
        <v>#REF!</v>
      </c>
      <c r="I559" s="39" t="e">
        <f>DG!#REF!</f>
        <v>#REF!</v>
      </c>
      <c r="J559" s="39" t="e">
        <f>DG!#REF!</f>
        <v>#REF!</v>
      </c>
      <c r="K559" s="39" t="e">
        <f>DG!#REF!</f>
        <v>#REF!</v>
      </c>
      <c r="L559" s="39" t="e">
        <f>DG!#REF!</f>
        <v>#REF!</v>
      </c>
      <c r="M559" s="39" t="e">
        <f>DG!#REF!</f>
        <v>#REF!</v>
      </c>
      <c r="N559" s="39" t="e">
        <f>DG!#REF!</f>
        <v>#REF!</v>
      </c>
    </row>
    <row r="560" spans="1:14" x14ac:dyDescent="0.25">
      <c r="A560" s="40" t="s">
        <v>43</v>
      </c>
      <c r="B560" s="40" t="e">
        <f>DG!#REF!</f>
        <v>#REF!</v>
      </c>
      <c r="C560" s="39" t="e">
        <f>DG!#REF!</f>
        <v>#REF!</v>
      </c>
      <c r="D560" s="39" t="e">
        <f>DG!#REF!</f>
        <v>#REF!</v>
      </c>
      <c r="E560" s="39" t="e">
        <f>DG!#REF!</f>
        <v>#REF!</v>
      </c>
      <c r="F560" s="39" t="e">
        <f>DG!#REF!</f>
        <v>#REF!</v>
      </c>
      <c r="G560" s="39" t="e">
        <f>DG!#REF!</f>
        <v>#REF!</v>
      </c>
      <c r="H560" s="39" t="e">
        <f>DG!#REF!</f>
        <v>#REF!</v>
      </c>
      <c r="I560" s="39" t="e">
        <f>DG!#REF!</f>
        <v>#REF!</v>
      </c>
      <c r="J560" s="39" t="e">
        <f>DG!#REF!</f>
        <v>#REF!</v>
      </c>
      <c r="K560" s="39" t="e">
        <f>DG!#REF!</f>
        <v>#REF!</v>
      </c>
      <c r="L560" s="39" t="e">
        <f>DG!#REF!</f>
        <v>#REF!</v>
      </c>
      <c r="M560" s="39" t="e">
        <f>DG!#REF!</f>
        <v>#REF!</v>
      </c>
      <c r="N560" s="39" t="e">
        <f>DG!#REF!</f>
        <v>#REF!</v>
      </c>
    </row>
    <row r="561" spans="1:14" x14ac:dyDescent="0.25">
      <c r="A561" s="40" t="s">
        <v>43</v>
      </c>
      <c r="B561" s="40" t="e">
        <f>DG!#REF!</f>
        <v>#REF!</v>
      </c>
      <c r="C561" s="39" t="e">
        <f>DG!#REF!</f>
        <v>#REF!</v>
      </c>
      <c r="D561" s="39" t="e">
        <f>DG!#REF!</f>
        <v>#REF!</v>
      </c>
      <c r="E561" s="39" t="e">
        <f>DG!#REF!</f>
        <v>#REF!</v>
      </c>
      <c r="F561" s="39" t="e">
        <f>DG!#REF!</f>
        <v>#REF!</v>
      </c>
      <c r="G561" s="39" t="e">
        <f>DG!#REF!</f>
        <v>#REF!</v>
      </c>
      <c r="H561" s="39" t="e">
        <f>DG!#REF!</f>
        <v>#REF!</v>
      </c>
      <c r="I561" s="39" t="e">
        <f>DG!#REF!</f>
        <v>#REF!</v>
      </c>
      <c r="J561" s="39" t="e">
        <f>DG!#REF!</f>
        <v>#REF!</v>
      </c>
      <c r="K561" s="39" t="e">
        <f>DG!#REF!</f>
        <v>#REF!</v>
      </c>
      <c r="L561" s="39" t="e">
        <f>DG!#REF!</f>
        <v>#REF!</v>
      </c>
      <c r="M561" s="39" t="e">
        <f>DG!#REF!</f>
        <v>#REF!</v>
      </c>
      <c r="N561" s="39" t="e">
        <f>DG!#REF!</f>
        <v>#REF!</v>
      </c>
    </row>
    <row r="562" spans="1:14" x14ac:dyDescent="0.25">
      <c r="A562" s="40" t="s">
        <v>43</v>
      </c>
      <c r="B562" s="40" t="str">
        <f>DG!$A$5</f>
        <v>DG 30:2</v>
      </c>
      <c r="C562" s="39" t="str">
        <f>DG!$L$5</f>
        <v>C33H60O5</v>
      </c>
      <c r="D562" s="39">
        <f>DG!$M$5</f>
        <v>536.44405099999994</v>
      </c>
      <c r="E562" s="39">
        <f>DG!$N$5</f>
        <v>537.45132560000002</v>
      </c>
      <c r="F562" s="39">
        <f>DG!$O$5</f>
        <v>519.44020560000001</v>
      </c>
      <c r="G562" s="39">
        <f>DG!$P$5</f>
        <v>554.47787099999994</v>
      </c>
      <c r="H562" s="39">
        <f>DG!$Q$5</f>
        <v>559.43327099999999</v>
      </c>
      <c r="I562" s="39">
        <f>DG!$R$5</f>
        <v>575.40721099999996</v>
      </c>
      <c r="J562" s="39">
        <f>DG!$S$5</f>
        <v>543.45951100000002</v>
      </c>
      <c r="K562" s="39">
        <f>DG!$T$5</f>
        <v>535.43677639999987</v>
      </c>
      <c r="L562" s="39">
        <f>DG!$U$5</f>
        <v>581.44227099999989</v>
      </c>
      <c r="M562" s="39">
        <f>DG!$V$5</f>
        <v>595.45792099999994</v>
      </c>
      <c r="N562" s="39">
        <f>DG!$W$5</f>
        <v>0</v>
      </c>
    </row>
    <row r="563" spans="1:14" x14ac:dyDescent="0.25">
      <c r="A563" s="40" t="s">
        <v>43</v>
      </c>
      <c r="B563" s="40" t="str">
        <f>DG!$A$6</f>
        <v>DG 30:1</v>
      </c>
      <c r="C563" s="39" t="str">
        <f>DG!$L$6</f>
        <v>C33H62O5</v>
      </c>
      <c r="D563" s="39">
        <f>DG!$M$6</f>
        <v>538.45970019999993</v>
      </c>
      <c r="E563" s="39">
        <f>DG!$N$6</f>
        <v>539.4669748</v>
      </c>
      <c r="F563" s="39">
        <f>DG!$O$6</f>
        <v>521.4558548</v>
      </c>
      <c r="G563" s="39">
        <f>DG!$P$6</f>
        <v>556.49352019999992</v>
      </c>
      <c r="H563" s="39">
        <f>DG!$Q$6</f>
        <v>561.44892019999998</v>
      </c>
      <c r="I563" s="39">
        <f>DG!$R$6</f>
        <v>577.42286019999995</v>
      </c>
      <c r="J563" s="39">
        <f>DG!$S$6</f>
        <v>545.4751602</v>
      </c>
      <c r="K563" s="39">
        <f>DG!$T$6</f>
        <v>537.45242559999986</v>
      </c>
      <c r="L563" s="39">
        <f>DG!$U$6</f>
        <v>583.45792019999988</v>
      </c>
      <c r="M563" s="39">
        <f>DG!$V$6</f>
        <v>597.47357019999993</v>
      </c>
      <c r="N563" s="39">
        <f>DG!$W$6</f>
        <v>0</v>
      </c>
    </row>
    <row r="564" spans="1:14" x14ac:dyDescent="0.25">
      <c r="A564" s="40" t="s">
        <v>43</v>
      </c>
      <c r="B564" s="40" t="str">
        <f>DG!$A$7</f>
        <v>DG 30:0</v>
      </c>
      <c r="C564" s="39" t="str">
        <f>DG!$L$7</f>
        <v>C33H64O5</v>
      </c>
      <c r="D564" s="39">
        <f>DG!$M$7</f>
        <v>540.47534940000003</v>
      </c>
      <c r="E564" s="39">
        <f>DG!$N$7</f>
        <v>541.4826240000001</v>
      </c>
      <c r="F564" s="39">
        <f>DG!$O$7</f>
        <v>523.4715040000001</v>
      </c>
      <c r="G564" s="39">
        <f>DG!$P$7</f>
        <v>558.50916940000002</v>
      </c>
      <c r="H564" s="39">
        <f>DG!$Q$7</f>
        <v>563.46456940000007</v>
      </c>
      <c r="I564" s="39">
        <f>DG!$R$7</f>
        <v>579.43850940000004</v>
      </c>
      <c r="J564" s="39">
        <f>DG!$S$7</f>
        <v>547.4908094000001</v>
      </c>
      <c r="K564" s="39">
        <f>DG!$T$7</f>
        <v>539.46807479999995</v>
      </c>
      <c r="L564" s="39">
        <f>DG!$U$7</f>
        <v>585.47356939999997</v>
      </c>
      <c r="M564" s="39">
        <f>DG!$V$7</f>
        <v>599.48921940000002</v>
      </c>
      <c r="N564" s="39">
        <f>DG!$W$7</f>
        <v>0</v>
      </c>
    </row>
    <row r="565" spans="1:14" x14ac:dyDescent="0.25">
      <c r="A565" s="40" t="s">
        <v>43</v>
      </c>
      <c r="B565" s="40" t="str">
        <f>DG!$A$8</f>
        <v>DG 31:2</v>
      </c>
      <c r="C565" s="39" t="str">
        <f>DG!$L$8</f>
        <v>C34H62O5</v>
      </c>
      <c r="D565" s="39">
        <f>DG!$M$8</f>
        <v>550.45970019999993</v>
      </c>
      <c r="E565" s="39">
        <f>DG!$N$8</f>
        <v>551.4669748</v>
      </c>
      <c r="F565" s="39">
        <f>DG!$O$8</f>
        <v>533.4558548</v>
      </c>
      <c r="G565" s="39">
        <f>DG!$P$8</f>
        <v>568.49352019999992</v>
      </c>
      <c r="H565" s="39">
        <f>DG!$Q$8</f>
        <v>573.44892019999998</v>
      </c>
      <c r="I565" s="39">
        <f>DG!$R$8</f>
        <v>589.42286019999995</v>
      </c>
      <c r="J565" s="39">
        <f>DG!$S$8</f>
        <v>557.4751602</v>
      </c>
      <c r="K565" s="39">
        <f>DG!$T$8</f>
        <v>549.45242559999986</v>
      </c>
      <c r="L565" s="39">
        <f>DG!$U$8</f>
        <v>595.45792019999988</v>
      </c>
      <c r="M565" s="39">
        <f>DG!$V$8</f>
        <v>609.47357019999993</v>
      </c>
      <c r="N565" s="39">
        <f>DG!$W$8</f>
        <v>0</v>
      </c>
    </row>
    <row r="566" spans="1:14" x14ac:dyDescent="0.25">
      <c r="A566" s="40" t="s">
        <v>43</v>
      </c>
      <c r="B566" s="40" t="str">
        <f>DG!$A$9</f>
        <v>DG 31:1</v>
      </c>
      <c r="C566" s="39" t="str">
        <f>DG!$L$9</f>
        <v>C34H64O5</v>
      </c>
      <c r="D566" s="39">
        <f>DG!$M$9</f>
        <v>552.47534940000003</v>
      </c>
      <c r="E566" s="39">
        <f>DG!$N$9</f>
        <v>553.4826240000001</v>
      </c>
      <c r="F566" s="39">
        <f>DG!$O$9</f>
        <v>535.4715040000001</v>
      </c>
      <c r="G566" s="39">
        <f>DG!$P$9</f>
        <v>570.50916940000002</v>
      </c>
      <c r="H566" s="39">
        <f>DG!$Q$9</f>
        <v>575.46456940000007</v>
      </c>
      <c r="I566" s="39">
        <f>DG!$R$9</f>
        <v>591.43850940000004</v>
      </c>
      <c r="J566" s="39">
        <f>DG!$S$9</f>
        <v>559.4908094000001</v>
      </c>
      <c r="K566" s="39">
        <f>DG!$T$9</f>
        <v>551.46807479999995</v>
      </c>
      <c r="L566" s="39">
        <f>DG!$U$9</f>
        <v>597.47356939999997</v>
      </c>
      <c r="M566" s="39">
        <f>DG!$V$9</f>
        <v>611.48921940000002</v>
      </c>
      <c r="N566" s="39">
        <f>DG!$W$9</f>
        <v>0</v>
      </c>
    </row>
    <row r="567" spans="1:14" x14ac:dyDescent="0.25">
      <c r="A567" s="40" t="s">
        <v>43</v>
      </c>
      <c r="B567" s="40" t="str">
        <f>DG!$A$10</f>
        <v>DG 31:0</v>
      </c>
      <c r="C567" s="39" t="str">
        <f>DG!$L$10</f>
        <v>C34H66O5</v>
      </c>
      <c r="D567" s="39">
        <f>DG!$M$10</f>
        <v>554.49099860000001</v>
      </c>
      <c r="E567" s="39">
        <f>DG!$N$10</f>
        <v>555.49827320000009</v>
      </c>
      <c r="F567" s="39">
        <f>DG!$O$10</f>
        <v>537.48715320000008</v>
      </c>
      <c r="G567" s="39">
        <f>DG!$P$10</f>
        <v>572.5248186</v>
      </c>
      <c r="H567" s="39">
        <f>DG!$Q$10</f>
        <v>577.48021860000006</v>
      </c>
      <c r="I567" s="39">
        <f>DG!$R$10</f>
        <v>593.45415860000003</v>
      </c>
      <c r="J567" s="39">
        <f>DG!$S$10</f>
        <v>561.50645860000009</v>
      </c>
      <c r="K567" s="39">
        <f>DG!$T$10</f>
        <v>553.48372399999994</v>
      </c>
      <c r="L567" s="39">
        <f>DG!$U$10</f>
        <v>599.48921859999996</v>
      </c>
      <c r="M567" s="39">
        <f>DG!$V$10</f>
        <v>613.50486860000001</v>
      </c>
      <c r="N567" s="39">
        <f>DG!$W$10</f>
        <v>0</v>
      </c>
    </row>
    <row r="568" spans="1:14" x14ac:dyDescent="0.25">
      <c r="A568" s="40" t="s">
        <v>43</v>
      </c>
      <c r="B568" s="40" t="str">
        <f>DG!$A$11</f>
        <v>DG 32:2</v>
      </c>
      <c r="C568" s="39" t="str">
        <f>DG!$L$11</f>
        <v>C35H64O5</v>
      </c>
      <c r="D568" s="39">
        <f>DG!$M$11</f>
        <v>564.47534940000003</v>
      </c>
      <c r="E568" s="39">
        <f>DG!$N$11</f>
        <v>565.4826240000001</v>
      </c>
      <c r="F568" s="39">
        <f>DG!$O$11</f>
        <v>547.4715040000001</v>
      </c>
      <c r="G568" s="39">
        <f>DG!$P$11</f>
        <v>582.50916940000002</v>
      </c>
      <c r="H568" s="39">
        <f>DG!$Q$11</f>
        <v>587.46456940000007</v>
      </c>
      <c r="I568" s="39">
        <f>DG!$R$11</f>
        <v>603.43850940000004</v>
      </c>
      <c r="J568" s="39">
        <f>DG!$S$11</f>
        <v>571.4908094000001</v>
      </c>
      <c r="K568" s="39">
        <f>DG!$T$11</f>
        <v>563.46807479999995</v>
      </c>
      <c r="L568" s="39">
        <f>DG!$U$11</f>
        <v>609.47356939999997</v>
      </c>
      <c r="M568" s="39">
        <f>DG!$V$11</f>
        <v>623.48921940000002</v>
      </c>
      <c r="N568" s="39">
        <f>DG!$W$11</f>
        <v>0</v>
      </c>
    </row>
    <row r="569" spans="1:14" x14ac:dyDescent="0.25">
      <c r="A569" s="40" t="s">
        <v>43</v>
      </c>
      <c r="B569" s="40" t="str">
        <f>DG!$A$12</f>
        <v>DG 32:1</v>
      </c>
      <c r="C569" s="39" t="str">
        <f>DG!$L$12</f>
        <v>C35H66O5</v>
      </c>
      <c r="D569" s="39">
        <f>DG!$M$12</f>
        <v>566.49099860000001</v>
      </c>
      <c r="E569" s="39">
        <f>DG!$N$12</f>
        <v>567.49827320000009</v>
      </c>
      <c r="F569" s="39">
        <f>DG!$O$12</f>
        <v>549.48715320000008</v>
      </c>
      <c r="G569" s="39">
        <f>DG!$P$12</f>
        <v>584.5248186</v>
      </c>
      <c r="H569" s="39">
        <f>DG!$Q$12</f>
        <v>589.48021860000006</v>
      </c>
      <c r="I569" s="39">
        <f>DG!$R$12</f>
        <v>605.45415860000003</v>
      </c>
      <c r="J569" s="39">
        <f>DG!$S$12</f>
        <v>573.50645860000009</v>
      </c>
      <c r="K569" s="39">
        <f>DG!$T$12</f>
        <v>565.48372399999994</v>
      </c>
      <c r="L569" s="39">
        <f>DG!$U$12</f>
        <v>611.48921859999996</v>
      </c>
      <c r="M569" s="39">
        <f>DG!$V$12</f>
        <v>625.50486860000001</v>
      </c>
      <c r="N569" s="39">
        <f>DG!$W$12</f>
        <v>0</v>
      </c>
    </row>
    <row r="570" spans="1:14" x14ac:dyDescent="0.25">
      <c r="A570" s="40" t="s">
        <v>43</v>
      </c>
      <c r="B570" s="40" t="str">
        <f>DG!$A$13</f>
        <v>DG 32:0</v>
      </c>
      <c r="C570" s="39" t="str">
        <f>DG!$L$13</f>
        <v>C35H68O5</v>
      </c>
      <c r="D570" s="39">
        <f>DG!$M$13</f>
        <v>568.5066478</v>
      </c>
      <c r="E570" s="39">
        <f>DG!$N$13</f>
        <v>569.51392240000007</v>
      </c>
      <c r="F570" s="39">
        <f>DG!$O$13</f>
        <v>551.50280240000006</v>
      </c>
      <c r="G570" s="39">
        <f>DG!$P$13</f>
        <v>586.54046779999999</v>
      </c>
      <c r="H570" s="39">
        <f>DG!$Q$13</f>
        <v>591.49586780000004</v>
      </c>
      <c r="I570" s="39">
        <f>DG!$R$13</f>
        <v>607.46980780000001</v>
      </c>
      <c r="J570" s="39">
        <f>DG!$S$13</f>
        <v>575.52210780000007</v>
      </c>
      <c r="K570" s="39">
        <f>DG!$T$13</f>
        <v>567.49937319999992</v>
      </c>
      <c r="L570" s="39">
        <f>DG!$U$13</f>
        <v>613.50486779999994</v>
      </c>
      <c r="M570" s="39">
        <f>DG!$V$13</f>
        <v>627.52051779999999</v>
      </c>
      <c r="N570" s="39">
        <f>DG!$W$13</f>
        <v>0</v>
      </c>
    </row>
    <row r="571" spans="1:14" x14ac:dyDescent="0.25">
      <c r="A571" s="40" t="s">
        <v>43</v>
      </c>
      <c r="B571" s="40" t="str">
        <f>DG!$A$14</f>
        <v>DG 33:2</v>
      </c>
      <c r="C571" s="39" t="str">
        <f>DG!$L$14</f>
        <v>C36H66O5</v>
      </c>
      <c r="D571" s="39">
        <f>DG!$M$14</f>
        <v>578.49099860000001</v>
      </c>
      <c r="E571" s="39">
        <f>DG!$N$14</f>
        <v>579.49827320000009</v>
      </c>
      <c r="F571" s="39">
        <f>DG!$O$14</f>
        <v>561.48715320000008</v>
      </c>
      <c r="G571" s="39">
        <f>DG!$P$14</f>
        <v>596.5248186</v>
      </c>
      <c r="H571" s="39">
        <f>DG!$Q$14</f>
        <v>601.48021860000006</v>
      </c>
      <c r="I571" s="39">
        <f>DG!$R$14</f>
        <v>617.45415860000003</v>
      </c>
      <c r="J571" s="39">
        <f>DG!$S$14</f>
        <v>585.50645860000009</v>
      </c>
      <c r="K571" s="39">
        <f>DG!$T$14</f>
        <v>577.48372399999994</v>
      </c>
      <c r="L571" s="39">
        <f>DG!$U$14</f>
        <v>623.48921859999996</v>
      </c>
      <c r="M571" s="39">
        <f>DG!$V$14</f>
        <v>637.50486860000001</v>
      </c>
      <c r="N571" s="39">
        <f>DG!$W$14</f>
        <v>0</v>
      </c>
    </row>
    <row r="572" spans="1:14" x14ac:dyDescent="0.25">
      <c r="A572" s="40" t="s">
        <v>43</v>
      </c>
      <c r="B572" s="40" t="str">
        <f>DG!$A$15</f>
        <v>DG 33:1</v>
      </c>
      <c r="C572" s="39" t="str">
        <f>DG!$L$15</f>
        <v>C36H68O5</v>
      </c>
      <c r="D572" s="39">
        <f>DG!$M$15</f>
        <v>580.5066478</v>
      </c>
      <c r="E572" s="39">
        <f>DG!$N$15</f>
        <v>581.51392240000007</v>
      </c>
      <c r="F572" s="39">
        <f>DG!$O$15</f>
        <v>563.50280240000006</v>
      </c>
      <c r="G572" s="39">
        <f>DG!$P$15</f>
        <v>598.54046779999999</v>
      </c>
      <c r="H572" s="39">
        <f>DG!$Q$15</f>
        <v>603.49586780000004</v>
      </c>
      <c r="I572" s="39">
        <f>DG!$R$15</f>
        <v>619.46980780000001</v>
      </c>
      <c r="J572" s="39">
        <f>DG!$S$15</f>
        <v>587.52210780000007</v>
      </c>
      <c r="K572" s="39">
        <f>DG!$T$15</f>
        <v>579.49937319999992</v>
      </c>
      <c r="L572" s="39">
        <f>DG!$U$15</f>
        <v>625.50486779999994</v>
      </c>
      <c r="M572" s="39">
        <f>DG!$V$15</f>
        <v>639.52051779999999</v>
      </c>
      <c r="N572" s="39">
        <f>DG!$W$15</f>
        <v>0</v>
      </c>
    </row>
    <row r="573" spans="1:14" x14ac:dyDescent="0.25">
      <c r="A573" s="40" t="s">
        <v>43</v>
      </c>
      <c r="B573" s="40" t="str">
        <f>DG!$A$16</f>
        <v>DG 33:0</v>
      </c>
      <c r="C573" s="39" t="str">
        <f>DG!$L$16</f>
        <v>C36H70O5</v>
      </c>
      <c r="D573" s="39">
        <f>DG!$M$16</f>
        <v>582.52229699999998</v>
      </c>
      <c r="E573" s="39">
        <f>DG!$N$16</f>
        <v>583.52957160000005</v>
      </c>
      <c r="F573" s="39">
        <f>DG!$O$16</f>
        <v>565.51845160000005</v>
      </c>
      <c r="G573" s="39">
        <f>DG!$P$16</f>
        <v>600.55611699999997</v>
      </c>
      <c r="H573" s="39">
        <f>DG!$Q$16</f>
        <v>605.51151700000003</v>
      </c>
      <c r="I573" s="39">
        <f>DG!$R$16</f>
        <v>621.485457</v>
      </c>
      <c r="J573" s="39">
        <f>DG!$S$16</f>
        <v>589.53775700000006</v>
      </c>
      <c r="K573" s="39">
        <f>DG!$T$16</f>
        <v>581.51502239999991</v>
      </c>
      <c r="L573" s="39">
        <f>DG!$U$16</f>
        <v>627.52051699999993</v>
      </c>
      <c r="M573" s="39">
        <f>DG!$V$16</f>
        <v>641.53616699999998</v>
      </c>
      <c r="N573" s="39">
        <f>DG!$W$16</f>
        <v>0</v>
      </c>
    </row>
    <row r="574" spans="1:14" x14ac:dyDescent="0.25">
      <c r="A574" s="40" t="s">
        <v>43</v>
      </c>
      <c r="B574" s="40" t="str">
        <f>DG!$A$17</f>
        <v>DG 34:2</v>
      </c>
      <c r="C574" s="39" t="str">
        <f>DG!$L$17</f>
        <v>C37H68O5</v>
      </c>
      <c r="D574" s="39">
        <f>DG!$M$17</f>
        <v>592.5066478</v>
      </c>
      <c r="E574" s="39">
        <f>DG!$N$17</f>
        <v>593.51392240000007</v>
      </c>
      <c r="F574" s="39">
        <f>DG!$O$17</f>
        <v>575.50280240000006</v>
      </c>
      <c r="G574" s="39">
        <f>DG!$P$17</f>
        <v>610.54046779999999</v>
      </c>
      <c r="H574" s="39">
        <f>DG!$Q$17</f>
        <v>615.49586780000004</v>
      </c>
      <c r="I574" s="39">
        <f>DG!$R$17</f>
        <v>631.46980780000001</v>
      </c>
      <c r="J574" s="39">
        <f>DG!$S$17</f>
        <v>599.52210780000007</v>
      </c>
      <c r="K574" s="39">
        <f>DG!$T$17</f>
        <v>591.49937319999992</v>
      </c>
      <c r="L574" s="39">
        <f>DG!$U$17</f>
        <v>637.50486779999994</v>
      </c>
      <c r="M574" s="39">
        <f>DG!$V$17</f>
        <v>651.52051779999999</v>
      </c>
      <c r="N574" s="39">
        <f>DG!$W$17</f>
        <v>0</v>
      </c>
    </row>
    <row r="575" spans="1:14" x14ac:dyDescent="0.25">
      <c r="A575" s="40" t="s">
        <v>43</v>
      </c>
      <c r="B575" s="40" t="str">
        <f>DG!$A$18</f>
        <v>DG 34:1</v>
      </c>
      <c r="C575" s="39" t="str">
        <f>DG!$L$18</f>
        <v>C37H70O5</v>
      </c>
      <c r="D575" s="39">
        <f>DG!$M$18</f>
        <v>594.52229699999998</v>
      </c>
      <c r="E575" s="39">
        <f>DG!$N$18</f>
        <v>595.52957160000005</v>
      </c>
      <c r="F575" s="39">
        <f>DG!$O$18</f>
        <v>577.51845160000005</v>
      </c>
      <c r="G575" s="39">
        <f>DG!$P$18</f>
        <v>612.55611699999997</v>
      </c>
      <c r="H575" s="39">
        <f>DG!$Q$18</f>
        <v>617.51151700000003</v>
      </c>
      <c r="I575" s="39">
        <f>DG!$R$18</f>
        <v>633.485457</v>
      </c>
      <c r="J575" s="39">
        <f>DG!$S$18</f>
        <v>601.53775700000006</v>
      </c>
      <c r="K575" s="39">
        <f>DG!$T$18</f>
        <v>593.51502239999991</v>
      </c>
      <c r="L575" s="39">
        <f>DG!$U$18</f>
        <v>639.52051699999993</v>
      </c>
      <c r="M575" s="39">
        <f>DG!$V$18</f>
        <v>653.53616699999998</v>
      </c>
      <c r="N575" s="39">
        <f>DG!$W$18</f>
        <v>0</v>
      </c>
    </row>
    <row r="576" spans="1:14" x14ac:dyDescent="0.25">
      <c r="A576" s="40" t="s">
        <v>43</v>
      </c>
      <c r="B576" s="40" t="str">
        <f>DG!$A$19</f>
        <v>DG 34:0</v>
      </c>
      <c r="C576" s="39" t="str">
        <f>DG!$L$19</f>
        <v>C37H72O5</v>
      </c>
      <c r="D576" s="39">
        <f>DG!$M$19</f>
        <v>596.53794619999996</v>
      </c>
      <c r="E576" s="39">
        <f>DG!$N$19</f>
        <v>597.54522080000004</v>
      </c>
      <c r="F576" s="39">
        <f>DG!$O$19</f>
        <v>579.53410080000003</v>
      </c>
      <c r="G576" s="39">
        <f>DG!$P$19</f>
        <v>614.57176619999996</v>
      </c>
      <c r="H576" s="39">
        <f>DG!$Q$19</f>
        <v>619.52716620000001</v>
      </c>
      <c r="I576" s="39">
        <f>DG!$R$19</f>
        <v>635.50110619999998</v>
      </c>
      <c r="J576" s="39">
        <f>DG!$S$19</f>
        <v>603.55340620000004</v>
      </c>
      <c r="K576" s="39">
        <f>DG!$T$19</f>
        <v>595.53067159999989</v>
      </c>
      <c r="L576" s="39">
        <f>DG!$U$19</f>
        <v>641.53616619999991</v>
      </c>
      <c r="M576" s="39">
        <f>DG!$V$19</f>
        <v>655.55181619999996</v>
      </c>
      <c r="N576" s="39">
        <f>DG!$W$19</f>
        <v>0</v>
      </c>
    </row>
    <row r="577" spans="1:14" x14ac:dyDescent="0.25">
      <c r="A577" s="40" t="s">
        <v>43</v>
      </c>
      <c r="B577" s="40" t="str">
        <f>DG!$A$20</f>
        <v>DG 35:2</v>
      </c>
      <c r="C577" s="39" t="str">
        <f>DG!$L$20</f>
        <v>C38H70O5</v>
      </c>
      <c r="D577" s="39">
        <f>DG!$M$20</f>
        <v>606.52229699999998</v>
      </c>
      <c r="E577" s="39">
        <f>DG!$N$20</f>
        <v>607.52957160000005</v>
      </c>
      <c r="F577" s="39">
        <f>DG!$O$20</f>
        <v>589.51845160000005</v>
      </c>
      <c r="G577" s="39">
        <f>DG!$P$20</f>
        <v>624.55611699999997</v>
      </c>
      <c r="H577" s="39">
        <f>DG!$Q$20</f>
        <v>629.51151700000003</v>
      </c>
      <c r="I577" s="39">
        <f>DG!$R$20</f>
        <v>645.485457</v>
      </c>
      <c r="J577" s="39">
        <f>DG!$S$20</f>
        <v>613.53775700000006</v>
      </c>
      <c r="K577" s="39">
        <f>DG!$T$20</f>
        <v>605.51502239999991</v>
      </c>
      <c r="L577" s="39">
        <f>DG!$U$20</f>
        <v>651.52051699999993</v>
      </c>
      <c r="M577" s="39">
        <f>DG!$V$20</f>
        <v>665.53616699999998</v>
      </c>
      <c r="N577" s="39">
        <f>DG!$W$20</f>
        <v>0</v>
      </c>
    </row>
    <row r="578" spans="1:14" x14ac:dyDescent="0.25">
      <c r="A578" s="40" t="s">
        <v>43</v>
      </c>
      <c r="B578" s="40" t="str">
        <f>DG!$A$21</f>
        <v>DG 35:1</v>
      </c>
      <c r="C578" s="39" t="str">
        <f>DG!$L$21</f>
        <v>C38H72O5</v>
      </c>
      <c r="D578" s="39">
        <f>DG!$M$21</f>
        <v>608.53794619999996</v>
      </c>
      <c r="E578" s="39">
        <f>DG!$N$21</f>
        <v>609.54522080000004</v>
      </c>
      <c r="F578" s="39">
        <f>DG!$O$21</f>
        <v>591.53410080000003</v>
      </c>
      <c r="G578" s="39">
        <f>DG!$P$21</f>
        <v>626.57176619999996</v>
      </c>
      <c r="H578" s="39">
        <f>DG!$Q$21</f>
        <v>631.52716620000001</v>
      </c>
      <c r="I578" s="39">
        <f>DG!$R$21</f>
        <v>647.50110619999998</v>
      </c>
      <c r="J578" s="39">
        <f>DG!$S$21</f>
        <v>615.55340620000004</v>
      </c>
      <c r="K578" s="39">
        <f>DG!$T$21</f>
        <v>607.53067159999989</v>
      </c>
      <c r="L578" s="39">
        <f>DG!$U$21</f>
        <v>653.53616619999991</v>
      </c>
      <c r="M578" s="39">
        <f>DG!$V$21</f>
        <v>667.55181619999996</v>
      </c>
      <c r="N578" s="39">
        <f>DG!$W$21</f>
        <v>0</v>
      </c>
    </row>
    <row r="579" spans="1:14" x14ac:dyDescent="0.25">
      <c r="A579" s="40" t="s">
        <v>43</v>
      </c>
      <c r="B579" s="40" t="str">
        <f>DG!$A$22</f>
        <v>DG 35:0</v>
      </c>
      <c r="C579" s="39" t="str">
        <f>DG!$L$22</f>
        <v>C38H74O5</v>
      </c>
      <c r="D579" s="39">
        <f>DG!$M$22</f>
        <v>610.55359539999995</v>
      </c>
      <c r="E579" s="39">
        <f>DG!$N$22</f>
        <v>611.56087000000002</v>
      </c>
      <c r="F579" s="39">
        <f>DG!$O$22</f>
        <v>593.54975000000002</v>
      </c>
      <c r="G579" s="39">
        <f>DG!$P$22</f>
        <v>628.58741539999994</v>
      </c>
      <c r="H579" s="39">
        <f>DG!$Q$22</f>
        <v>633.54281539999999</v>
      </c>
      <c r="I579" s="39">
        <f>DG!$R$22</f>
        <v>649.51675539999997</v>
      </c>
      <c r="J579" s="39">
        <f>DG!$S$22</f>
        <v>617.56905540000002</v>
      </c>
      <c r="K579" s="39">
        <f>DG!$T$22</f>
        <v>609.54632079999988</v>
      </c>
      <c r="L579" s="39">
        <f>DG!$U$22</f>
        <v>655.5518153999999</v>
      </c>
      <c r="M579" s="39">
        <f>DG!$V$22</f>
        <v>669.56746539999995</v>
      </c>
      <c r="N579" s="39">
        <f>DG!$W$22</f>
        <v>0</v>
      </c>
    </row>
    <row r="580" spans="1:14" x14ac:dyDescent="0.25">
      <c r="A580" s="40" t="s">
        <v>43</v>
      </c>
      <c r="B580" s="40" t="str">
        <f>DG!$A$23</f>
        <v>DG 36:2</v>
      </c>
      <c r="C580" s="39" t="str">
        <f>DG!$L$23</f>
        <v>C39H72O5</v>
      </c>
      <c r="D580" s="39">
        <f>DG!$M$23</f>
        <v>620.53794619999996</v>
      </c>
      <c r="E580" s="39">
        <f>DG!$N$23</f>
        <v>621.54522080000004</v>
      </c>
      <c r="F580" s="39">
        <f>DG!$O$23</f>
        <v>603.53410080000003</v>
      </c>
      <c r="G580" s="39">
        <f>DG!$P$23</f>
        <v>638.57176619999996</v>
      </c>
      <c r="H580" s="39">
        <f>DG!$Q$23</f>
        <v>643.52716620000001</v>
      </c>
      <c r="I580" s="39">
        <f>DG!$R$23</f>
        <v>659.50110619999998</v>
      </c>
      <c r="J580" s="39">
        <f>DG!$S$23</f>
        <v>627.55340620000004</v>
      </c>
      <c r="K580" s="39">
        <f>DG!$T$23</f>
        <v>619.53067159999989</v>
      </c>
      <c r="L580" s="39">
        <f>DG!$U$23</f>
        <v>665.53616619999991</v>
      </c>
      <c r="M580" s="39">
        <f>DG!$V$23</f>
        <v>679.55181619999996</v>
      </c>
      <c r="N580" s="39">
        <f>DG!$W$23</f>
        <v>0</v>
      </c>
    </row>
    <row r="581" spans="1:14" x14ac:dyDescent="0.25">
      <c r="A581" s="40" t="s">
        <v>43</v>
      </c>
      <c r="B581" s="40" t="str">
        <f>DG!$A$24</f>
        <v>DG 36:1</v>
      </c>
      <c r="C581" s="39" t="str">
        <f>DG!$L$24</f>
        <v>C39H74O5</v>
      </c>
      <c r="D581" s="39">
        <f>DG!$M$24</f>
        <v>622.55359539999995</v>
      </c>
      <c r="E581" s="39">
        <f>DG!$N$24</f>
        <v>623.56087000000002</v>
      </c>
      <c r="F581" s="39">
        <f>DG!$O$24</f>
        <v>605.54975000000002</v>
      </c>
      <c r="G581" s="39">
        <f>DG!$P$24</f>
        <v>640.58741539999994</v>
      </c>
      <c r="H581" s="39">
        <f>DG!$Q$24</f>
        <v>645.54281539999999</v>
      </c>
      <c r="I581" s="39">
        <f>DG!$R$24</f>
        <v>661.51675539999997</v>
      </c>
      <c r="J581" s="39">
        <f>DG!$S$24</f>
        <v>629.56905540000002</v>
      </c>
      <c r="K581" s="39">
        <f>DG!$T$24</f>
        <v>621.54632079999988</v>
      </c>
      <c r="L581" s="39">
        <f>DG!$U$24</f>
        <v>667.5518153999999</v>
      </c>
      <c r="M581" s="39">
        <f>DG!$V$24</f>
        <v>681.56746539999995</v>
      </c>
      <c r="N581" s="39">
        <f>DG!$W$24</f>
        <v>0</v>
      </c>
    </row>
    <row r="582" spans="1:14" x14ac:dyDescent="0.25">
      <c r="A582" s="40" t="s">
        <v>43</v>
      </c>
      <c r="B582" s="40" t="str">
        <f>DG!$A$25</f>
        <v>DG 36:0</v>
      </c>
      <c r="C582" s="39" t="str">
        <f>DG!$L$25</f>
        <v>C39H76O5</v>
      </c>
      <c r="D582" s="39">
        <f>DG!$M$25</f>
        <v>624.56924459999993</v>
      </c>
      <c r="E582" s="39">
        <f>DG!$N$25</f>
        <v>625.57651920000001</v>
      </c>
      <c r="F582" s="39">
        <f>DG!$O$25</f>
        <v>607.5653992</v>
      </c>
      <c r="G582" s="39">
        <f>DG!$P$25</f>
        <v>642.60306459999993</v>
      </c>
      <c r="H582" s="39">
        <f>DG!$Q$25</f>
        <v>647.55846459999998</v>
      </c>
      <c r="I582" s="39">
        <f>DG!$R$25</f>
        <v>663.53240459999995</v>
      </c>
      <c r="J582" s="39">
        <f>DG!$S$25</f>
        <v>631.58470460000001</v>
      </c>
      <c r="K582" s="39">
        <f>DG!$T$25</f>
        <v>623.56196999999986</v>
      </c>
      <c r="L582" s="39">
        <f>DG!$U$25</f>
        <v>669.56746459999988</v>
      </c>
      <c r="M582" s="39">
        <f>DG!$V$25</f>
        <v>683.58311459999993</v>
      </c>
      <c r="N582" s="39">
        <f>DG!$W$25</f>
        <v>0</v>
      </c>
    </row>
    <row r="583" spans="1:14" x14ac:dyDescent="0.25">
      <c r="A583" s="40" t="s">
        <v>43</v>
      </c>
      <c r="B583" s="40">
        <f>DG!$A$26</f>
        <v>0</v>
      </c>
      <c r="C583" s="39">
        <f>DG!$L$26</f>
        <v>0</v>
      </c>
      <c r="D583" s="39">
        <f>DG!$M$26</f>
        <v>0</v>
      </c>
      <c r="E583" s="39">
        <f>DG!$N$26</f>
        <v>0</v>
      </c>
      <c r="F583" s="39">
        <f>DG!$O$26</f>
        <v>0</v>
      </c>
      <c r="G583" s="39">
        <f>DG!$P$26</f>
        <v>0</v>
      </c>
      <c r="H583" s="39">
        <f>DG!$Q$26</f>
        <v>0</v>
      </c>
      <c r="I583" s="39">
        <f>DG!$R$26</f>
        <v>0</v>
      </c>
      <c r="J583" s="39">
        <f>DG!$S$26</f>
        <v>0</v>
      </c>
      <c r="K583" s="39">
        <f>DG!$T$26</f>
        <v>0</v>
      </c>
      <c r="L583" s="39">
        <f>DG!$U$26</f>
        <v>0</v>
      </c>
      <c r="M583" s="39">
        <f>DG!$V$26</f>
        <v>0</v>
      </c>
      <c r="N583" s="39">
        <f>DG!$W$26</f>
        <v>0</v>
      </c>
    </row>
    <row r="584" spans="1:14" x14ac:dyDescent="0.25">
      <c r="A584" s="40" t="s">
        <v>43</v>
      </c>
      <c r="B584" s="40">
        <f>DG!$A$27</f>
        <v>0</v>
      </c>
      <c r="C584" s="39">
        <f>DG!$L$27</f>
        <v>0</v>
      </c>
      <c r="D584" s="39">
        <f>DG!$M$27</f>
        <v>0</v>
      </c>
      <c r="E584" s="39">
        <f>DG!$N$27</f>
        <v>0</v>
      </c>
      <c r="F584" s="39">
        <f>DG!$O$27</f>
        <v>0</v>
      </c>
      <c r="G584" s="39">
        <f>DG!$P$27</f>
        <v>0</v>
      </c>
      <c r="H584" s="39">
        <f>DG!$Q$27</f>
        <v>0</v>
      </c>
      <c r="I584" s="39">
        <f>DG!$R$27</f>
        <v>0</v>
      </c>
      <c r="J584" s="39">
        <f>DG!$S$27</f>
        <v>0</v>
      </c>
      <c r="K584" s="39">
        <f>DG!$T$27</f>
        <v>0</v>
      </c>
      <c r="L584" s="39">
        <f>DG!$U$27</f>
        <v>0</v>
      </c>
      <c r="M584" s="39">
        <f>DG!$V$27</f>
        <v>0</v>
      </c>
      <c r="N584" s="39">
        <f>DG!$W$27</f>
        <v>0</v>
      </c>
    </row>
    <row r="585" spans="1:14" x14ac:dyDescent="0.25">
      <c r="A585" s="40" t="s">
        <v>43</v>
      </c>
      <c r="B585" s="40">
        <f>DG!$A$28</f>
        <v>0</v>
      </c>
      <c r="C585" s="39">
        <f>DG!$L$28</f>
        <v>0</v>
      </c>
      <c r="D585" s="39">
        <f>DG!$M$28</f>
        <v>0</v>
      </c>
      <c r="E585" s="39">
        <f>DG!$N$28</f>
        <v>0</v>
      </c>
      <c r="F585" s="39">
        <f>DG!$O$28</f>
        <v>0</v>
      </c>
      <c r="G585" s="39">
        <f>DG!$P$28</f>
        <v>0</v>
      </c>
      <c r="H585" s="39">
        <f>DG!$Q$28</f>
        <v>0</v>
      </c>
      <c r="I585" s="39">
        <f>DG!$R$28</f>
        <v>0</v>
      </c>
      <c r="J585" s="39">
        <f>DG!$S$28</f>
        <v>0</v>
      </c>
      <c r="K585" s="39">
        <f>DG!$T$28</f>
        <v>0</v>
      </c>
      <c r="L585" s="39">
        <f>DG!$U$28</f>
        <v>0</v>
      </c>
      <c r="M585" s="39">
        <f>DG!$V$28</f>
        <v>0</v>
      </c>
      <c r="N585" s="39">
        <f>DG!$W$28</f>
        <v>0</v>
      </c>
    </row>
    <row r="586" spans="1:14" x14ac:dyDescent="0.25">
      <c r="A586" s="40" t="s">
        <v>43</v>
      </c>
      <c r="B586" s="40">
        <f>DG!$A$29</f>
        <v>0</v>
      </c>
      <c r="C586" s="39">
        <f>DG!$L$29</f>
        <v>0</v>
      </c>
      <c r="D586" s="39">
        <f>DG!$M$29</f>
        <v>0</v>
      </c>
      <c r="E586" s="39">
        <f>DG!$N$29</f>
        <v>0</v>
      </c>
      <c r="F586" s="39">
        <f>DG!$O$29</f>
        <v>0</v>
      </c>
      <c r="G586" s="39">
        <f>DG!$P$29</f>
        <v>0</v>
      </c>
      <c r="H586" s="39">
        <f>DG!$Q$29</f>
        <v>0</v>
      </c>
      <c r="I586" s="39">
        <f>DG!$R$29</f>
        <v>0</v>
      </c>
      <c r="J586" s="39">
        <f>DG!$S$29</f>
        <v>0</v>
      </c>
      <c r="K586" s="39">
        <f>DG!$T$29</f>
        <v>0</v>
      </c>
      <c r="L586" s="39">
        <f>DG!$U$29</f>
        <v>0</v>
      </c>
      <c r="M586" s="39">
        <f>DG!$V$29</f>
        <v>0</v>
      </c>
      <c r="N586" s="39">
        <f>DG!$W$29</f>
        <v>0</v>
      </c>
    </row>
    <row r="587" spans="1:14" x14ac:dyDescent="0.25">
      <c r="A587" s="40" t="s">
        <v>45</v>
      </c>
      <c r="B587" s="40" t="str">
        <f>LPA!$A$3</f>
        <v xml:space="preserve">LPA 18:0 </v>
      </c>
      <c r="C587" s="39" t="str">
        <f>LPA!$L$3</f>
        <v>C21H43O7P1</v>
      </c>
      <c r="D587" s="39">
        <f>LPA!$M$3</f>
        <v>438.27462580000002</v>
      </c>
      <c r="E587" s="39">
        <f>LPA!$N$3</f>
        <v>439.28190040000004</v>
      </c>
      <c r="F587" s="39">
        <f>LPA!$O$3</f>
        <v>421.27078040000004</v>
      </c>
      <c r="G587" s="39">
        <f>LPA!$P$3</f>
        <v>456.30844580000007</v>
      </c>
      <c r="H587" s="39">
        <f>LPA!$Q$3</f>
        <v>461.26384580000007</v>
      </c>
      <c r="I587" s="39">
        <f>LPA!$R$3</f>
        <v>477.23778580000004</v>
      </c>
      <c r="J587" s="39">
        <f>LPA!$S$3</f>
        <v>445.29008580000004</v>
      </c>
      <c r="K587" s="39">
        <f>LPA!$T$3</f>
        <v>437.26735120000001</v>
      </c>
    </row>
    <row r="588" spans="1:14" x14ac:dyDescent="0.25">
      <c r="A588" s="40" t="s">
        <v>45</v>
      </c>
      <c r="B588" s="40">
        <f>LPA!$A$4</f>
        <v>0</v>
      </c>
      <c r="C588" s="39">
        <f>LPA!$L$4</f>
        <v>0</v>
      </c>
      <c r="D588" s="39">
        <f>LPA!$M$4</f>
        <v>0</v>
      </c>
      <c r="E588" s="39">
        <f>LPA!$N$4</f>
        <v>0</v>
      </c>
      <c r="F588" s="39">
        <f>LPA!$O$4</f>
        <v>0</v>
      </c>
      <c r="G588" s="39">
        <f>LPA!$P$4</f>
        <v>0</v>
      </c>
      <c r="H588" s="39">
        <f>LPA!$Q$4</f>
        <v>0</v>
      </c>
      <c r="I588" s="39">
        <f>LPA!$R$4</f>
        <v>0</v>
      </c>
      <c r="J588" s="39">
        <f>LPA!$S$4</f>
        <v>0</v>
      </c>
      <c r="K588" s="39">
        <f>LPA!$T$4</f>
        <v>0</v>
      </c>
    </row>
    <row r="589" spans="1:14" x14ac:dyDescent="0.25">
      <c r="A589" s="40" t="s">
        <v>45</v>
      </c>
      <c r="B589" s="40" t="str">
        <f>LPA!$A$5</f>
        <v>LPA 12:0</v>
      </c>
      <c r="C589" s="39" t="str">
        <f>LPA!$L$5</f>
        <v>C15H31O7P1</v>
      </c>
      <c r="D589" s="39">
        <f>LPA!$M$5</f>
        <v>354.1807306</v>
      </c>
      <c r="E589" s="39">
        <f>LPA!$N$5</f>
        <v>355.18800520000002</v>
      </c>
      <c r="F589" s="39">
        <f>LPA!$O$5</f>
        <v>337.17688520000002</v>
      </c>
      <c r="G589" s="39">
        <f>LPA!$P$5</f>
        <v>372.21455060000005</v>
      </c>
      <c r="H589" s="39">
        <f>LPA!$Q$5</f>
        <v>377.16995060000005</v>
      </c>
      <c r="I589" s="39">
        <f>LPA!$R$5</f>
        <v>393.14389060000002</v>
      </c>
      <c r="J589" s="39">
        <f>LPA!$S$5</f>
        <v>361.19619060000002</v>
      </c>
      <c r="K589" s="39">
        <f>LPA!$T$5</f>
        <v>353.17345599999999</v>
      </c>
    </row>
    <row r="590" spans="1:14" x14ac:dyDescent="0.25">
      <c r="A590" s="40" t="s">
        <v>45</v>
      </c>
      <c r="B590" s="40" t="str">
        <f>LPA!$A$6</f>
        <v>LPA 13:0</v>
      </c>
      <c r="C590" s="39" t="str">
        <f>LPA!$L$6</f>
        <v>C16H33O7P1</v>
      </c>
      <c r="D590" s="39">
        <f>LPA!$M$6</f>
        <v>368.19637979999999</v>
      </c>
      <c r="E590" s="39">
        <f>LPA!$N$6</f>
        <v>369.2036544</v>
      </c>
      <c r="F590" s="39">
        <f>LPA!$O$6</f>
        <v>351.1925344</v>
      </c>
      <c r="G590" s="39">
        <f>LPA!$P$6</f>
        <v>386.23019980000004</v>
      </c>
      <c r="H590" s="39">
        <f>LPA!$Q$6</f>
        <v>391.18559980000003</v>
      </c>
      <c r="I590" s="39">
        <f>LPA!$R$6</f>
        <v>407.1595398</v>
      </c>
      <c r="J590" s="39">
        <f>LPA!$S$6</f>
        <v>375.21183980000001</v>
      </c>
      <c r="K590" s="39">
        <f>LPA!$T$6</f>
        <v>367.18910519999997</v>
      </c>
    </row>
    <row r="591" spans="1:14" x14ac:dyDescent="0.25">
      <c r="A591" s="40" t="s">
        <v>45</v>
      </c>
      <c r="B591" s="40" t="str">
        <f>LPA!$A$7</f>
        <v>LPA 14:0</v>
      </c>
      <c r="C591" s="39" t="str">
        <f>LPA!$L$7</f>
        <v>C17H35O7P1</v>
      </c>
      <c r="D591" s="39">
        <f>LPA!$M$7</f>
        <v>382.21202900000003</v>
      </c>
      <c r="E591" s="39">
        <f>LPA!$N$7</f>
        <v>383.21930360000005</v>
      </c>
      <c r="F591" s="39">
        <f>LPA!$O$7</f>
        <v>365.2081836000001</v>
      </c>
      <c r="G591" s="39">
        <f>LPA!$P$7</f>
        <v>400.24584900000008</v>
      </c>
      <c r="H591" s="39">
        <f>LPA!$Q$7</f>
        <v>405.20124900000008</v>
      </c>
      <c r="I591" s="39">
        <f>LPA!$R$7</f>
        <v>421.17518900000005</v>
      </c>
      <c r="J591" s="39">
        <f>LPA!$S$7</f>
        <v>389.22748900000005</v>
      </c>
      <c r="K591" s="39">
        <f>LPA!$T$7</f>
        <v>381.20475440000001</v>
      </c>
    </row>
    <row r="592" spans="1:14" x14ac:dyDescent="0.25">
      <c r="A592" s="40" t="s">
        <v>45</v>
      </c>
      <c r="B592" s="40" t="str">
        <f>LPA!$A$8</f>
        <v>LPA 15:0</v>
      </c>
      <c r="C592" s="39" t="str">
        <f>LPA!$L$8</f>
        <v>C18H37O7P1</v>
      </c>
      <c r="D592" s="39">
        <f>LPA!$M$8</f>
        <v>396.22767820000001</v>
      </c>
      <c r="E592" s="39">
        <f>LPA!$N$8</f>
        <v>397.23495280000003</v>
      </c>
      <c r="F592" s="39">
        <f>LPA!$O$8</f>
        <v>379.22383280000008</v>
      </c>
      <c r="G592" s="39">
        <f>LPA!$P$8</f>
        <v>414.26149820000006</v>
      </c>
      <c r="H592" s="39">
        <f>LPA!$Q$8</f>
        <v>419.21689820000006</v>
      </c>
      <c r="I592" s="39">
        <f>LPA!$R$8</f>
        <v>435.19083820000003</v>
      </c>
      <c r="J592" s="39">
        <f>LPA!$S$8</f>
        <v>403.24313820000003</v>
      </c>
      <c r="K592" s="39">
        <f>LPA!$T$8</f>
        <v>395.2204036</v>
      </c>
    </row>
    <row r="593" spans="1:13" x14ac:dyDescent="0.25">
      <c r="A593" s="40" t="s">
        <v>45</v>
      </c>
      <c r="B593" s="40" t="str">
        <f>LPA!$A$9</f>
        <v>LPA 16:0</v>
      </c>
      <c r="C593" s="39" t="str">
        <f>LPA!$L$9</f>
        <v>C19H39O7P1</v>
      </c>
      <c r="D593" s="39">
        <f>LPA!$M$9</f>
        <v>410.2433274</v>
      </c>
      <c r="E593" s="39">
        <f>LPA!$N$9</f>
        <v>411.25060200000001</v>
      </c>
      <c r="F593" s="39">
        <f>LPA!$O$9</f>
        <v>393.23948200000007</v>
      </c>
      <c r="G593" s="39">
        <f>LPA!$P$9</f>
        <v>428.27714740000005</v>
      </c>
      <c r="H593" s="39">
        <f>LPA!$Q$9</f>
        <v>433.23254740000004</v>
      </c>
      <c r="I593" s="39">
        <f>LPA!$R$9</f>
        <v>449.20648740000001</v>
      </c>
      <c r="J593" s="39">
        <f>LPA!$S$9</f>
        <v>417.25878740000002</v>
      </c>
      <c r="K593" s="39">
        <f>LPA!$T$9</f>
        <v>409.23605279999998</v>
      </c>
    </row>
    <row r="594" spans="1:13" x14ac:dyDescent="0.25">
      <c r="A594" s="40" t="s">
        <v>45</v>
      </c>
      <c r="B594" s="40" t="str">
        <f>LPA!$A$10</f>
        <v>LPA 17:1</v>
      </c>
      <c r="C594" s="39" t="str">
        <f>LPA!$L$10</f>
        <v>C20H39O7P1</v>
      </c>
      <c r="D594" s="39">
        <f>LPA!$M$10</f>
        <v>422.2433274</v>
      </c>
      <c r="E594" s="39">
        <f>LPA!$N$10</f>
        <v>423.25060200000001</v>
      </c>
      <c r="F594" s="39">
        <f>LPA!$O$10</f>
        <v>405.23948200000007</v>
      </c>
      <c r="G594" s="39">
        <f>LPA!$P$10</f>
        <v>440.27714740000005</v>
      </c>
      <c r="H594" s="39">
        <f>LPA!$Q$10</f>
        <v>445.23254740000004</v>
      </c>
      <c r="I594" s="39">
        <f>LPA!$R$10</f>
        <v>461.20648740000001</v>
      </c>
      <c r="J594" s="39">
        <f>LPA!$S$10</f>
        <v>429.25878740000002</v>
      </c>
      <c r="K594" s="39">
        <f>LPA!$T$10</f>
        <v>421.23605279999998</v>
      </c>
    </row>
    <row r="595" spans="1:13" x14ac:dyDescent="0.25">
      <c r="A595" s="40" t="s">
        <v>45</v>
      </c>
      <c r="B595" s="40" t="str">
        <f>LPA!$A$11</f>
        <v>LPA 17:0</v>
      </c>
      <c r="C595" s="39" t="str">
        <f>LPA!$L$11</f>
        <v>C20H41O7P1</v>
      </c>
      <c r="D595" s="39">
        <f>LPA!$M$11</f>
        <v>424.25897660000004</v>
      </c>
      <c r="E595" s="39">
        <f>LPA!$N$11</f>
        <v>425.26625120000006</v>
      </c>
      <c r="F595" s="39">
        <f>LPA!$O$11</f>
        <v>407.25513120000005</v>
      </c>
      <c r="G595" s="39">
        <f>LPA!$P$11</f>
        <v>442.29279660000009</v>
      </c>
      <c r="H595" s="39">
        <f>LPA!$Q$11</f>
        <v>447.24819660000009</v>
      </c>
      <c r="I595" s="39">
        <f>LPA!$R$11</f>
        <v>463.22213660000006</v>
      </c>
      <c r="J595" s="39">
        <f>LPA!$S$11</f>
        <v>431.27443660000006</v>
      </c>
      <c r="K595" s="39">
        <f>LPA!$T$11</f>
        <v>423.25170200000002</v>
      </c>
    </row>
    <row r="596" spans="1:13" x14ac:dyDescent="0.25">
      <c r="A596" s="40" t="s">
        <v>45</v>
      </c>
      <c r="B596" s="40" t="str">
        <f>LPA!$A$12</f>
        <v>LPA 18:0</v>
      </c>
      <c r="C596" s="39" t="str">
        <f>LPA!$L$12</f>
        <v>C21H43O7P1</v>
      </c>
      <c r="D596" s="39">
        <f>LPA!$M$12</f>
        <v>438.27462580000002</v>
      </c>
      <c r="E596" s="39">
        <f>LPA!$N$12</f>
        <v>439.28190040000004</v>
      </c>
      <c r="F596" s="39">
        <f>LPA!$O$12</f>
        <v>421.27078040000004</v>
      </c>
      <c r="G596" s="39">
        <f>LPA!$P$12</f>
        <v>456.30844580000007</v>
      </c>
      <c r="H596" s="39">
        <f>LPA!$Q$12</f>
        <v>461.26384580000007</v>
      </c>
      <c r="I596" s="39">
        <f>LPA!$R$12</f>
        <v>477.23778580000004</v>
      </c>
      <c r="J596" s="39">
        <f>LPA!$S$12</f>
        <v>445.29008580000004</v>
      </c>
      <c r="K596" s="39">
        <f>LPA!$T$12</f>
        <v>437.26735120000001</v>
      </c>
    </row>
    <row r="597" spans="1:13" x14ac:dyDescent="0.25">
      <c r="A597" s="40" t="s">
        <v>45</v>
      </c>
      <c r="B597" s="40" t="str">
        <f>LPA!$A$13</f>
        <v>LPA 19:0</v>
      </c>
      <c r="C597" s="39" t="str">
        <f>LPA!$L$13</f>
        <v>C22H45O7P1</v>
      </c>
      <c r="D597" s="39">
        <f>LPA!$M$13</f>
        <v>452.29027500000001</v>
      </c>
      <c r="E597" s="39">
        <f>LPA!$N$13</f>
        <v>453.29754960000002</v>
      </c>
      <c r="F597" s="39">
        <f>LPA!$O$13</f>
        <v>435.28642960000002</v>
      </c>
      <c r="G597" s="39">
        <f>LPA!$P$13</f>
        <v>470.32409500000006</v>
      </c>
      <c r="H597" s="39">
        <f>LPA!$Q$13</f>
        <v>475.27949500000005</v>
      </c>
      <c r="I597" s="39">
        <f>LPA!$R$13</f>
        <v>491.25343500000002</v>
      </c>
      <c r="J597" s="39">
        <f>LPA!$S$13</f>
        <v>459.30573500000003</v>
      </c>
      <c r="K597" s="39">
        <f>LPA!$T$13</f>
        <v>451.28300039999999</v>
      </c>
    </row>
    <row r="598" spans="1:13" x14ac:dyDescent="0.25">
      <c r="A598" s="40" t="s">
        <v>45</v>
      </c>
      <c r="B598" s="40" t="str">
        <f>LPA!$A$14</f>
        <v>LPA 20:0</v>
      </c>
      <c r="C598" s="39" t="str">
        <f>LPA!$L$14</f>
        <v>C23H47O7P1</v>
      </c>
      <c r="D598" s="39">
        <f>LPA!$M$14</f>
        <v>466.30592419999999</v>
      </c>
      <c r="E598" s="39">
        <f>LPA!$N$14</f>
        <v>467.31319880000001</v>
      </c>
      <c r="F598" s="39">
        <f>LPA!$O$14</f>
        <v>449.3020788</v>
      </c>
      <c r="G598" s="39">
        <f>LPA!$P$14</f>
        <v>484.33974420000004</v>
      </c>
      <c r="H598" s="39">
        <f>LPA!$Q$14</f>
        <v>489.29514420000004</v>
      </c>
      <c r="I598" s="39">
        <f>LPA!$R$14</f>
        <v>505.26908420000001</v>
      </c>
      <c r="J598" s="39">
        <f>LPA!$S$14</f>
        <v>473.32138420000001</v>
      </c>
      <c r="K598" s="39">
        <f>LPA!$T$14</f>
        <v>465.29864959999998</v>
      </c>
    </row>
    <row r="599" spans="1:13" x14ac:dyDescent="0.25">
      <c r="A599" s="40" t="s">
        <v>51</v>
      </c>
      <c r="B599" s="40" t="str">
        <f>LPI!$A$3</f>
        <v>LPI 16:1</v>
      </c>
      <c r="C599" s="39" t="str">
        <f>LPI!$L$3</f>
        <v>C25H47O12P1</v>
      </c>
      <c r="D599" s="39">
        <f>LPI!$M$3</f>
        <v>570.28049919999989</v>
      </c>
      <c r="E599" s="39">
        <f>LPI!$N$3</f>
        <v>571.28777379999997</v>
      </c>
      <c r="F599" s="39">
        <f>LPI!$O$3</f>
        <v>553.27665379999996</v>
      </c>
      <c r="G599" s="39">
        <f>LPI!$P$3</f>
        <v>588.31431919999989</v>
      </c>
      <c r="H599" s="39">
        <f>LPI!$Q$3</f>
        <v>593.26971919999994</v>
      </c>
      <c r="I599" s="39">
        <f>LPI!$R$3</f>
        <v>609.24365919999991</v>
      </c>
      <c r="J599" s="39">
        <f>LPI!$S$3</f>
        <v>577.29595919999997</v>
      </c>
      <c r="K599" s="39">
        <f>LPI!$T$3</f>
        <v>569.27322459999982</v>
      </c>
      <c r="L599" s="39">
        <f>LPI!$U$3</f>
        <v>615.27871919999984</v>
      </c>
      <c r="M599" s="39">
        <f>LPI!$V$3</f>
        <v>629.29436919999989</v>
      </c>
    </row>
    <row r="600" spans="1:13" x14ac:dyDescent="0.25">
      <c r="A600" s="40" t="s">
        <v>52</v>
      </c>
      <c r="B600" s="40" t="str">
        <f>PI!$A$3</f>
        <v>PI 32:1</v>
      </c>
      <c r="C600" s="39" t="str">
        <f>PI!$L$3</f>
        <v>C41H77O13P1</v>
      </c>
      <c r="D600" s="39">
        <f>PI!$M$3</f>
        <v>808.51015219999999</v>
      </c>
      <c r="E600" s="39">
        <f>PI!$N$3</f>
        <v>809.51742680000007</v>
      </c>
      <c r="F600" s="39">
        <f>PI!$O$3</f>
        <v>791.50630680000006</v>
      </c>
      <c r="G600" s="39">
        <f>PI!$P$3</f>
        <v>826.54397219999998</v>
      </c>
      <c r="H600" s="39">
        <f>PI!$Q$3</f>
        <v>831.49937220000004</v>
      </c>
      <c r="I600" s="39">
        <f>PI!$R$3</f>
        <v>847.47331220000001</v>
      </c>
      <c r="J600" s="39">
        <f>PI!$S$3</f>
        <v>815.52561220000007</v>
      </c>
      <c r="K600" s="39">
        <f>PI!$T$3</f>
        <v>807.50287759999992</v>
      </c>
      <c r="L600" s="39">
        <f>PI!$U$3</f>
        <v>853.50837219999994</v>
      </c>
      <c r="M600" s="39">
        <f>PI!$V$3</f>
        <v>867.52402219999999</v>
      </c>
    </row>
    <row r="601" spans="1:13" x14ac:dyDescent="0.25">
      <c r="A601" s="40" t="s">
        <v>52</v>
      </c>
      <c r="B601" s="40" t="str">
        <f>PI!$A$4</f>
        <v>PI (16:0/18:1)__CHO__</v>
      </c>
      <c r="C601" s="39" t="str">
        <f>PI!$L$4</f>
        <v>C43H79O14P1</v>
      </c>
      <c r="D601" s="39">
        <f>PI!$M$4</f>
        <v>850.52071639999997</v>
      </c>
      <c r="E601" s="39">
        <f>PI!$N$4</f>
        <v>851.52799100000004</v>
      </c>
      <c r="F601" s="39">
        <f>PI!$O$4</f>
        <v>833.51687100000004</v>
      </c>
      <c r="G601" s="39">
        <f>PI!$P$4</f>
        <v>868.55453639999996</v>
      </c>
      <c r="H601" s="39">
        <f>PI!$Q$4</f>
        <v>873.50993640000002</v>
      </c>
      <c r="I601" s="39">
        <f>PI!$R$4</f>
        <v>889.48387639999999</v>
      </c>
      <c r="J601" s="39">
        <f>PI!$S$4</f>
        <v>857.53617640000004</v>
      </c>
      <c r="K601" s="39">
        <f>PI!$T$4</f>
        <v>849.5134417999999</v>
      </c>
      <c r="L601" s="39">
        <f>PI!$U$4</f>
        <v>895.51893639999992</v>
      </c>
      <c r="M601" s="39">
        <f>PI!$V$4</f>
        <v>909.53458639999997</v>
      </c>
    </row>
    <row r="602" spans="1:13" x14ac:dyDescent="0.25">
      <c r="A602" s="40" t="s">
        <v>52</v>
      </c>
      <c r="B602" s="40">
        <f>PI!$A$5</f>
        <v>0</v>
      </c>
      <c r="C602" s="39">
        <f>PI!$L$5</f>
        <v>0</v>
      </c>
      <c r="D602" s="39">
        <f>PI!$M$5</f>
        <v>0</v>
      </c>
      <c r="E602" s="39">
        <f>PI!$N$5</f>
        <v>0</v>
      </c>
      <c r="F602" s="39">
        <f>PI!$O$5</f>
        <v>0</v>
      </c>
      <c r="G602" s="39">
        <f>PI!$P$5</f>
        <v>0</v>
      </c>
      <c r="H602" s="39">
        <f>PI!$Q$5</f>
        <v>0</v>
      </c>
      <c r="I602" s="39">
        <f>PI!$R$5</f>
        <v>0</v>
      </c>
      <c r="J602" s="39">
        <f>PI!$S$5</f>
        <v>0</v>
      </c>
      <c r="K602" s="39">
        <f>PI!$T$5</f>
        <v>0</v>
      </c>
      <c r="L602" s="39">
        <f>PI!$U$5</f>
        <v>0</v>
      </c>
      <c r="M602" s="39">
        <f>PI!$V$5</f>
        <v>0</v>
      </c>
    </row>
    <row r="603" spans="1:13" x14ac:dyDescent="0.25">
      <c r="A603" s="40" t="s">
        <v>52</v>
      </c>
      <c r="B603" s="40" t="str">
        <f>PI!$A$6</f>
        <v>PI 32:1</v>
      </c>
      <c r="C603" s="39" t="str">
        <f>PI!$L$6</f>
        <v>C41H77O13P1</v>
      </c>
      <c r="D603" s="39">
        <f>PI!$M$6</f>
        <v>808.51015219999999</v>
      </c>
      <c r="E603" s="39">
        <f>PI!$N$6</f>
        <v>809.51742680000007</v>
      </c>
      <c r="F603" s="39">
        <f>PI!$O$6</f>
        <v>791.50630680000006</v>
      </c>
      <c r="G603" s="39">
        <f>PI!$P$6</f>
        <v>826.54397219999998</v>
      </c>
      <c r="H603" s="39">
        <f>PI!$Q$6</f>
        <v>831.49937220000004</v>
      </c>
      <c r="I603" s="39">
        <f>PI!$R$6</f>
        <v>847.47331220000001</v>
      </c>
      <c r="J603" s="39">
        <f>PI!$S$6</f>
        <v>815.52561220000007</v>
      </c>
      <c r="K603" s="39">
        <f>PI!$T$6</f>
        <v>807.50287759999992</v>
      </c>
      <c r="L603" s="39">
        <f>PI!$U$6</f>
        <v>853.50837219999994</v>
      </c>
      <c r="M603" s="39">
        <f>PI!$V$6</f>
        <v>867.52402219999999</v>
      </c>
    </row>
    <row r="604" spans="1:13" x14ac:dyDescent="0.25">
      <c r="A604" s="40" t="s">
        <v>52</v>
      </c>
      <c r="B604" s="40" t="str">
        <f>PI!$A$7</f>
        <v>PI 36:1</v>
      </c>
      <c r="C604" s="39" t="str">
        <f>PI!$L$7</f>
        <v>C45H85O13P1</v>
      </c>
      <c r="D604" s="39">
        <f>PI!$M$7</f>
        <v>864.57274899999993</v>
      </c>
      <c r="E604" s="39">
        <f>PI!$N$7</f>
        <v>865.5800236</v>
      </c>
      <c r="F604" s="39">
        <f>PI!$O$7</f>
        <v>847.5689036</v>
      </c>
      <c r="G604" s="39">
        <f>PI!$P$7</f>
        <v>882.60656899999992</v>
      </c>
      <c r="H604" s="39">
        <f>PI!$Q$7</f>
        <v>887.56196899999998</v>
      </c>
      <c r="I604" s="39">
        <f>PI!$R$7</f>
        <v>903.53590899999995</v>
      </c>
      <c r="J604" s="39">
        <f>PI!$S$7</f>
        <v>871.58820900000001</v>
      </c>
      <c r="K604" s="39">
        <f>PI!$T$7</f>
        <v>863.56547439999986</v>
      </c>
      <c r="L604" s="39">
        <f>PI!$U$7</f>
        <v>909.57096899999988</v>
      </c>
      <c r="M604" s="39">
        <f>PI!$V$7</f>
        <v>923.58661899999993</v>
      </c>
    </row>
    <row r="605" spans="1:13" x14ac:dyDescent="0.25">
      <c r="A605" s="40" t="s">
        <v>52</v>
      </c>
      <c r="B605" s="40">
        <f>PI!$A$8</f>
        <v>0</v>
      </c>
      <c r="C605" s="39">
        <f>PI!$L$8</f>
        <v>0</v>
      </c>
      <c r="D605" s="39">
        <f>PI!$M$8</f>
        <v>0</v>
      </c>
      <c r="E605" s="39">
        <f>PI!$N$8</f>
        <v>0</v>
      </c>
      <c r="F605" s="39">
        <f>PI!$O$8</f>
        <v>0</v>
      </c>
      <c r="G605" s="39">
        <f>PI!$P$8</f>
        <v>0</v>
      </c>
      <c r="H605" s="39">
        <f>PI!$Q$8</f>
        <v>0</v>
      </c>
      <c r="I605" s="39">
        <f>PI!$R$8</f>
        <v>0</v>
      </c>
      <c r="J605" s="39">
        <f>PI!$S$8</f>
        <v>0</v>
      </c>
      <c r="K605" s="39">
        <f>PI!$T$8</f>
        <v>0</v>
      </c>
      <c r="L605" s="39">
        <f>PI!$U$8</f>
        <v>0</v>
      </c>
      <c r="M605" s="39">
        <f>PI!$V$8</f>
        <v>0</v>
      </c>
    </row>
    <row r="606" spans="1:13" x14ac:dyDescent="0.25">
      <c r="A606" s="40" t="s">
        <v>52</v>
      </c>
      <c r="B606" s="40" t="str">
        <f>PI!$A$9</f>
        <v>PI 38:1</v>
      </c>
      <c r="C606" s="39" t="str">
        <f>PI!$L$9</f>
        <v>C47H89O13P1</v>
      </c>
      <c r="D606" s="39">
        <f>PI!$M$9</f>
        <v>892.60404740000001</v>
      </c>
      <c r="E606" s="39">
        <f>PI!$N$9</f>
        <v>893.61132200000009</v>
      </c>
      <c r="F606" s="39">
        <f>PI!$O$9</f>
        <v>875.60020200000008</v>
      </c>
      <c r="G606" s="39">
        <f>PI!$P$9</f>
        <v>910.6378674</v>
      </c>
      <c r="H606" s="39">
        <f>PI!$Q$9</f>
        <v>915.59326740000006</v>
      </c>
      <c r="I606" s="39">
        <f>PI!$R$9</f>
        <v>931.56720740000003</v>
      </c>
      <c r="J606" s="39">
        <f>PI!$S$9</f>
        <v>899.61950740000009</v>
      </c>
      <c r="K606" s="39">
        <f>PI!$T$9</f>
        <v>891.59677279999994</v>
      </c>
      <c r="L606" s="39">
        <f>PI!$U$9</f>
        <v>937.60226739999996</v>
      </c>
      <c r="M606" s="39">
        <f>PI!$V$9</f>
        <v>951.61791740000001</v>
      </c>
    </row>
    <row r="607" spans="1:13" x14ac:dyDescent="0.25">
      <c r="A607" s="40" t="s">
        <v>52</v>
      </c>
      <c r="B607" s="40">
        <f>PI!$A$10</f>
        <v>0</v>
      </c>
      <c r="C607" s="39">
        <f>PI!$L$10</f>
        <v>0</v>
      </c>
      <c r="D607" s="39">
        <f>PI!$M$10</f>
        <v>0</v>
      </c>
      <c r="E607" s="39">
        <f>PI!$N$10</f>
        <v>0</v>
      </c>
      <c r="F607" s="39">
        <f>PI!$O$10</f>
        <v>0</v>
      </c>
      <c r="G607" s="39">
        <f>PI!$P$10</f>
        <v>0</v>
      </c>
      <c r="H607" s="39">
        <f>PI!$Q$10</f>
        <v>0</v>
      </c>
      <c r="I607" s="39">
        <f>PI!$R$10</f>
        <v>0</v>
      </c>
      <c r="J607" s="39">
        <f>PI!$S$10</f>
        <v>0</v>
      </c>
      <c r="K607" s="39">
        <f>PI!$T$10</f>
        <v>0</v>
      </c>
      <c r="L607" s="39">
        <f>PI!$U$10</f>
        <v>0</v>
      </c>
      <c r="M607" s="39">
        <f>PI!$V$10</f>
        <v>0</v>
      </c>
    </row>
    <row r="608" spans="1:13" x14ac:dyDescent="0.25">
      <c r="A608" s="40" t="s">
        <v>52</v>
      </c>
      <c r="B608" s="40">
        <f>PI!$A$11</f>
        <v>0</v>
      </c>
      <c r="C608" s="39">
        <f>PI!$L$11</f>
        <v>0</v>
      </c>
      <c r="D608" s="39">
        <f>PI!$M$11</f>
        <v>0</v>
      </c>
      <c r="E608" s="39">
        <f>PI!$N$11</f>
        <v>0</v>
      </c>
      <c r="F608" s="39">
        <f>PI!$O$11</f>
        <v>0</v>
      </c>
      <c r="G608" s="39">
        <f>PI!$P$11</f>
        <v>0</v>
      </c>
      <c r="H608" s="39">
        <f>PI!$Q$11</f>
        <v>0</v>
      </c>
      <c r="I608" s="39">
        <f>PI!$R$11</f>
        <v>0</v>
      </c>
      <c r="J608" s="39">
        <f>PI!$S$11</f>
        <v>0</v>
      </c>
      <c r="K608" s="39">
        <f>PI!$T$11</f>
        <v>0</v>
      </c>
      <c r="L608" s="39">
        <f>PI!$U$11</f>
        <v>0</v>
      </c>
      <c r="M608" s="39">
        <f>PI!$V$11</f>
        <v>0</v>
      </c>
    </row>
    <row r="609" spans="1:13" x14ac:dyDescent="0.25">
      <c r="A609" s="40" t="s">
        <v>52</v>
      </c>
      <c r="B609" s="40" t="str">
        <f>PI!$A$12</f>
        <v>PI 30:0</v>
      </c>
      <c r="C609" s="39" t="str">
        <f>PI!$L$12</f>
        <v>C39H75O13P1</v>
      </c>
      <c r="D609" s="39">
        <f>PI!$M$12</f>
        <v>782.49450300000001</v>
      </c>
      <c r="E609" s="39">
        <f>PI!$N$12</f>
        <v>783.50177760000008</v>
      </c>
      <c r="F609" s="39">
        <f>PI!$O$12</f>
        <v>765.49065760000008</v>
      </c>
      <c r="G609" s="39">
        <f>PI!$P$12</f>
        <v>800.528323</v>
      </c>
      <c r="H609" s="39">
        <f>PI!$Q$12</f>
        <v>805.48372300000005</v>
      </c>
      <c r="I609" s="39">
        <f>PI!$R$12</f>
        <v>821.45766300000003</v>
      </c>
      <c r="J609" s="39">
        <f>PI!$S$12</f>
        <v>789.50996300000008</v>
      </c>
      <c r="K609" s="39">
        <f>PI!$T$12</f>
        <v>781.48722839999994</v>
      </c>
      <c r="L609" s="39">
        <f>PI!$U$12</f>
        <v>827.49272299999996</v>
      </c>
      <c r="M609" s="39">
        <f>PI!$V$12</f>
        <v>841.50837300000001</v>
      </c>
    </row>
    <row r="610" spans="1:13" x14ac:dyDescent="0.25">
      <c r="A610" s="40" t="s">
        <v>52</v>
      </c>
      <c r="B610" s="40" t="str">
        <f>PI!$A$13</f>
        <v>PI 31:0</v>
      </c>
      <c r="C610" s="39" t="str">
        <f>PI!$L$13</f>
        <v>C40H77O13P1</v>
      </c>
      <c r="D610" s="39">
        <f>PI!$M$13</f>
        <v>796.51015219999999</v>
      </c>
      <c r="E610" s="39">
        <f>PI!$N$13</f>
        <v>797.51742680000007</v>
      </c>
      <c r="F610" s="39">
        <f>PI!$O$13</f>
        <v>779.50630680000006</v>
      </c>
      <c r="G610" s="39">
        <f>PI!$P$13</f>
        <v>814.54397219999998</v>
      </c>
      <c r="H610" s="39">
        <f>PI!$Q$13</f>
        <v>819.49937220000004</v>
      </c>
      <c r="I610" s="39">
        <f>PI!$R$13</f>
        <v>835.47331220000001</v>
      </c>
      <c r="J610" s="39">
        <f>PI!$S$13</f>
        <v>803.52561220000007</v>
      </c>
      <c r="K610" s="39">
        <f>PI!$T$13</f>
        <v>795.50287759999992</v>
      </c>
      <c r="L610" s="39">
        <f>PI!$U$13</f>
        <v>841.50837219999994</v>
      </c>
      <c r="M610" s="39">
        <f>PI!$V$13</f>
        <v>855.52402219999999</v>
      </c>
    </row>
    <row r="611" spans="1:13" x14ac:dyDescent="0.25">
      <c r="A611" s="40" t="s">
        <v>52</v>
      </c>
      <c r="B611" s="40" t="str">
        <f>PI!$A$14</f>
        <v>PI 32:0</v>
      </c>
      <c r="C611" s="39" t="str">
        <f>PI!$L$14</f>
        <v>C41H79O13P1</v>
      </c>
      <c r="D611" s="39">
        <f>PI!$M$14</f>
        <v>810.52580139999998</v>
      </c>
      <c r="E611" s="39">
        <f>PI!$N$14</f>
        <v>811.53307600000005</v>
      </c>
      <c r="F611" s="39">
        <f>PI!$O$14</f>
        <v>793.52195600000005</v>
      </c>
      <c r="G611" s="39">
        <f>PI!$P$14</f>
        <v>828.55962139999997</v>
      </c>
      <c r="H611" s="39">
        <f>PI!$Q$14</f>
        <v>833.51502140000002</v>
      </c>
      <c r="I611" s="39">
        <f>PI!$R$14</f>
        <v>849.48896139999999</v>
      </c>
      <c r="J611" s="39">
        <f>PI!$S$14</f>
        <v>817.54126140000005</v>
      </c>
      <c r="K611" s="39">
        <f>PI!$T$14</f>
        <v>809.5185267999999</v>
      </c>
      <c r="L611" s="39">
        <f>PI!$U$14</f>
        <v>855.52402139999992</v>
      </c>
      <c r="M611" s="39">
        <f>PI!$V$14</f>
        <v>869.53967139999997</v>
      </c>
    </row>
    <row r="612" spans="1:13" x14ac:dyDescent="0.25">
      <c r="A612" s="40" t="s">
        <v>52</v>
      </c>
      <c r="B612" s="40" t="str">
        <f>PI!$A$15</f>
        <v>PI 33:0</v>
      </c>
      <c r="C612" s="39" t="str">
        <f>PI!$L$15</f>
        <v>C42H81O13P1</v>
      </c>
      <c r="D612" s="39">
        <f>PI!$M$15</f>
        <v>824.54145059999996</v>
      </c>
      <c r="E612" s="39">
        <f>PI!$N$15</f>
        <v>825.54872520000004</v>
      </c>
      <c r="F612" s="39">
        <f>PI!$O$15</f>
        <v>807.53760520000003</v>
      </c>
      <c r="G612" s="39">
        <f>PI!$P$15</f>
        <v>842.57527059999995</v>
      </c>
      <c r="H612" s="39">
        <f>PI!$Q$15</f>
        <v>847.53067060000001</v>
      </c>
      <c r="I612" s="39">
        <f>PI!$R$15</f>
        <v>863.50461059999998</v>
      </c>
      <c r="J612" s="39">
        <f>PI!$S$15</f>
        <v>831.55691060000004</v>
      </c>
      <c r="K612" s="39">
        <f>PI!$T$15</f>
        <v>823.53417599999989</v>
      </c>
      <c r="L612" s="39">
        <f>PI!$U$15</f>
        <v>869.53967059999991</v>
      </c>
      <c r="M612" s="39">
        <f>PI!$V$15</f>
        <v>883.55532059999996</v>
      </c>
    </row>
    <row r="613" spans="1:13" x14ac:dyDescent="0.25">
      <c r="A613" s="40" t="s">
        <v>52</v>
      </c>
      <c r="B613" s="40" t="str">
        <f>PI!$A$16</f>
        <v>PI 34:0</v>
      </c>
      <c r="C613" s="39" t="str">
        <f>PI!$L$16</f>
        <v>C43H83O13P1</v>
      </c>
      <c r="D613" s="39">
        <f>PI!$M$16</f>
        <v>838.55709979999995</v>
      </c>
      <c r="E613" s="39">
        <f>PI!$N$16</f>
        <v>839.56437440000002</v>
      </c>
      <c r="F613" s="39">
        <f>PI!$O$16</f>
        <v>821.55325440000001</v>
      </c>
      <c r="G613" s="39">
        <f>PI!$P$16</f>
        <v>856.59091979999994</v>
      </c>
      <c r="H613" s="39">
        <f>PI!$Q$16</f>
        <v>861.54631979999999</v>
      </c>
      <c r="I613" s="39">
        <f>PI!$R$16</f>
        <v>877.52025979999996</v>
      </c>
      <c r="J613" s="39">
        <f>PI!$S$16</f>
        <v>845.57255980000002</v>
      </c>
      <c r="K613" s="39">
        <f>PI!$T$16</f>
        <v>837.54982519999987</v>
      </c>
      <c r="L613" s="39">
        <f>PI!$U$16</f>
        <v>883.55531979999989</v>
      </c>
      <c r="M613" s="39">
        <f>PI!$V$16</f>
        <v>897.57096979999994</v>
      </c>
    </row>
    <row r="614" spans="1:13" x14ac:dyDescent="0.25">
      <c r="A614" s="40" t="s">
        <v>52</v>
      </c>
      <c r="B614" s="40" t="str">
        <f>PI!$A$17</f>
        <v>PI 35:0</v>
      </c>
      <c r="C614" s="39" t="str">
        <f>PI!$L$17</f>
        <v>C44H85O13P1</v>
      </c>
      <c r="D614" s="39">
        <f>PI!$M$17</f>
        <v>852.57274899999993</v>
      </c>
      <c r="E614" s="39">
        <f>PI!$N$17</f>
        <v>853.5800236</v>
      </c>
      <c r="F614" s="39">
        <f>PI!$O$17</f>
        <v>835.5689036</v>
      </c>
      <c r="G614" s="39">
        <f>PI!$P$17</f>
        <v>870.60656899999992</v>
      </c>
      <c r="H614" s="39">
        <f>PI!$Q$17</f>
        <v>875.56196899999998</v>
      </c>
      <c r="I614" s="39">
        <f>PI!$R$17</f>
        <v>891.53590899999995</v>
      </c>
      <c r="J614" s="39">
        <f>PI!$S$17</f>
        <v>859.58820900000001</v>
      </c>
      <c r="K614" s="39">
        <f>PI!$T$17</f>
        <v>851.56547439999986</v>
      </c>
      <c r="L614" s="39">
        <f>PI!$U$17</f>
        <v>897.57096899999988</v>
      </c>
      <c r="M614" s="39">
        <f>PI!$V$17</f>
        <v>911.58661899999993</v>
      </c>
    </row>
    <row r="615" spans="1:13" x14ac:dyDescent="0.25">
      <c r="A615" s="40" t="s">
        <v>53</v>
      </c>
      <c r="B615" s="40" t="str">
        <f>LPS!$A$3</f>
        <v>LPS 18:1</v>
      </c>
      <c r="C615" s="39" t="str">
        <f>LPS!$L$3</f>
        <v>C24H46N1O9P1</v>
      </c>
      <c r="D615" s="39">
        <f>LPS!$M$3</f>
        <v>523.29100359999995</v>
      </c>
      <c r="E615" s="39">
        <f>LPS!$N$3</f>
        <v>524.29827820000003</v>
      </c>
      <c r="F615" s="39">
        <f>LPS!$O$3</f>
        <v>506.28715820000002</v>
      </c>
      <c r="G615" s="39">
        <f>LPS!$P$3</f>
        <v>541.32482359999995</v>
      </c>
      <c r="H615" s="39">
        <f>LPS!$Q$3</f>
        <v>546.2802236</v>
      </c>
      <c r="I615" s="39">
        <f>LPS!$R$3</f>
        <v>562.25416359999997</v>
      </c>
      <c r="J615" s="39">
        <f>LPS!$S$3</f>
        <v>530.30646360000003</v>
      </c>
      <c r="K615" s="39">
        <f>LPS!$T$3</f>
        <v>522.28372899999988</v>
      </c>
      <c r="L615" s="39">
        <f>LPS!$U$3</f>
        <v>568.2892235999999</v>
      </c>
      <c r="M615" s="39">
        <f>LPS!$V$3</f>
        <v>582.30487359999995</v>
      </c>
    </row>
    <row r="616" spans="1:13" x14ac:dyDescent="0.25">
      <c r="A616" s="40" t="s">
        <v>53</v>
      </c>
      <c r="B616" s="40">
        <f>LPS!$A$4</f>
        <v>0</v>
      </c>
      <c r="C616" s="39">
        <f>LPS!$L$4</f>
        <v>0</v>
      </c>
      <c r="D616" s="39">
        <f>LPS!$M$4</f>
        <v>0</v>
      </c>
      <c r="E616" s="39">
        <f>LPS!$N$4</f>
        <v>0</v>
      </c>
      <c r="F616" s="39">
        <f>LPS!$O$4</f>
        <v>0</v>
      </c>
      <c r="G616" s="39">
        <f>LPS!$P$4</f>
        <v>0</v>
      </c>
      <c r="H616" s="39">
        <f>LPS!$Q$4</f>
        <v>0</v>
      </c>
      <c r="I616" s="39">
        <f>LPS!$R$4</f>
        <v>0</v>
      </c>
      <c r="J616" s="39">
        <f>LPS!$S$4</f>
        <v>0</v>
      </c>
      <c r="K616" s="39">
        <f>LPS!$T$4</f>
        <v>0</v>
      </c>
      <c r="L616" s="39">
        <f>LPS!$U$4</f>
        <v>0</v>
      </c>
      <c r="M616" s="39">
        <f>LPS!$V$4</f>
        <v>0</v>
      </c>
    </row>
    <row r="617" spans="1:13" x14ac:dyDescent="0.25">
      <c r="A617" s="40" t="s">
        <v>53</v>
      </c>
      <c r="B617" s="40">
        <f>LPS!$A$5</f>
        <v>0</v>
      </c>
      <c r="C617" s="39">
        <f>LPS!$L$5</f>
        <v>0</v>
      </c>
      <c r="D617" s="39">
        <f>LPS!$M$5</f>
        <v>0</v>
      </c>
      <c r="E617" s="39">
        <f>LPS!$N$5</f>
        <v>0</v>
      </c>
      <c r="F617" s="39">
        <f>LPS!$O$5</f>
        <v>0</v>
      </c>
      <c r="G617" s="39">
        <f>LPS!$P$5</f>
        <v>0</v>
      </c>
      <c r="H617" s="39">
        <f>LPS!$Q$5</f>
        <v>0</v>
      </c>
      <c r="I617" s="39">
        <f>LPS!$R$5</f>
        <v>0</v>
      </c>
      <c r="J617" s="39">
        <f>LPS!$S$5</f>
        <v>0</v>
      </c>
      <c r="K617" s="39">
        <f>LPS!$T$5</f>
        <v>0</v>
      </c>
      <c r="L617" s="39">
        <f>LPS!$U$5</f>
        <v>0</v>
      </c>
      <c r="M617" s="39">
        <f>LPS!$V$5</f>
        <v>0</v>
      </c>
    </row>
    <row r="618" spans="1:13" x14ac:dyDescent="0.25">
      <c r="A618" s="40" t="s">
        <v>53</v>
      </c>
      <c r="B618" s="40">
        <f>LPS!$A$6</f>
        <v>0</v>
      </c>
      <c r="C618" s="39">
        <f>LPS!$L$6</f>
        <v>0</v>
      </c>
      <c r="D618" s="39">
        <f>LPS!$M$6</f>
        <v>0</v>
      </c>
      <c r="E618" s="39">
        <f>LPS!$N$6</f>
        <v>0</v>
      </c>
      <c r="F618" s="39">
        <f>LPS!$O$6</f>
        <v>0</v>
      </c>
      <c r="G618" s="39">
        <f>LPS!$P$6</f>
        <v>0</v>
      </c>
      <c r="H618" s="39">
        <f>LPS!$Q$6</f>
        <v>0</v>
      </c>
      <c r="I618" s="39">
        <f>LPS!$R$6</f>
        <v>0</v>
      </c>
      <c r="J618" s="39">
        <f>LPS!$S$6</f>
        <v>0</v>
      </c>
      <c r="K618" s="39">
        <f>LPS!$T$6</f>
        <v>0</v>
      </c>
      <c r="L618" s="39">
        <f>LPS!$U$6</f>
        <v>0</v>
      </c>
      <c r="M618" s="39">
        <f>LPS!$V$6</f>
        <v>0</v>
      </c>
    </row>
    <row r="619" spans="1:13" x14ac:dyDescent="0.25">
      <c r="A619" s="40" t="s">
        <v>53</v>
      </c>
      <c r="B619" s="40">
        <f>LPS!$A$7</f>
        <v>0</v>
      </c>
      <c r="C619" s="39">
        <f>LPS!$L$7</f>
        <v>0</v>
      </c>
      <c r="D619" s="39">
        <f>LPS!$M$7</f>
        <v>0</v>
      </c>
      <c r="E619" s="39">
        <f>LPS!$N$7</f>
        <v>0</v>
      </c>
      <c r="F619" s="39">
        <f>LPS!$O$7</f>
        <v>0</v>
      </c>
      <c r="G619" s="39">
        <f>LPS!$P$7</f>
        <v>0</v>
      </c>
      <c r="H619" s="39">
        <f>LPS!$Q$7</f>
        <v>0</v>
      </c>
      <c r="I619" s="39">
        <f>LPS!$R$7</f>
        <v>0</v>
      </c>
      <c r="J619" s="39">
        <f>LPS!$S$7</f>
        <v>0</v>
      </c>
      <c r="K619" s="39">
        <f>LPS!$T$7</f>
        <v>0</v>
      </c>
      <c r="L619" s="39">
        <f>LPS!$U$7</f>
        <v>0</v>
      </c>
      <c r="M619" s="39">
        <f>LPS!$V$7</f>
        <v>0</v>
      </c>
    </row>
    <row r="620" spans="1:13" x14ac:dyDescent="0.25">
      <c r="A620" s="40" t="s">
        <v>53</v>
      </c>
      <c r="B620" s="40" t="str">
        <f>LPS!$A$8</f>
        <v>LPS 14:0</v>
      </c>
      <c r="C620" s="39" t="str">
        <f>LPS!$L$8</f>
        <v>C20H40N1O9P1</v>
      </c>
      <c r="D620" s="39">
        <f>LPS!$M$8</f>
        <v>469.24405600000006</v>
      </c>
      <c r="E620" s="39">
        <f>LPS!$N$8</f>
        <v>470.25133060000007</v>
      </c>
      <c r="F620" s="39">
        <f>LPS!$O$8</f>
        <v>452.24021060000007</v>
      </c>
      <c r="G620" s="39">
        <f>LPS!$P$8</f>
        <v>487.27787600000011</v>
      </c>
      <c r="H620" s="39">
        <f>LPS!$Q$8</f>
        <v>492.2332760000001</v>
      </c>
      <c r="I620" s="39">
        <f>LPS!$R$8</f>
        <v>508.20721600000007</v>
      </c>
      <c r="J620" s="39">
        <f>LPS!$S$8</f>
        <v>476.25951600000008</v>
      </c>
      <c r="K620" s="39">
        <f>LPS!$T$8</f>
        <v>468.23678140000004</v>
      </c>
      <c r="L620" s="39">
        <f>LPS!$U$8</f>
        <v>514.24227600000006</v>
      </c>
      <c r="M620" s="39">
        <f>LPS!$V$8</f>
        <v>528.257926</v>
      </c>
    </row>
    <row r="621" spans="1:13" x14ac:dyDescent="0.25">
      <c r="A621" s="40" t="s">
        <v>54</v>
      </c>
      <c r="B621" s="40" t="str">
        <f>PS!$A$3</f>
        <v>PS(18:1_18:2)</v>
      </c>
      <c r="C621" s="39" t="str">
        <f>PS!$L$3</f>
        <v>C42H76N1O10P1</v>
      </c>
      <c r="D621" s="39">
        <f>PS!$M$3</f>
        <v>785.52065659999994</v>
      </c>
      <c r="E621" s="39">
        <f>PS!$N$3</f>
        <v>786.52793120000001</v>
      </c>
      <c r="F621" s="39">
        <f>PS!$O$3</f>
        <v>768.51681120000001</v>
      </c>
      <c r="G621" s="39">
        <f>PS!$P$3</f>
        <v>803.55447659999993</v>
      </c>
      <c r="H621" s="39">
        <f>PS!$Q$3</f>
        <v>808.50987659999998</v>
      </c>
      <c r="I621" s="39">
        <f>PS!$R$3</f>
        <v>824.48381659999995</v>
      </c>
      <c r="J621" s="39">
        <f>PS!$S$3</f>
        <v>792.53611660000001</v>
      </c>
      <c r="K621" s="39">
        <f>PS!$T$3</f>
        <v>784.51338199999987</v>
      </c>
      <c r="L621" s="39">
        <f>PS!$U$3</f>
        <v>830.51887659999989</v>
      </c>
      <c r="M621" s="39">
        <f>PS!$V$3</f>
        <v>844.53452659999994</v>
      </c>
    </row>
    <row r="622" spans="1:13" x14ac:dyDescent="0.25">
      <c r="A622" s="40" t="s">
        <v>54</v>
      </c>
      <c r="B622" s="40" t="str">
        <f>PS!$A$4</f>
        <v>PS(16:1/18:2)</v>
      </c>
      <c r="C622" s="39" t="str">
        <f>PS!$L$4</f>
        <v>C40H72N1O10P1</v>
      </c>
      <c r="D622" s="39">
        <f>PS!$M$4</f>
        <v>757.48935819999997</v>
      </c>
      <c r="E622" s="39">
        <f>PS!$N$4</f>
        <v>758.49663280000004</v>
      </c>
      <c r="F622" s="39">
        <f>PS!$O$4</f>
        <v>740.48551280000004</v>
      </c>
      <c r="G622" s="39">
        <f>PS!$P$4</f>
        <v>775.52317819999996</v>
      </c>
      <c r="H622" s="39">
        <f>PS!$Q$4</f>
        <v>780.47857820000002</v>
      </c>
      <c r="I622" s="39">
        <f>PS!$R$4</f>
        <v>796.45251819999999</v>
      </c>
      <c r="J622" s="39">
        <f>PS!$S$4</f>
        <v>764.50481820000005</v>
      </c>
      <c r="K622" s="39">
        <f>PS!$T$4</f>
        <v>756.4820835999999</v>
      </c>
      <c r="L622" s="39">
        <f>PS!$U$4</f>
        <v>802.48757819999992</v>
      </c>
      <c r="M622" s="39">
        <f>PS!$V$4</f>
        <v>816.50322819999997</v>
      </c>
    </row>
    <row r="623" spans="1:13" x14ac:dyDescent="0.25">
      <c r="A623" s="40" t="s">
        <v>54</v>
      </c>
      <c r="B623" s="40">
        <f>PS!$A$5</f>
        <v>0</v>
      </c>
      <c r="C623" s="39">
        <f>PS!$L$5</f>
        <v>0</v>
      </c>
      <c r="D623" s="39">
        <f>PS!$M$5</f>
        <v>0</v>
      </c>
      <c r="E623" s="39">
        <f>PS!$N$5</f>
        <v>0</v>
      </c>
      <c r="F623" s="39">
        <f>PS!$O$5</f>
        <v>0</v>
      </c>
      <c r="G623" s="39">
        <f>PS!$P$5</f>
        <v>0</v>
      </c>
      <c r="H623" s="39">
        <f>PS!$Q$5</f>
        <v>0</v>
      </c>
      <c r="I623" s="39">
        <f>PS!$R$5</f>
        <v>0</v>
      </c>
      <c r="J623" s="39">
        <f>PS!$S$5</f>
        <v>0</v>
      </c>
      <c r="K623" s="39">
        <f>PS!$T$5</f>
        <v>0</v>
      </c>
      <c r="L623" s="39">
        <f>PS!$U$5</f>
        <v>0</v>
      </c>
      <c r="M623" s="39">
        <f>PS!$V$5</f>
        <v>0</v>
      </c>
    </row>
    <row r="624" spans="1:13" x14ac:dyDescent="0.25">
      <c r="A624" s="40" t="s">
        <v>54</v>
      </c>
      <c r="B624" s="40" t="str">
        <f>PS!$A$6</f>
        <v>PS 24:0</v>
      </c>
      <c r="C624" s="39" t="str">
        <f>PS!$L$6</f>
        <v>C30H58N1O10P1</v>
      </c>
      <c r="D624" s="39">
        <f>PS!$M$6</f>
        <v>623.37981379999997</v>
      </c>
      <c r="E624" s="39">
        <f>PS!$N$6</f>
        <v>624.38708840000004</v>
      </c>
      <c r="F624" s="39">
        <f>PS!$O$6</f>
        <v>606.37596840000003</v>
      </c>
      <c r="G624" s="39">
        <f>PS!$P$6</f>
        <v>641.41363379999996</v>
      </c>
      <c r="H624" s="39">
        <f>PS!$Q$6</f>
        <v>646.36903380000001</v>
      </c>
      <c r="I624" s="39">
        <f>PS!$R$6</f>
        <v>662.34297379999998</v>
      </c>
      <c r="J624" s="39">
        <f>PS!$S$6</f>
        <v>630.39527380000004</v>
      </c>
      <c r="K624" s="39">
        <f>PS!$T$6</f>
        <v>622.37253919999989</v>
      </c>
      <c r="L624" s="39">
        <f>PS!$U$6</f>
        <v>668.37803379999991</v>
      </c>
      <c r="M624" s="39">
        <f>PS!$V$6</f>
        <v>682.39368379999996</v>
      </c>
    </row>
    <row r="625" spans="1:13" x14ac:dyDescent="0.25">
      <c r="A625" s="40" t="s">
        <v>54</v>
      </c>
      <c r="B625" s="40" t="str">
        <f>PS!$A$7</f>
        <v>PS(18:1/18:1)</v>
      </c>
      <c r="C625" s="39" t="str">
        <f>PS!$L$7</f>
        <v>C42H78N1O10P1</v>
      </c>
      <c r="D625" s="39">
        <f>PS!$M$7</f>
        <v>787.53630579999992</v>
      </c>
      <c r="E625" s="39">
        <f>PS!$N$7</f>
        <v>788.5435804</v>
      </c>
      <c r="F625" s="39">
        <f>PS!$O$7</f>
        <v>770.53246039999999</v>
      </c>
      <c r="G625" s="39">
        <f>PS!$P$7</f>
        <v>805.57012579999991</v>
      </c>
      <c r="H625" s="39">
        <f>PS!$Q$7</f>
        <v>810.52552579999997</v>
      </c>
      <c r="I625" s="39">
        <f>PS!$R$7</f>
        <v>826.49946579999994</v>
      </c>
      <c r="J625" s="39">
        <f>PS!$S$7</f>
        <v>794.5517658</v>
      </c>
      <c r="K625" s="39">
        <f>PS!$T$7</f>
        <v>786.52903119999985</v>
      </c>
      <c r="L625" s="39">
        <f>PS!$U$7</f>
        <v>832.53452579999987</v>
      </c>
      <c r="M625" s="39">
        <f>PS!$V$7</f>
        <v>846.55017579999992</v>
      </c>
    </row>
    <row r="626" spans="1:13" x14ac:dyDescent="0.25">
      <c r="A626" s="40" t="s">
        <v>78</v>
      </c>
      <c r="B626" s="40" t="str">
        <f>PE_ether!$A$3</f>
        <v>PE(P-16:0/18:1)</v>
      </c>
      <c r="C626" s="39" t="str">
        <f>PE_ether!$L$3</f>
        <v>C39H76N1O7P1</v>
      </c>
      <c r="D626" s="39">
        <f>PE_ether!$M$3</f>
        <v>701.53591159999996</v>
      </c>
      <c r="E626" s="39">
        <f>PE_ether!$N$3</f>
        <v>702.54318620000004</v>
      </c>
      <c r="F626" s="39">
        <f>PE_ether!$O$3</f>
        <v>684.53206620000003</v>
      </c>
      <c r="G626" s="39">
        <f>PE_ether!$P$3</f>
        <v>719.56973159999995</v>
      </c>
      <c r="H626" s="39">
        <f>PE_ether!$Q$3</f>
        <v>724.52513160000001</v>
      </c>
      <c r="I626" s="39">
        <f>PE_ether!$R$3</f>
        <v>740.49907159999998</v>
      </c>
      <c r="J626" s="39">
        <f>PE_ether!$S$3</f>
        <v>708.55137160000004</v>
      </c>
      <c r="K626" s="39">
        <f>PE_ether!$T$3</f>
        <v>700.52863699999989</v>
      </c>
      <c r="L626" s="39">
        <f>PE_ether!$U$3</f>
        <v>746.53413159999991</v>
      </c>
      <c r="M626" s="39">
        <f>PE_ether!$V$3</f>
        <v>760.54978159999996</v>
      </c>
    </row>
    <row r="627" spans="1:13" x14ac:dyDescent="0.25">
      <c r="A627" s="40" t="s">
        <v>78</v>
      </c>
      <c r="B627" s="40" t="str">
        <f>PE_ether!$A$4</f>
        <v>PE P-32:1</v>
      </c>
      <c r="C627" s="39" t="str">
        <f>PE_ether!$L$4</f>
        <v>C37H72N1O7P1</v>
      </c>
      <c r="D627" s="39">
        <f>PE_ether!$M$4</f>
        <v>673.50461319999999</v>
      </c>
      <c r="E627" s="39">
        <f>PE_ether!$N$4</f>
        <v>674.51188780000007</v>
      </c>
      <c r="F627" s="39">
        <f>PE_ether!$O$4</f>
        <v>656.50076780000006</v>
      </c>
      <c r="G627" s="39">
        <f>PE_ether!$P$4</f>
        <v>691.53843319999999</v>
      </c>
      <c r="H627" s="39">
        <f>PE_ether!$Q$4</f>
        <v>696.49383320000004</v>
      </c>
      <c r="I627" s="39">
        <f>PE_ether!$R$4</f>
        <v>712.46777320000001</v>
      </c>
      <c r="J627" s="39">
        <f>PE_ether!$S$4</f>
        <v>680.52007320000007</v>
      </c>
      <c r="K627" s="39">
        <f>PE_ether!$T$4</f>
        <v>672.49733859999992</v>
      </c>
      <c r="L627" s="39">
        <f>PE_ether!$U$4</f>
        <v>718.50283319999994</v>
      </c>
      <c r="M627" s="39">
        <f>PE_ether!$V$4</f>
        <v>732.51848319999999</v>
      </c>
    </row>
    <row r="628" spans="1:13" x14ac:dyDescent="0.25">
      <c r="A628" s="40" t="s">
        <v>78</v>
      </c>
      <c r="B628" s="41" t="str">
        <f>PE_ether!$A$5</f>
        <v>PE(P-16:1_18:2)</v>
      </c>
      <c r="C628" s="39" t="str">
        <f>PE_ether!$L$5</f>
        <v>C39H72N1O7P1</v>
      </c>
      <c r="D628" s="39">
        <f>PE_ether!$M$5</f>
        <v>697.50461319999999</v>
      </c>
      <c r="E628" s="39">
        <f>PE_ether!$N$5</f>
        <v>698.51188780000007</v>
      </c>
      <c r="F628" s="39">
        <f>PE_ether!$O$5</f>
        <v>680.50076780000006</v>
      </c>
      <c r="G628" s="39">
        <f>PE_ether!$P$5</f>
        <v>715.53843319999999</v>
      </c>
      <c r="H628" s="39">
        <f>PE_ether!$Q$5</f>
        <v>720.49383320000004</v>
      </c>
      <c r="I628" s="39">
        <f>PE_ether!$R$5</f>
        <v>736.46777320000001</v>
      </c>
      <c r="J628" s="39">
        <f>PE_ether!$S$5</f>
        <v>704.52007320000007</v>
      </c>
      <c r="K628" s="39">
        <f>PE_ether!$T$5</f>
        <v>696.49733859999992</v>
      </c>
      <c r="L628" s="39">
        <f>PE_ether!$U$5</f>
        <v>742.50283319999994</v>
      </c>
      <c r="M628" s="39">
        <f>PE_ether!$V$5</f>
        <v>756.51848319999999</v>
      </c>
    </row>
    <row r="629" spans="1:13" x14ac:dyDescent="0.25">
      <c r="A629" s="40" t="s">
        <v>78</v>
      </c>
      <c r="B629" s="41">
        <f>PE_ether!$A$6</f>
        <v>0</v>
      </c>
      <c r="C629" s="39">
        <f>PE_ether!$L$6</f>
        <v>0</v>
      </c>
      <c r="D629" s="39">
        <f>PE_ether!$M$6</f>
        <v>0</v>
      </c>
      <c r="E629" s="39">
        <f>PE_ether!$N$6</f>
        <v>0</v>
      </c>
      <c r="F629" s="39">
        <f>PE_ether!$O$6</f>
        <v>0</v>
      </c>
      <c r="G629" s="39">
        <f>PE_ether!$P$6</f>
        <v>0</v>
      </c>
      <c r="H629" s="39">
        <f>PE_ether!$Q$6</f>
        <v>0</v>
      </c>
      <c r="I629" s="39">
        <f>PE_ether!$R$6</f>
        <v>0</v>
      </c>
      <c r="J629" s="39">
        <f>PE_ether!$S$6</f>
        <v>0</v>
      </c>
      <c r="K629" s="39">
        <f>PE_ether!$T$6</f>
        <v>0</v>
      </c>
      <c r="L629" s="39">
        <f>PE_ether!$U$6</f>
        <v>0</v>
      </c>
      <c r="M629" s="39">
        <f>PE_ether!$V$6</f>
        <v>0</v>
      </c>
    </row>
    <row r="630" spans="1:13" x14ac:dyDescent="0.25">
      <c r="A630" s="40" t="s">
        <v>78</v>
      </c>
      <c r="B630" s="41">
        <f>PE_ether!$A$7</f>
        <v>0</v>
      </c>
      <c r="C630" s="39">
        <f>PE_ether!$L$7</f>
        <v>0</v>
      </c>
      <c r="D630" s="39">
        <f>PE_ether!$M$7</f>
        <v>0</v>
      </c>
      <c r="E630" s="39">
        <f>PE_ether!$N$7</f>
        <v>0</v>
      </c>
      <c r="F630" s="39">
        <f>PE_ether!$O$7</f>
        <v>0</v>
      </c>
      <c r="G630" s="39">
        <f>PE_ether!$P$7</f>
        <v>0</v>
      </c>
      <c r="H630" s="39">
        <f>PE_ether!$Q$7</f>
        <v>0</v>
      </c>
      <c r="I630" s="39">
        <f>PE_ether!$R$7</f>
        <v>0</v>
      </c>
      <c r="J630" s="39">
        <f>PE_ether!$S$7</f>
        <v>0</v>
      </c>
      <c r="K630" s="39">
        <f>PE_ether!$T$7</f>
        <v>0</v>
      </c>
      <c r="L630" s="39">
        <f>PE_ether!$U$7</f>
        <v>0</v>
      </c>
      <c r="M630" s="39">
        <f>PE_ether!$V$7</f>
        <v>0</v>
      </c>
    </row>
    <row r="631" spans="1:13" x14ac:dyDescent="0.25">
      <c r="A631" s="40" t="s">
        <v>78</v>
      </c>
      <c r="B631" s="41">
        <f>PE_ether!$A$8</f>
        <v>0</v>
      </c>
      <c r="C631" s="39">
        <f>PE_ether!$L$8</f>
        <v>0</v>
      </c>
      <c r="D631" s="39">
        <f>PE_ether!$M$8</f>
        <v>0</v>
      </c>
      <c r="E631" s="39">
        <f>PE_ether!$N$8</f>
        <v>0</v>
      </c>
      <c r="F631" s="39">
        <f>PE_ether!$O$8</f>
        <v>0</v>
      </c>
      <c r="G631" s="39">
        <f>PE_ether!$P$8</f>
        <v>0</v>
      </c>
      <c r="H631" s="39">
        <f>PE_ether!$Q$8</f>
        <v>0</v>
      </c>
      <c r="I631" s="39">
        <f>PE_ether!$R$8</f>
        <v>0</v>
      </c>
      <c r="J631" s="39">
        <f>PE_ether!$S$8</f>
        <v>0</v>
      </c>
      <c r="K631" s="39">
        <f>PE_ether!$T$8</f>
        <v>0</v>
      </c>
      <c r="L631" s="39">
        <f>PE_ether!$U$8</f>
        <v>0</v>
      </c>
      <c r="M631" s="39">
        <f>PE_ether!$V$8</f>
        <v>0</v>
      </c>
    </row>
    <row r="632" spans="1:13" x14ac:dyDescent="0.25">
      <c r="A632" s="40" t="s">
        <v>78</v>
      </c>
      <c r="B632" s="41" t="str">
        <f>PE_ether!$A$9</f>
        <v>PE P-36:2</v>
      </c>
      <c r="C632" s="39" t="str">
        <f>PE_ether!$L$9</f>
        <v>C41H78N1O7P1</v>
      </c>
      <c r="D632" s="39">
        <f>PE_ether!$M$9</f>
        <v>727.55156079999983</v>
      </c>
      <c r="E632" s="39">
        <f>PE_ether!$N$9</f>
        <v>728.55883539999991</v>
      </c>
      <c r="F632" s="39">
        <f>PE_ether!$O$9</f>
        <v>710.5477153999999</v>
      </c>
      <c r="G632" s="39">
        <f>PE_ether!$P$9</f>
        <v>745.58538079999983</v>
      </c>
      <c r="H632" s="39">
        <f>PE_ether!$Q$9</f>
        <v>750.54078079999988</v>
      </c>
      <c r="I632" s="39">
        <f>PE_ether!$R$9</f>
        <v>766.51472079999985</v>
      </c>
      <c r="J632" s="39">
        <f>PE_ether!$S$9</f>
        <v>734.56702079999991</v>
      </c>
      <c r="K632" s="39">
        <f>PE_ether!$T$9</f>
        <v>726.54428619999976</v>
      </c>
      <c r="L632" s="39">
        <f>PE_ether!$U$9</f>
        <v>772.54978079999978</v>
      </c>
      <c r="M632" s="39">
        <f>PE_ether!$V$9</f>
        <v>786.56543079999983</v>
      </c>
    </row>
    <row r="633" spans="1:13" x14ac:dyDescent="0.25">
      <c r="A633" s="40" t="s">
        <v>78</v>
      </c>
      <c r="B633" s="41" t="str">
        <f>PE_ether!$A$10</f>
        <v>PE P-38:2</v>
      </c>
      <c r="C633" s="39" t="str">
        <f>PE_ether!$L$10</f>
        <v>C43H82N1O7P1</v>
      </c>
      <c r="D633" s="39">
        <f>PE_ether!$M$10</f>
        <v>755.58285920000003</v>
      </c>
      <c r="E633" s="39">
        <f>PE_ether!$N$10</f>
        <v>756.5901338000001</v>
      </c>
      <c r="F633" s="39">
        <f>PE_ether!$O$10</f>
        <v>738.5790138000001</v>
      </c>
      <c r="G633" s="39">
        <f>PE_ether!$P$10</f>
        <v>773.61667920000002</v>
      </c>
      <c r="H633" s="39">
        <f>PE_ether!$Q$10</f>
        <v>778.57207920000008</v>
      </c>
      <c r="I633" s="39">
        <f>PE_ether!$R$10</f>
        <v>794.54601920000005</v>
      </c>
      <c r="J633" s="39">
        <f>PE_ether!$S$10</f>
        <v>762.59831920000011</v>
      </c>
      <c r="K633" s="39">
        <f>PE_ether!$T$10</f>
        <v>754.57558459999996</v>
      </c>
      <c r="L633" s="39">
        <f>PE_ether!$U$10</f>
        <v>800.58107919999998</v>
      </c>
      <c r="M633" s="39">
        <f>PE_ether!$V$10</f>
        <v>814.59672920000003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40ac4b42-d0cf-4109-bd0e-1a5810637a99">
      <Terms xmlns="http://schemas.microsoft.com/office/infopath/2007/PartnerControls"/>
    </lcf76f155ced4ddcb4097134ff3c332f>
    <TaxCatchAll xmlns="07ee1068-3e09-407c-9c3e-e6818babbd2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BCA8F96112904478559D884CF0B171A" ma:contentTypeVersion="20" ma:contentTypeDescription="Create a new document." ma:contentTypeScope="" ma:versionID="aabc2b6b0a3d99b1f03203a239777388">
  <xsd:schema xmlns:xsd="http://www.w3.org/2001/XMLSchema" xmlns:xs="http://www.w3.org/2001/XMLSchema" xmlns:p="http://schemas.microsoft.com/office/2006/metadata/properties" xmlns:ns1="http://schemas.microsoft.com/sharepoint/v3" xmlns:ns2="40ac4b42-d0cf-4109-bd0e-1a5810637a99" xmlns:ns3="07ee1068-3e09-407c-9c3e-e6818babbd23" targetNamespace="http://schemas.microsoft.com/office/2006/metadata/properties" ma:root="true" ma:fieldsID="b1ba79f942cd24dc11e1a20acbff8106" ns1:_="" ns2:_="" ns3:_="">
    <xsd:import namespace="http://schemas.microsoft.com/sharepoint/v3"/>
    <xsd:import namespace="40ac4b42-d0cf-4109-bd0e-1a5810637a99"/>
    <xsd:import namespace="07ee1068-3e09-407c-9c3e-e6818babbd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ac4b42-d0cf-4109-bd0e-1a5810637a9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461f6559-3fdf-4072-99e8-1c8ffe40d4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7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ee1068-3e09-407c-9c3e-e6818babbd2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3f42314b-8a67-4cb3-bb91-5c6c4aec7354}" ma:internalName="TaxCatchAll" ma:showField="CatchAllData" ma:web="07ee1068-3e09-407c-9c3e-e6818babbd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4E51F2-3A94-414A-8D8C-147DA7789F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072B04-8C0F-4F32-B6FA-08D8D60DBA52}">
  <ds:schemaRefs>
    <ds:schemaRef ds:uri="http://schemas.microsoft.com/sharepoint/v3"/>
    <ds:schemaRef ds:uri="http://purl.org/dc/elements/1.1/"/>
    <ds:schemaRef ds:uri="http://purl.org/dc/terms/"/>
    <ds:schemaRef ds:uri="073c7ae2-7f31-4755-9663-4cae620a9c6a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92e9a0ff-acaf-492e-a7e5-93ecc4800cd8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452E88F-AAF9-4E20-8D56-DE7DD9C7001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Instructions</vt:lpstr>
      <vt:lpstr>Free Fatty Acids</vt:lpstr>
      <vt:lpstr>MGDG</vt:lpstr>
      <vt:lpstr>DGDG</vt:lpstr>
      <vt:lpstr>PG</vt:lpstr>
      <vt:lpstr>LysylPG</vt:lpstr>
      <vt:lpstr>PA</vt:lpstr>
      <vt:lpstr>CL</vt:lpstr>
      <vt:lpstr>Acyl PG</vt:lpstr>
      <vt:lpstr>Acyl PE</vt:lpstr>
      <vt:lpstr>PE</vt:lpstr>
      <vt:lpstr>LPE</vt:lpstr>
      <vt:lpstr>LPG</vt:lpstr>
      <vt:lpstr>DG</vt:lpstr>
      <vt:lpstr>LPA</vt:lpstr>
      <vt:lpstr>LPI</vt:lpstr>
      <vt:lpstr>PI</vt:lpstr>
      <vt:lpstr>LPS</vt:lpstr>
      <vt:lpstr>PS</vt:lpstr>
      <vt:lpstr>PMeOH</vt:lpstr>
      <vt:lpstr>PE_ether</vt:lpstr>
      <vt:lpstr>PG_ether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Candice Ulmer</dc:creator>
  <cp:lastModifiedBy>Kelly Marie Hines</cp:lastModifiedBy>
  <dcterms:created xsi:type="dcterms:W3CDTF">2016-07-31T20:54:05Z</dcterms:created>
  <dcterms:modified xsi:type="dcterms:W3CDTF">2024-07-25T14:53:56Z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0x0101002CCE1FCB90D3364990A011E8E3ADA953</vt:lpwstr>
  </property>
</Properties>
</file>